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1.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2.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4.xml" ContentType="application/vnd.openxmlformats-officedocument.drawing+xml"/>
  <Override PartName="/xl/ctrlProps/ctrlProp4.xml" ContentType="application/vnd.ms-excel.controlproperties+xml"/>
  <Override PartName="/xl/slicers/slicer1.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Ex3.xml" ContentType="application/vnd.ms-office.chartex+xml"/>
  <Override PartName="/xl/charts/style13.xml" ContentType="application/vnd.ms-office.chartstyle+xml"/>
  <Override PartName="/xl/charts/colors13.xml" ContentType="application/vnd.ms-office.chartcolorstyle+xml"/>
  <Override PartName="/xl/charts/chartEx4.xml" ContentType="application/vnd.ms-office.chartex+xml"/>
  <Override PartName="/xl/charts/style14.xml" ContentType="application/vnd.ms-office.chartstyle+xml"/>
  <Override PartName="/xl/charts/colors14.xml" ContentType="application/vnd.ms-office.chartcolorstyle+xml"/>
  <Override PartName="/xl/pivotTables/pivotTable14.xml" ContentType="application/vnd.openxmlformats-officedocument.spreadsheetml.pivotTable+xml"/>
  <Override PartName="/xl/drawings/drawing9.xml" ContentType="application/vnd.openxmlformats-officedocument.drawing+xml"/>
  <Override PartName="/xl/tables/table2.xml" ContentType="application/vnd.openxmlformats-officedocument.spreadsheetml.tab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P:\Reservation\Entered on\8 Aug\"/>
    </mc:Choice>
  </mc:AlternateContent>
  <xr:revisionPtr revIDLastSave="0" documentId="13_ncr:1_{5D8C209F-21C0-49AC-B112-62341C6FDCF8}" xr6:coauthVersionLast="47" xr6:coauthVersionMax="47" xr10:uidLastSave="{00000000-0000-0000-0000-000000000000}"/>
  <bookViews>
    <workbookView xWindow="-120" yWindow="-120" windowWidth="24240" windowHeight="13140" activeTab="2" xr2:uid="{00000000-000D-0000-FFFF-FFFF00000000}"/>
  </bookViews>
  <sheets>
    <sheet name="REV PROD " sheetId="3" r:id="rId1"/>
    <sheet name="COMPANY PROD" sheetId="10" r:id="rId2"/>
    <sheet name="ENTERED ON" sheetId="1" r:id="rId3"/>
    <sheet name="DELIMITED DATA" sheetId="2" r:id="rId4"/>
    <sheet name="STATISTICS" sheetId="11" r:id="rId5"/>
    <sheet name="SORT" sheetId="8" r:id="rId6"/>
    <sheet name="DATA" sheetId="9" r:id="rId7"/>
  </sheets>
  <functionGroups builtInGroupCount="19"/>
  <definedNames>
    <definedName name="_xlnm._FilterDatabase" localSheetId="2" hidden="1">'ENTERED ON'!$A$1:$T$142</definedName>
    <definedName name="_xlnm._FilterDatabase" localSheetId="5" hidden="1">SORT!#REF!</definedName>
    <definedName name="_xlchart.v1.0" hidden="1">'ENTERED ON'!$O$2:$O$201</definedName>
    <definedName name="_xlchart.v1.1" hidden="1">'ENTERED ON'!$U$3:$U$200</definedName>
    <definedName name="_xlchart.v1.2" hidden="1">'ENTERED ON'!$O$3:$O$200</definedName>
    <definedName name="_xlchart.v1.3" hidden="1">'ENTERED ON'!$E$3:$E$200</definedName>
    <definedName name="_xlnm.Print_Area" localSheetId="2">'ENTERED ON'!$A$1:$U$150</definedName>
    <definedName name="Slicer_COMPANY1">#N/A</definedName>
  </definedNames>
  <calcPr calcId="181029"/>
  <pivotCaches>
    <pivotCache cacheId="8"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V3" i="1" l="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V2" i="1"/>
  <c r="U2" i="1"/>
  <c r="T2" i="1"/>
  <c r="A151" i="9"/>
  <c r="C151" i="9"/>
  <c r="D151" i="9"/>
  <c r="B151" i="9" s="1"/>
  <c r="E151" i="9"/>
  <c r="F151" i="9"/>
  <c r="G151" i="9"/>
  <c r="K151" i="9"/>
  <c r="L151" i="9"/>
  <c r="A152" i="9"/>
  <c r="C152" i="9"/>
  <c r="D152" i="9"/>
  <c r="B152" i="9" s="1"/>
  <c r="E152" i="9"/>
  <c r="F152" i="9"/>
  <c r="G152" i="9"/>
  <c r="K152" i="9"/>
  <c r="L152" i="9"/>
  <c r="A153" i="9"/>
  <c r="C153" i="9"/>
  <c r="D153" i="9"/>
  <c r="B153" i="9" s="1"/>
  <c r="E153" i="9"/>
  <c r="F153" i="9"/>
  <c r="G153" i="9"/>
  <c r="K153" i="9"/>
  <c r="L153" i="9"/>
  <c r="A154" i="9"/>
  <c r="C154" i="9"/>
  <c r="D154" i="9"/>
  <c r="B154" i="9" s="1"/>
  <c r="E154" i="9"/>
  <c r="F154" i="9"/>
  <c r="G154" i="9"/>
  <c r="K154" i="9"/>
  <c r="L154" i="9"/>
  <c r="A155" i="9"/>
  <c r="C155" i="9"/>
  <c r="D155" i="9"/>
  <c r="B155" i="9" s="1"/>
  <c r="E155" i="9"/>
  <c r="F155" i="9"/>
  <c r="G155" i="9"/>
  <c r="K155" i="9"/>
  <c r="L155" i="9"/>
  <c r="A156" i="9"/>
  <c r="C156" i="9"/>
  <c r="D156" i="9"/>
  <c r="B156" i="9" s="1"/>
  <c r="E156" i="9"/>
  <c r="F156" i="9"/>
  <c r="G156" i="9"/>
  <c r="K156" i="9"/>
  <c r="L156" i="9"/>
  <c r="A157" i="9"/>
  <c r="C157" i="9"/>
  <c r="D157" i="9"/>
  <c r="B157" i="9" s="1"/>
  <c r="E157" i="9"/>
  <c r="F157" i="9"/>
  <c r="G157" i="9"/>
  <c r="K157" i="9"/>
  <c r="L157" i="9"/>
  <c r="A158" i="9"/>
  <c r="C158" i="9"/>
  <c r="D158" i="9"/>
  <c r="B158" i="9" s="1"/>
  <c r="E158" i="9"/>
  <c r="F158" i="9"/>
  <c r="G158" i="9"/>
  <c r="K158" i="9"/>
  <c r="L158" i="9"/>
  <c r="A159" i="9"/>
  <c r="C159" i="9"/>
  <c r="D159" i="9"/>
  <c r="B159" i="9" s="1"/>
  <c r="E159" i="9"/>
  <c r="F159" i="9"/>
  <c r="G159" i="9"/>
  <c r="K159" i="9"/>
  <c r="L159" i="9"/>
  <c r="A160" i="9"/>
  <c r="C160" i="9"/>
  <c r="D160" i="9"/>
  <c r="B160" i="9" s="1"/>
  <c r="E160" i="9"/>
  <c r="F160" i="9"/>
  <c r="G160" i="9"/>
  <c r="K160" i="9"/>
  <c r="L160" i="9"/>
  <c r="A161" i="9"/>
  <c r="C161" i="9"/>
  <c r="D161" i="9"/>
  <c r="B161" i="9" s="1"/>
  <c r="E161" i="9"/>
  <c r="F161" i="9"/>
  <c r="G161" i="9"/>
  <c r="K161" i="9"/>
  <c r="L161" i="9"/>
  <c r="A162" i="9"/>
  <c r="C162" i="9"/>
  <c r="D162" i="9"/>
  <c r="B162" i="9" s="1"/>
  <c r="E162" i="9"/>
  <c r="F162" i="9"/>
  <c r="G162" i="9"/>
  <c r="K162" i="9"/>
  <c r="L162" i="9"/>
  <c r="A163" i="9"/>
  <c r="C163" i="9"/>
  <c r="D163" i="9"/>
  <c r="B163" i="9" s="1"/>
  <c r="E163" i="9"/>
  <c r="F163" i="9"/>
  <c r="G163" i="9"/>
  <c r="K163" i="9"/>
  <c r="L163" i="9"/>
  <c r="A164" i="9"/>
  <c r="C164" i="9"/>
  <c r="D164" i="9"/>
  <c r="B164" i="9" s="1"/>
  <c r="E164" i="9"/>
  <c r="F164" i="9"/>
  <c r="G164" i="9"/>
  <c r="K164" i="9"/>
  <c r="L164" i="9"/>
  <c r="A165" i="9"/>
  <c r="C165" i="9"/>
  <c r="D165" i="9"/>
  <c r="B165" i="9" s="1"/>
  <c r="E165" i="9"/>
  <c r="F165" i="9"/>
  <c r="G165" i="9"/>
  <c r="K165" i="9"/>
  <c r="L165" i="9"/>
  <c r="A166" i="9"/>
  <c r="C166" i="9"/>
  <c r="D166" i="9"/>
  <c r="B166" i="9" s="1"/>
  <c r="E166" i="9"/>
  <c r="F166" i="9"/>
  <c r="G166" i="9"/>
  <c r="K166" i="9"/>
  <c r="L166" i="9"/>
  <c r="A167" i="9"/>
  <c r="C167" i="9"/>
  <c r="D167" i="9"/>
  <c r="B167" i="9" s="1"/>
  <c r="E167" i="9"/>
  <c r="F167" i="9"/>
  <c r="G167" i="9"/>
  <c r="K167" i="9"/>
  <c r="L167" i="9"/>
  <c r="A168" i="9"/>
  <c r="C168" i="9"/>
  <c r="D168" i="9"/>
  <c r="B168" i="9" s="1"/>
  <c r="E168" i="9"/>
  <c r="F168" i="9"/>
  <c r="G168" i="9"/>
  <c r="K168" i="9"/>
  <c r="L168" i="9"/>
  <c r="A169" i="9"/>
  <c r="C169" i="9"/>
  <c r="D169" i="9"/>
  <c r="B169" i="9" s="1"/>
  <c r="E169" i="9"/>
  <c r="F169" i="9"/>
  <c r="G169" i="9"/>
  <c r="K169" i="9"/>
  <c r="L169" i="9"/>
  <c r="A170" i="9"/>
  <c r="C170" i="9"/>
  <c r="D170" i="9"/>
  <c r="B170" i="9" s="1"/>
  <c r="E170" i="9"/>
  <c r="F170" i="9"/>
  <c r="G170" i="9"/>
  <c r="K170" i="9"/>
  <c r="L170" i="9"/>
  <c r="A171" i="9"/>
  <c r="C171" i="9"/>
  <c r="D171" i="9"/>
  <c r="B171" i="9" s="1"/>
  <c r="E171" i="9"/>
  <c r="F171" i="9"/>
  <c r="G171" i="9"/>
  <c r="K171" i="9"/>
  <c r="L171" i="9"/>
  <c r="A172" i="9"/>
  <c r="C172" i="9"/>
  <c r="D172" i="9"/>
  <c r="B172" i="9" s="1"/>
  <c r="E172" i="9"/>
  <c r="F172" i="9"/>
  <c r="G172" i="9"/>
  <c r="K172" i="9"/>
  <c r="L172" i="9"/>
  <c r="A173" i="9"/>
  <c r="C173" i="9"/>
  <c r="D173" i="9"/>
  <c r="B173" i="9" s="1"/>
  <c r="E173" i="9"/>
  <c r="F173" i="9"/>
  <c r="G173" i="9"/>
  <c r="K173" i="9"/>
  <c r="L173" i="9"/>
  <c r="A174" i="9"/>
  <c r="C174" i="9"/>
  <c r="D174" i="9"/>
  <c r="B174" i="9" s="1"/>
  <c r="E174" i="9"/>
  <c r="F174" i="9"/>
  <c r="G174" i="9"/>
  <c r="K174" i="9"/>
  <c r="L174" i="9"/>
  <c r="A175" i="9"/>
  <c r="C175" i="9"/>
  <c r="D175" i="9"/>
  <c r="B175" i="9" s="1"/>
  <c r="E175" i="9"/>
  <c r="F175" i="9"/>
  <c r="G175" i="9"/>
  <c r="K175" i="9"/>
  <c r="L175" i="9"/>
  <c r="A176" i="9"/>
  <c r="C176" i="9"/>
  <c r="D176" i="9"/>
  <c r="B176" i="9" s="1"/>
  <c r="E176" i="9"/>
  <c r="F176" i="9"/>
  <c r="G176" i="9"/>
  <c r="K176" i="9"/>
  <c r="L176" i="9"/>
  <c r="A177" i="9"/>
  <c r="C177" i="9"/>
  <c r="D177" i="9"/>
  <c r="B177" i="9" s="1"/>
  <c r="E177" i="9"/>
  <c r="F177" i="9"/>
  <c r="G177" i="9"/>
  <c r="K177" i="9"/>
  <c r="L177" i="9"/>
  <c r="A178" i="9"/>
  <c r="C178" i="9"/>
  <c r="D178" i="9"/>
  <c r="B178" i="9" s="1"/>
  <c r="E178" i="9"/>
  <c r="F178" i="9"/>
  <c r="G178" i="9"/>
  <c r="K178" i="9"/>
  <c r="L178" i="9"/>
  <c r="A179" i="9"/>
  <c r="C179" i="9"/>
  <c r="D179" i="9"/>
  <c r="B179" i="9" s="1"/>
  <c r="E179" i="9"/>
  <c r="F179" i="9"/>
  <c r="G179" i="9"/>
  <c r="K179" i="9"/>
  <c r="L179" i="9"/>
  <c r="A180" i="9"/>
  <c r="C180" i="9"/>
  <c r="D180" i="9"/>
  <c r="B180" i="9" s="1"/>
  <c r="E180" i="9"/>
  <c r="F180" i="9"/>
  <c r="G180" i="9"/>
  <c r="K180" i="9"/>
  <c r="L180" i="9"/>
  <c r="A181" i="9"/>
  <c r="C181" i="9"/>
  <c r="D181" i="9"/>
  <c r="B181" i="9" s="1"/>
  <c r="E181" i="9"/>
  <c r="F181" i="9"/>
  <c r="G181" i="9"/>
  <c r="K181" i="9"/>
  <c r="L181" i="9"/>
  <c r="A182" i="9"/>
  <c r="C182" i="9"/>
  <c r="D182" i="9"/>
  <c r="B182" i="9" s="1"/>
  <c r="E182" i="9"/>
  <c r="F182" i="9"/>
  <c r="G182" i="9"/>
  <c r="K182" i="9"/>
  <c r="L182" i="9"/>
  <c r="A183" i="9"/>
  <c r="C183" i="9"/>
  <c r="D183" i="9"/>
  <c r="B183" i="9" s="1"/>
  <c r="E183" i="9"/>
  <c r="F183" i="9"/>
  <c r="G183" i="9"/>
  <c r="K183" i="9"/>
  <c r="L183" i="9"/>
  <c r="A184" i="9"/>
  <c r="C184" i="9"/>
  <c r="D184" i="9"/>
  <c r="B184" i="9" s="1"/>
  <c r="E184" i="9"/>
  <c r="F184" i="9"/>
  <c r="G184" i="9"/>
  <c r="K184" i="9"/>
  <c r="L184" i="9"/>
  <c r="A185" i="9"/>
  <c r="C185" i="9"/>
  <c r="D185" i="9"/>
  <c r="B185" i="9" s="1"/>
  <c r="E185" i="9"/>
  <c r="F185" i="9"/>
  <c r="G185" i="9"/>
  <c r="K185" i="9"/>
  <c r="L185" i="9"/>
  <c r="A186" i="9"/>
  <c r="C186" i="9"/>
  <c r="D186" i="9"/>
  <c r="B186" i="9" s="1"/>
  <c r="E186" i="9"/>
  <c r="F186" i="9"/>
  <c r="G186" i="9"/>
  <c r="K186" i="9"/>
  <c r="L186" i="9"/>
  <c r="A187" i="9"/>
  <c r="C187" i="9"/>
  <c r="D187" i="9"/>
  <c r="B187" i="9" s="1"/>
  <c r="E187" i="9"/>
  <c r="F187" i="9"/>
  <c r="G187" i="9"/>
  <c r="K187" i="9"/>
  <c r="L187" i="9"/>
  <c r="A188" i="9"/>
  <c r="C188" i="9"/>
  <c r="D188" i="9"/>
  <c r="B188" i="9" s="1"/>
  <c r="E188" i="9"/>
  <c r="F188" i="9"/>
  <c r="G188" i="9"/>
  <c r="K188" i="9"/>
  <c r="L188" i="9"/>
  <c r="A189" i="9"/>
  <c r="C189" i="9"/>
  <c r="D189" i="9"/>
  <c r="B189" i="9" s="1"/>
  <c r="E189" i="9"/>
  <c r="F189" i="9"/>
  <c r="G189" i="9"/>
  <c r="K189" i="9"/>
  <c r="L189" i="9"/>
  <c r="A190" i="9"/>
  <c r="C190" i="9"/>
  <c r="D190" i="9"/>
  <c r="B190" i="9" s="1"/>
  <c r="E190" i="9"/>
  <c r="F190" i="9"/>
  <c r="G190" i="9"/>
  <c r="K190" i="9"/>
  <c r="L190" i="9"/>
  <c r="A191" i="9"/>
  <c r="C191" i="9"/>
  <c r="D191" i="9"/>
  <c r="B191" i="9" s="1"/>
  <c r="E191" i="9"/>
  <c r="F191" i="9"/>
  <c r="G191" i="9"/>
  <c r="K191" i="9"/>
  <c r="L191" i="9"/>
  <c r="A192" i="9"/>
  <c r="C192" i="9"/>
  <c r="D192" i="9"/>
  <c r="B192" i="9" s="1"/>
  <c r="E192" i="9"/>
  <c r="F192" i="9"/>
  <c r="G192" i="9"/>
  <c r="K192" i="9"/>
  <c r="L192" i="9"/>
  <c r="A193" i="9"/>
  <c r="C193" i="9"/>
  <c r="D193" i="9"/>
  <c r="B193" i="9" s="1"/>
  <c r="E193" i="9"/>
  <c r="F193" i="9"/>
  <c r="G193" i="9"/>
  <c r="K193" i="9"/>
  <c r="L193" i="9"/>
  <c r="A194" i="9"/>
  <c r="C194" i="9"/>
  <c r="D194" i="9"/>
  <c r="B194" i="9" s="1"/>
  <c r="E194" i="9"/>
  <c r="F194" i="9"/>
  <c r="G194" i="9"/>
  <c r="K194" i="9"/>
  <c r="L194" i="9"/>
  <c r="A195" i="9"/>
  <c r="C195" i="9"/>
  <c r="D195" i="9"/>
  <c r="B195" i="9" s="1"/>
  <c r="E195" i="9"/>
  <c r="F195" i="9"/>
  <c r="G195" i="9"/>
  <c r="K195" i="9"/>
  <c r="L195" i="9"/>
  <c r="A196" i="9"/>
  <c r="C196" i="9"/>
  <c r="D196" i="9"/>
  <c r="B196" i="9" s="1"/>
  <c r="E196" i="9"/>
  <c r="F196" i="9"/>
  <c r="G196" i="9"/>
  <c r="K196" i="9"/>
  <c r="L196" i="9"/>
  <c r="A197" i="9"/>
  <c r="C197" i="9"/>
  <c r="D197" i="9"/>
  <c r="B197" i="9" s="1"/>
  <c r="E197" i="9"/>
  <c r="F197" i="9"/>
  <c r="G197" i="9"/>
  <c r="K197" i="9"/>
  <c r="L197" i="9"/>
  <c r="A198" i="9"/>
  <c r="C198" i="9"/>
  <c r="D198" i="9"/>
  <c r="B198" i="9" s="1"/>
  <c r="E198" i="9"/>
  <c r="F198" i="9"/>
  <c r="G198" i="9"/>
  <c r="K198" i="9"/>
  <c r="L198" i="9"/>
  <c r="A199" i="9"/>
  <c r="C199" i="9"/>
  <c r="D199" i="9"/>
  <c r="B199" i="9" s="1"/>
  <c r="E199" i="9"/>
  <c r="F199" i="9"/>
  <c r="G199" i="9"/>
  <c r="K199" i="9"/>
  <c r="L199" i="9"/>
  <c r="A200" i="9"/>
  <c r="C200" i="9"/>
  <c r="D200" i="9"/>
  <c r="B200" i="9" s="1"/>
  <c r="E200" i="9"/>
  <c r="F200" i="9"/>
  <c r="G200" i="9"/>
  <c r="K200" i="9"/>
  <c r="L200" i="9"/>
  <c r="U161" i="9" l="1"/>
  <c r="P160" i="9"/>
  <c r="R158" i="9"/>
  <c r="M157" i="9"/>
  <c r="J157" i="9" s="1"/>
  <c r="U151" i="9"/>
  <c r="U181" i="9"/>
  <c r="O179" i="9"/>
  <c r="M172" i="9"/>
  <c r="J172" i="9" s="1"/>
  <c r="M200" i="9"/>
  <c r="J200" i="9" s="1"/>
  <c r="M175" i="9"/>
  <c r="J175" i="9" s="1"/>
  <c r="M167" i="9"/>
  <c r="J167" i="9" s="1"/>
  <c r="S196" i="9"/>
  <c r="S192" i="9"/>
  <c r="S191" i="9"/>
  <c r="O188" i="9"/>
  <c r="S187" i="9"/>
  <c r="O183" i="9"/>
  <c r="S182" i="9"/>
  <c r="M189" i="9"/>
  <c r="J189" i="9" s="1"/>
  <c r="M186" i="9"/>
  <c r="J186" i="9" s="1"/>
  <c r="S185" i="9"/>
  <c r="O181" i="9"/>
  <c r="S180" i="9"/>
  <c r="U179" i="9"/>
  <c r="W177" i="9"/>
  <c r="S200" i="9"/>
  <c r="S199" i="9"/>
  <c r="P174" i="9"/>
  <c r="R170" i="9"/>
  <c r="P169" i="9"/>
  <c r="Q192" i="9"/>
  <c r="M197" i="9"/>
  <c r="J197" i="9" s="1"/>
  <c r="R194" i="9"/>
  <c r="M193" i="9"/>
  <c r="J193" i="9" s="1"/>
  <c r="M192" i="9"/>
  <c r="J192" i="9" s="1"/>
  <c r="P167" i="9"/>
  <c r="R166" i="9"/>
  <c r="V165" i="9"/>
  <c r="S163" i="9"/>
  <c r="S194" i="9"/>
  <c r="R193" i="9"/>
  <c r="R192" i="9"/>
  <c r="S184" i="9"/>
  <c r="U183" i="9"/>
  <c r="M170" i="9"/>
  <c r="J170" i="9" s="1"/>
  <c r="M168" i="9"/>
  <c r="J168" i="9" s="1"/>
  <c r="S167" i="9"/>
  <c r="R156" i="9"/>
  <c r="R154" i="9"/>
  <c r="S152" i="9"/>
  <c r="M183" i="9"/>
  <c r="J183" i="9" s="1"/>
  <c r="M181" i="9"/>
  <c r="J181" i="9" s="1"/>
  <c r="T162" i="9"/>
  <c r="S161" i="9"/>
  <c r="M198" i="9"/>
  <c r="J198" i="9" s="1"/>
  <c r="M190" i="9"/>
  <c r="J190" i="9" s="1"/>
  <c r="S189" i="9"/>
  <c r="M179" i="9"/>
  <c r="J179" i="9" s="1"/>
  <c r="O176" i="9"/>
  <c r="T174" i="9"/>
  <c r="M161" i="9"/>
  <c r="J161" i="9" s="1"/>
  <c r="O186" i="9"/>
  <c r="Y194" i="9"/>
  <c r="M188" i="9"/>
  <c r="J188" i="9" s="1"/>
  <c r="M174" i="9"/>
  <c r="J174" i="9" s="1"/>
  <c r="X173" i="9"/>
  <c r="M160" i="9"/>
  <c r="J160" i="9" s="1"/>
  <c r="P159" i="9"/>
  <c r="M158" i="9"/>
  <c r="J158" i="9" s="1"/>
  <c r="O190" i="9"/>
  <c r="Q187" i="9"/>
  <c r="Q182" i="9"/>
  <c r="Q180" i="9"/>
  <c r="M199" i="9"/>
  <c r="J199" i="9" s="1"/>
  <c r="W194" i="9"/>
  <c r="O192" i="9"/>
  <c r="S190" i="9"/>
  <c r="O189" i="9"/>
  <c r="M187" i="9"/>
  <c r="J187" i="9" s="1"/>
  <c r="M184" i="9"/>
  <c r="J184" i="9" s="1"/>
  <c r="M182" i="9"/>
  <c r="J182" i="9" s="1"/>
  <c r="M180" i="9"/>
  <c r="J180" i="9" s="1"/>
  <c r="W174" i="9"/>
  <c r="R171" i="9"/>
  <c r="X170" i="9"/>
  <c r="R167" i="9"/>
  <c r="P161" i="9"/>
  <c r="M156" i="9"/>
  <c r="J156" i="9" s="1"/>
  <c r="T151" i="9"/>
  <c r="W193" i="9"/>
  <c r="Q183" i="9"/>
  <c r="Q181" i="9"/>
  <c r="Q179" i="9"/>
  <c r="S174" i="9"/>
  <c r="P165" i="9"/>
  <c r="V160" i="9"/>
  <c r="P154" i="9"/>
  <c r="W191" i="9"/>
  <c r="W200" i="9"/>
  <c r="S198" i="9"/>
  <c r="Q191" i="9"/>
  <c r="S186" i="9"/>
  <c r="U169" i="9"/>
  <c r="M165" i="9"/>
  <c r="J165" i="9" s="1"/>
  <c r="M155" i="9"/>
  <c r="J155" i="9" s="1"/>
  <c r="M154" i="9"/>
  <c r="J154" i="9" s="1"/>
  <c r="Q200" i="9"/>
  <c r="O185" i="9"/>
  <c r="R169" i="9"/>
  <c r="Q193" i="9"/>
  <c r="O191" i="9"/>
  <c r="O200" i="9"/>
  <c r="S197" i="9"/>
  <c r="Y193" i="9"/>
  <c r="Y192" i="9"/>
  <c r="M191" i="9"/>
  <c r="J191" i="9" s="1"/>
  <c r="S188" i="9"/>
  <c r="U187" i="9"/>
  <c r="M185" i="9"/>
  <c r="J185" i="9" s="1"/>
  <c r="S183" i="9"/>
  <c r="U182" i="9"/>
  <c r="S181" i="9"/>
  <c r="U180" i="9"/>
  <c r="S179" i="9"/>
  <c r="O178" i="9"/>
  <c r="M177" i="9"/>
  <c r="J177" i="9" s="1"/>
  <c r="O174" i="9"/>
  <c r="M169" i="9"/>
  <c r="J169" i="9" s="1"/>
  <c r="R164" i="9"/>
  <c r="M163" i="9"/>
  <c r="J163" i="9" s="1"/>
  <c r="R160" i="9"/>
  <c r="S153" i="9"/>
  <c r="X152" i="9"/>
  <c r="X172" i="9"/>
  <c r="V151" i="9"/>
  <c r="O199" i="9"/>
  <c r="O195" i="9"/>
  <c r="O187" i="9"/>
  <c r="O184" i="9"/>
  <c r="O182" i="9"/>
  <c r="O180" i="9"/>
  <c r="W175" i="9"/>
  <c r="T172" i="9"/>
  <c r="M195" i="9"/>
  <c r="J195" i="9" s="1"/>
  <c r="R190" i="9"/>
  <c r="R189" i="9"/>
  <c r="R188" i="9"/>
  <c r="X171" i="9"/>
  <c r="R200" i="9"/>
  <c r="Q199" i="9"/>
  <c r="O198" i="9"/>
  <c r="O197" i="9"/>
  <c r="M196" i="9"/>
  <c r="J196" i="9" s="1"/>
  <c r="S195" i="9"/>
  <c r="W192" i="9"/>
  <c r="R191" i="9"/>
  <c r="Q190" i="9"/>
  <c r="Q189" i="9"/>
  <c r="Q188" i="9"/>
  <c r="R187" i="9"/>
  <c r="Q186" i="9"/>
  <c r="Q185" i="9"/>
  <c r="Q184" i="9"/>
  <c r="R183" i="9"/>
  <c r="R182" i="9"/>
  <c r="R181" i="9"/>
  <c r="R180" i="9"/>
  <c r="R179" i="9"/>
  <c r="M178" i="9"/>
  <c r="J178" i="9" s="1"/>
  <c r="M176" i="9"/>
  <c r="J176" i="9" s="1"/>
  <c r="U174" i="9"/>
  <c r="M171" i="9"/>
  <c r="J171" i="9" s="1"/>
  <c r="T169" i="9"/>
  <c r="V167" i="9"/>
  <c r="X166" i="9"/>
  <c r="M164" i="9"/>
  <c r="J164" i="9" s="1"/>
  <c r="S160" i="9"/>
  <c r="P156" i="9"/>
  <c r="X154" i="9"/>
  <c r="M153" i="9"/>
  <c r="J153" i="9" s="1"/>
  <c r="X151" i="9"/>
  <c r="P178" i="9"/>
  <c r="S176" i="9"/>
  <c r="Y195" i="9"/>
  <c r="W195" i="9"/>
  <c r="V175" i="9"/>
  <c r="S172" i="9"/>
  <c r="U157" i="9"/>
  <c r="X155" i="9"/>
  <c r="U152" i="9"/>
  <c r="S151" i="9"/>
  <c r="Q194" i="9"/>
  <c r="Y184" i="9"/>
  <c r="V177" i="9"/>
  <c r="W176" i="9"/>
  <c r="T175" i="9"/>
  <c r="P172" i="9"/>
  <c r="X169" i="9"/>
  <c r="X168" i="9"/>
  <c r="R165" i="9"/>
  <c r="X164" i="9"/>
  <c r="X162" i="9"/>
  <c r="R161" i="9"/>
  <c r="V159" i="9"/>
  <c r="P157" i="9"/>
  <c r="P155" i="9"/>
  <c r="X153" i="9"/>
  <c r="R152" i="9"/>
  <c r="R151" i="9"/>
  <c r="W196" i="9"/>
  <c r="R195" i="9"/>
  <c r="Y199" i="9"/>
  <c r="R196" i="9"/>
  <c r="Y190" i="9"/>
  <c r="Y189" i="9"/>
  <c r="W188" i="9"/>
  <c r="Y187" i="9"/>
  <c r="Y186" i="9"/>
  <c r="W185" i="9"/>
  <c r="W184" i="9"/>
  <c r="Y183" i="9"/>
  <c r="Y182" i="9"/>
  <c r="Y181" i="9"/>
  <c r="Y180" i="9"/>
  <c r="Y179" i="9"/>
  <c r="X178" i="9"/>
  <c r="U176" i="9"/>
  <c r="U168" i="9"/>
  <c r="T167" i="9"/>
  <c r="V166" i="9"/>
  <c r="T164" i="9"/>
  <c r="R162" i="9"/>
  <c r="S159" i="9"/>
  <c r="U153" i="9"/>
  <c r="P152" i="9"/>
  <c r="P151" i="9"/>
  <c r="Y196" i="9"/>
  <c r="Y198" i="9"/>
  <c r="Y197" i="9"/>
  <c r="O193" i="9"/>
  <c r="Y188" i="9"/>
  <c r="Y185" i="9"/>
  <c r="W198" i="9"/>
  <c r="W197" i="9"/>
  <c r="Q195" i="9"/>
  <c r="O194" i="9"/>
  <c r="Y200" i="9"/>
  <c r="W199" i="9"/>
  <c r="R198" i="9"/>
  <c r="R197" i="9"/>
  <c r="Q196" i="9"/>
  <c r="M194" i="9"/>
  <c r="J194" i="9" s="1"/>
  <c r="S193" i="9"/>
  <c r="Y191" i="9"/>
  <c r="W190" i="9"/>
  <c r="W189" i="9"/>
  <c r="U188" i="9"/>
  <c r="W187" i="9"/>
  <c r="W186" i="9"/>
  <c r="U185" i="9"/>
  <c r="U184" i="9"/>
  <c r="W183" i="9"/>
  <c r="W182" i="9"/>
  <c r="W181" i="9"/>
  <c r="W180" i="9"/>
  <c r="W179" i="9"/>
  <c r="U178" i="9"/>
  <c r="R176" i="9"/>
  <c r="V174" i="9"/>
  <c r="P173" i="9"/>
  <c r="R172" i="9"/>
  <c r="V169" i="9"/>
  <c r="M166" i="9"/>
  <c r="J166" i="9" s="1"/>
  <c r="S164" i="9"/>
  <c r="M162" i="9"/>
  <c r="J162" i="9" s="1"/>
  <c r="X160" i="9"/>
  <c r="M159" i="9"/>
  <c r="J159" i="9" s="1"/>
  <c r="R157" i="9"/>
  <c r="R155" i="9"/>
  <c r="R153" i="9"/>
  <c r="M152" i="9"/>
  <c r="J152" i="9" s="1"/>
  <c r="M151" i="9"/>
  <c r="J151" i="9" s="1"/>
  <c r="R199" i="9"/>
  <c r="Q198" i="9"/>
  <c r="Q197" i="9"/>
  <c r="O196" i="9"/>
  <c r="R186" i="9"/>
  <c r="R185" i="9"/>
  <c r="R184" i="9"/>
  <c r="P176" i="9"/>
  <c r="M173" i="9"/>
  <c r="J173" i="9" s="1"/>
  <c r="P164" i="9"/>
  <c r="X156" i="9"/>
  <c r="P153" i="9"/>
  <c r="U177" i="9"/>
  <c r="W178" i="9"/>
  <c r="T177" i="9"/>
  <c r="Q175" i="9"/>
  <c r="Y175" i="9"/>
  <c r="O168" i="9"/>
  <c r="W168" i="9"/>
  <c r="Q168" i="9"/>
  <c r="Y168" i="9"/>
  <c r="U166" i="9"/>
  <c r="V163" i="9"/>
  <c r="X200" i="9"/>
  <c r="P200" i="9"/>
  <c r="X199" i="9"/>
  <c r="P199" i="9"/>
  <c r="X198" i="9"/>
  <c r="P198" i="9"/>
  <c r="X197" i="9"/>
  <c r="P197" i="9"/>
  <c r="X196" i="9"/>
  <c r="P196" i="9"/>
  <c r="X195" i="9"/>
  <c r="P195" i="9"/>
  <c r="X194" i="9"/>
  <c r="P194" i="9"/>
  <c r="X193" i="9"/>
  <c r="P193" i="9"/>
  <c r="X192" i="9"/>
  <c r="P192" i="9"/>
  <c r="X191" i="9"/>
  <c r="P191" i="9"/>
  <c r="X190" i="9"/>
  <c r="P190" i="9"/>
  <c r="X189" i="9"/>
  <c r="P189" i="9"/>
  <c r="X188" i="9"/>
  <c r="P188" i="9"/>
  <c r="X187" i="9"/>
  <c r="P187" i="9"/>
  <c r="X186" i="9"/>
  <c r="P186" i="9"/>
  <c r="X185" i="9"/>
  <c r="P185" i="9"/>
  <c r="X184" i="9"/>
  <c r="P184" i="9"/>
  <c r="X183" i="9"/>
  <c r="P183" i="9"/>
  <c r="X182" i="9"/>
  <c r="P182" i="9"/>
  <c r="X181" i="9"/>
  <c r="P181" i="9"/>
  <c r="X180" i="9"/>
  <c r="P180" i="9"/>
  <c r="X179" i="9"/>
  <c r="P179" i="9"/>
  <c r="V178" i="9"/>
  <c r="Q178" i="9"/>
  <c r="Y178" i="9"/>
  <c r="S177" i="9"/>
  <c r="X176" i="9"/>
  <c r="U175" i="9"/>
  <c r="R174" i="9"/>
  <c r="W173" i="9"/>
  <c r="O173" i="9"/>
  <c r="Q173" i="9"/>
  <c r="Y173" i="9"/>
  <c r="U171" i="9"/>
  <c r="S169" i="9"/>
  <c r="V168" i="9"/>
  <c r="T166" i="9"/>
  <c r="X165" i="9"/>
  <c r="O165" i="9"/>
  <c r="W165" i="9"/>
  <c r="Q165" i="9"/>
  <c r="Y165" i="9"/>
  <c r="U163" i="9"/>
  <c r="U160" i="9"/>
  <c r="X159" i="9"/>
  <c r="V173" i="9"/>
  <c r="O170" i="9"/>
  <c r="W170" i="9"/>
  <c r="Q170" i="9"/>
  <c r="Y170" i="9"/>
  <c r="T158" i="9"/>
  <c r="O158" i="9"/>
  <c r="W158" i="9"/>
  <c r="Q158" i="9"/>
  <c r="Y158" i="9"/>
  <c r="V200" i="9"/>
  <c r="V199" i="9"/>
  <c r="V198" i="9"/>
  <c r="V197" i="9"/>
  <c r="V196" i="9"/>
  <c r="V195" i="9"/>
  <c r="V194" i="9"/>
  <c r="V193" i="9"/>
  <c r="V192" i="9"/>
  <c r="V191" i="9"/>
  <c r="V190" i="9"/>
  <c r="V189" i="9"/>
  <c r="V188" i="9"/>
  <c r="V187" i="9"/>
  <c r="V186" i="9"/>
  <c r="V185" i="9"/>
  <c r="V184" i="9"/>
  <c r="V183" i="9"/>
  <c r="V182" i="9"/>
  <c r="V181" i="9"/>
  <c r="V180" i="9"/>
  <c r="V179" i="9"/>
  <c r="T178" i="9"/>
  <c r="P177" i="9"/>
  <c r="V176" i="9"/>
  <c r="Q176" i="9"/>
  <c r="Y176" i="9"/>
  <c r="S175" i="9"/>
  <c r="X174" i="9"/>
  <c r="U173" i="9"/>
  <c r="S171" i="9"/>
  <c r="V170" i="9"/>
  <c r="T168" i="9"/>
  <c r="X167" i="9"/>
  <c r="O167" i="9"/>
  <c r="W167" i="9"/>
  <c r="Q167" i="9"/>
  <c r="Y167" i="9"/>
  <c r="U165" i="9"/>
  <c r="V162" i="9"/>
  <c r="U159" i="9"/>
  <c r="X158" i="9"/>
  <c r="O163" i="9"/>
  <c r="W163" i="9"/>
  <c r="Q163" i="9"/>
  <c r="Y163" i="9"/>
  <c r="U200" i="9"/>
  <c r="U198" i="9"/>
  <c r="U197" i="9"/>
  <c r="U195" i="9"/>
  <c r="U194" i="9"/>
  <c r="U192" i="9"/>
  <c r="S178" i="9"/>
  <c r="X177" i="9"/>
  <c r="O177" i="9"/>
  <c r="R175" i="9"/>
  <c r="T173" i="9"/>
  <c r="O172" i="9"/>
  <c r="W172" i="9"/>
  <c r="Q172" i="9"/>
  <c r="Y172" i="9"/>
  <c r="U170" i="9"/>
  <c r="S168" i="9"/>
  <c r="P166" i="9"/>
  <c r="T165" i="9"/>
  <c r="O164" i="9"/>
  <c r="W164" i="9"/>
  <c r="Q164" i="9"/>
  <c r="Y164" i="9"/>
  <c r="R163" i="9"/>
  <c r="U162" i="9"/>
  <c r="T161" i="9"/>
  <c r="O161" i="9"/>
  <c r="W161" i="9"/>
  <c r="Q161" i="9"/>
  <c r="Y161" i="9"/>
  <c r="V158" i="9"/>
  <c r="T157" i="9"/>
  <c r="O157" i="9"/>
  <c r="W157" i="9"/>
  <c r="Q157" i="9"/>
  <c r="Y157" i="9"/>
  <c r="S156" i="9"/>
  <c r="T156" i="9"/>
  <c r="V156" i="9"/>
  <c r="O156" i="9"/>
  <c r="W156" i="9"/>
  <c r="Q156" i="9"/>
  <c r="Y156" i="9"/>
  <c r="S155" i="9"/>
  <c r="T155" i="9"/>
  <c r="V155" i="9"/>
  <c r="O155" i="9"/>
  <c r="W155" i="9"/>
  <c r="Q155" i="9"/>
  <c r="Y155" i="9"/>
  <c r="S154" i="9"/>
  <c r="T154" i="9"/>
  <c r="V154" i="9"/>
  <c r="O154" i="9"/>
  <c r="W154" i="9"/>
  <c r="Q154" i="9"/>
  <c r="Y154" i="9"/>
  <c r="O171" i="9"/>
  <c r="W171" i="9"/>
  <c r="Q171" i="9"/>
  <c r="Y171" i="9"/>
  <c r="R177" i="9"/>
  <c r="T163" i="9"/>
  <c r="U191" i="9"/>
  <c r="T200" i="9"/>
  <c r="T199" i="9"/>
  <c r="T198" i="9"/>
  <c r="T197" i="9"/>
  <c r="T196" i="9"/>
  <c r="T195" i="9"/>
  <c r="T194" i="9"/>
  <c r="T193" i="9"/>
  <c r="T192" i="9"/>
  <c r="T191" i="9"/>
  <c r="T190" i="9"/>
  <c r="T189" i="9"/>
  <c r="T188" i="9"/>
  <c r="T187" i="9"/>
  <c r="T186" i="9"/>
  <c r="T185" i="9"/>
  <c r="T184" i="9"/>
  <c r="T183" i="9"/>
  <c r="T182" i="9"/>
  <c r="T181" i="9"/>
  <c r="T180" i="9"/>
  <c r="T179" i="9"/>
  <c r="R178" i="9"/>
  <c r="T176" i="9"/>
  <c r="P175" i="9"/>
  <c r="Q174" i="9"/>
  <c r="Y174" i="9"/>
  <c r="S173" i="9"/>
  <c r="V172" i="9"/>
  <c r="P171" i="9"/>
  <c r="T170" i="9"/>
  <c r="O169" i="9"/>
  <c r="W169" i="9"/>
  <c r="Q169" i="9"/>
  <c r="Y169" i="9"/>
  <c r="R168" i="9"/>
  <c r="U167" i="9"/>
  <c r="S165" i="9"/>
  <c r="V164" i="9"/>
  <c r="P163" i="9"/>
  <c r="X161" i="9"/>
  <c r="R159" i="9"/>
  <c r="U158" i="9"/>
  <c r="X157" i="9"/>
  <c r="X163" i="9"/>
  <c r="T171" i="9"/>
  <c r="S166" i="9"/>
  <c r="O162" i="9"/>
  <c r="W162" i="9"/>
  <c r="Q162" i="9"/>
  <c r="Y162" i="9"/>
  <c r="U199" i="9"/>
  <c r="U196" i="9"/>
  <c r="U193" i="9"/>
  <c r="U190" i="9"/>
  <c r="U189" i="9"/>
  <c r="U186" i="9"/>
  <c r="Q177" i="9"/>
  <c r="Y177" i="9"/>
  <c r="X175" i="9"/>
  <c r="O175" i="9"/>
  <c r="R173" i="9"/>
  <c r="U172" i="9"/>
  <c r="S170" i="9"/>
  <c r="P168" i="9"/>
  <c r="O166" i="9"/>
  <c r="W166" i="9"/>
  <c r="Q166" i="9"/>
  <c r="Y166" i="9"/>
  <c r="U164" i="9"/>
  <c r="S162" i="9"/>
  <c r="V161" i="9"/>
  <c r="T160" i="9"/>
  <c r="O160" i="9"/>
  <c r="W160" i="9"/>
  <c r="Q160" i="9"/>
  <c r="Y160" i="9"/>
  <c r="S158" i="9"/>
  <c r="V157" i="9"/>
  <c r="V171" i="9"/>
  <c r="P170" i="9"/>
  <c r="P162" i="9"/>
  <c r="T159" i="9"/>
  <c r="O159" i="9"/>
  <c r="W159" i="9"/>
  <c r="Q159" i="9"/>
  <c r="Y159" i="9"/>
  <c r="P158" i="9"/>
  <c r="S157" i="9"/>
  <c r="U156" i="9"/>
  <c r="U155" i="9"/>
  <c r="U154" i="9"/>
  <c r="Y153" i="9"/>
  <c r="Q153" i="9"/>
  <c r="Y152" i="9"/>
  <c r="Q152" i="9"/>
  <c r="Y151" i="9"/>
  <c r="Q151" i="9"/>
  <c r="W153" i="9"/>
  <c r="O153" i="9"/>
  <c r="W152" i="9"/>
  <c r="O152" i="9"/>
  <c r="W151" i="9"/>
  <c r="O151" i="9"/>
  <c r="V153" i="9"/>
  <c r="V152" i="9"/>
  <c r="T153" i="9"/>
  <c r="T152" i="9"/>
  <c r="L69" i="9" l="1"/>
  <c r="F2" i="9" l="1"/>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A2" i="9"/>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L2" i="9"/>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4" i="9"/>
  <c r="L65" i="9"/>
  <c r="L66" i="9"/>
  <c r="L67" i="9"/>
  <c r="L68" i="9"/>
  <c r="L70" i="9"/>
  <c r="L71" i="9"/>
  <c r="L72" i="9"/>
  <c r="L73" i="9"/>
  <c r="L74" i="9"/>
  <c r="L75" i="9"/>
  <c r="L76" i="9"/>
  <c r="L77" i="9"/>
  <c r="L78" i="9"/>
  <c r="L79" i="9"/>
  <c r="L80" i="9"/>
  <c r="L81" i="9"/>
  <c r="L82" i="9"/>
  <c r="L83" i="9"/>
  <c r="L84" i="9"/>
  <c r="L85" i="9"/>
  <c r="L86" i="9"/>
  <c r="L87" i="9"/>
  <c r="L88" i="9"/>
  <c r="L89" i="9"/>
  <c r="L90" i="9"/>
  <c r="L91" i="9"/>
  <c r="L92" i="9"/>
  <c r="L93" i="9"/>
  <c r="L94" i="9"/>
  <c r="L95" i="9"/>
  <c r="L96" i="9"/>
  <c r="L97" i="9"/>
  <c r="L98" i="9"/>
  <c r="L99" i="9"/>
  <c r="L100" i="9"/>
  <c r="L101" i="9"/>
  <c r="L102" i="9"/>
  <c r="L103" i="9"/>
  <c r="L104" i="9"/>
  <c r="L105" i="9"/>
  <c r="L106" i="9"/>
  <c r="L107" i="9"/>
  <c r="L108" i="9"/>
  <c r="L109" i="9"/>
  <c r="L110" i="9"/>
  <c r="L111" i="9"/>
  <c r="L112" i="9"/>
  <c r="L113" i="9"/>
  <c r="L114" i="9"/>
  <c r="L115" i="9"/>
  <c r="L116" i="9"/>
  <c r="L117" i="9"/>
  <c r="L118" i="9"/>
  <c r="L119"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K2" i="9"/>
  <c r="K3" i="9"/>
  <c r="K4" i="9"/>
  <c r="K5" i="9"/>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K45" i="9"/>
  <c r="K46" i="9"/>
  <c r="K47" i="9"/>
  <c r="K48" i="9"/>
  <c r="K49" i="9"/>
  <c r="K50" i="9"/>
  <c r="K51" i="9"/>
  <c r="K52" i="9"/>
  <c r="K53" i="9"/>
  <c r="K54"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K86" i="9"/>
  <c r="K87" i="9"/>
  <c r="K88" i="9"/>
  <c r="K89" i="9"/>
  <c r="K90" i="9"/>
  <c r="K91" i="9"/>
  <c r="K92" i="9"/>
  <c r="K93" i="9"/>
  <c r="K94" i="9"/>
  <c r="K95" i="9"/>
  <c r="K96" i="9"/>
  <c r="K97" i="9"/>
  <c r="K98" i="9"/>
  <c r="K99" i="9"/>
  <c r="K100" i="9"/>
  <c r="K101" i="9"/>
  <c r="K102" i="9"/>
  <c r="K103" i="9"/>
  <c r="K104" i="9"/>
  <c r="K105" i="9"/>
  <c r="K106" i="9"/>
  <c r="K107" i="9"/>
  <c r="K108" i="9"/>
  <c r="K109" i="9"/>
  <c r="K110" i="9"/>
  <c r="K111" i="9"/>
  <c r="K112" i="9"/>
  <c r="K113" i="9"/>
  <c r="K114" i="9"/>
  <c r="K115" i="9"/>
  <c r="K116" i="9"/>
  <c r="K117" i="9"/>
  <c r="K118" i="9"/>
  <c r="K119" i="9"/>
  <c r="K120" i="9"/>
  <c r="K121" i="9"/>
  <c r="K122" i="9"/>
  <c r="K123" i="9"/>
  <c r="K124" i="9"/>
  <c r="K125" i="9"/>
  <c r="K126" i="9"/>
  <c r="K127" i="9"/>
  <c r="K128" i="9"/>
  <c r="K129" i="9"/>
  <c r="K130" i="9"/>
  <c r="K131" i="9"/>
  <c r="K132" i="9"/>
  <c r="K133" i="9"/>
  <c r="K134" i="9"/>
  <c r="K135" i="9"/>
  <c r="K136" i="9"/>
  <c r="K137" i="9"/>
  <c r="K138" i="9"/>
  <c r="K139" i="9"/>
  <c r="K140" i="9"/>
  <c r="K141" i="9"/>
  <c r="K142" i="9"/>
  <c r="K143" i="9"/>
  <c r="K144" i="9"/>
  <c r="K145" i="9"/>
  <c r="K146" i="9"/>
  <c r="K147" i="9"/>
  <c r="K148" i="9"/>
  <c r="K149" i="9"/>
  <c r="K150" i="9"/>
  <c r="AO20" i="3"/>
  <c r="D2" i="9" l="1"/>
  <c r="B2" i="9" s="1"/>
  <c r="D3" i="9"/>
  <c r="B3" i="9" s="1"/>
  <c r="D4" i="9"/>
  <c r="B4" i="9" s="1"/>
  <c r="D5" i="9"/>
  <c r="B5" i="9" s="1"/>
  <c r="D6" i="9"/>
  <c r="B6" i="9" s="1"/>
  <c r="D7" i="9"/>
  <c r="B7" i="9" s="1"/>
  <c r="D8" i="9"/>
  <c r="B8" i="9" s="1"/>
  <c r="D9" i="9"/>
  <c r="B9" i="9" s="1"/>
  <c r="D10" i="9"/>
  <c r="B10" i="9" s="1"/>
  <c r="D11" i="9"/>
  <c r="B11" i="9" s="1"/>
  <c r="D12" i="9"/>
  <c r="B12" i="9" s="1"/>
  <c r="D13" i="9"/>
  <c r="B13" i="9" s="1"/>
  <c r="D14" i="9"/>
  <c r="B14" i="9" s="1"/>
  <c r="D15" i="9"/>
  <c r="B15" i="9" s="1"/>
  <c r="D16" i="9"/>
  <c r="B16" i="9" s="1"/>
  <c r="D17" i="9"/>
  <c r="B17" i="9" s="1"/>
  <c r="D18" i="9"/>
  <c r="B18" i="9" s="1"/>
  <c r="D19" i="9"/>
  <c r="B19" i="9" s="1"/>
  <c r="D20" i="9"/>
  <c r="B20" i="9" s="1"/>
  <c r="D21" i="9"/>
  <c r="B21" i="9" s="1"/>
  <c r="D22" i="9"/>
  <c r="B22" i="9" s="1"/>
  <c r="D23" i="9"/>
  <c r="B23" i="9" s="1"/>
  <c r="D24" i="9"/>
  <c r="B24" i="9" s="1"/>
  <c r="D25" i="9"/>
  <c r="B25" i="9" s="1"/>
  <c r="D26" i="9"/>
  <c r="B26" i="9" s="1"/>
  <c r="D27" i="9"/>
  <c r="B27" i="9" s="1"/>
  <c r="D28" i="9"/>
  <c r="B28" i="9" s="1"/>
  <c r="D29" i="9"/>
  <c r="B29" i="9" s="1"/>
  <c r="D30" i="9"/>
  <c r="B30" i="9" s="1"/>
  <c r="D31" i="9"/>
  <c r="B31" i="9" s="1"/>
  <c r="D32" i="9"/>
  <c r="B32" i="9" s="1"/>
  <c r="D33" i="9"/>
  <c r="B33" i="9" s="1"/>
  <c r="D34" i="9"/>
  <c r="B34" i="9" s="1"/>
  <c r="D35" i="9"/>
  <c r="B35" i="9" s="1"/>
  <c r="D36" i="9"/>
  <c r="B36" i="9" s="1"/>
  <c r="D37" i="9"/>
  <c r="B37" i="9" s="1"/>
  <c r="D38" i="9"/>
  <c r="B38" i="9" s="1"/>
  <c r="D39" i="9"/>
  <c r="B39" i="9" s="1"/>
  <c r="D40" i="9"/>
  <c r="B40" i="9" s="1"/>
  <c r="D41" i="9"/>
  <c r="B41" i="9" s="1"/>
  <c r="D42" i="9"/>
  <c r="B42" i="9" s="1"/>
  <c r="D43" i="9"/>
  <c r="B43" i="9" s="1"/>
  <c r="D44" i="9"/>
  <c r="B44" i="9" s="1"/>
  <c r="D45" i="9"/>
  <c r="B45" i="9" s="1"/>
  <c r="D46" i="9"/>
  <c r="B46" i="9" s="1"/>
  <c r="D47" i="9"/>
  <c r="B47" i="9" s="1"/>
  <c r="D48" i="9"/>
  <c r="B48" i="9" s="1"/>
  <c r="D49" i="9"/>
  <c r="B49" i="9" s="1"/>
  <c r="D50" i="9"/>
  <c r="B50" i="9" s="1"/>
  <c r="D51" i="9"/>
  <c r="B51" i="9" s="1"/>
  <c r="D52" i="9"/>
  <c r="B52" i="9" s="1"/>
  <c r="D53" i="9"/>
  <c r="B53" i="9" s="1"/>
  <c r="D54" i="9"/>
  <c r="B54" i="9" s="1"/>
  <c r="D55" i="9"/>
  <c r="B55" i="9" s="1"/>
  <c r="D56" i="9"/>
  <c r="B56" i="9" s="1"/>
  <c r="D57" i="9"/>
  <c r="B57" i="9" s="1"/>
  <c r="D58" i="9"/>
  <c r="B58" i="9" s="1"/>
  <c r="D59" i="9"/>
  <c r="B59" i="9" s="1"/>
  <c r="D60" i="9"/>
  <c r="B60" i="9" s="1"/>
  <c r="D61" i="9"/>
  <c r="B61" i="9" s="1"/>
  <c r="D62" i="9"/>
  <c r="B62" i="9" s="1"/>
  <c r="D63" i="9"/>
  <c r="B63" i="9" s="1"/>
  <c r="D64" i="9"/>
  <c r="B64" i="9" s="1"/>
  <c r="D65" i="9"/>
  <c r="B65" i="9" s="1"/>
  <c r="D66" i="9"/>
  <c r="B66" i="9" s="1"/>
  <c r="D67" i="9"/>
  <c r="B67" i="9" s="1"/>
  <c r="D68" i="9"/>
  <c r="B68" i="9" s="1"/>
  <c r="D69" i="9"/>
  <c r="B69" i="9" s="1"/>
  <c r="D70" i="9"/>
  <c r="B70" i="9" s="1"/>
  <c r="D71" i="9"/>
  <c r="B71" i="9" s="1"/>
  <c r="D72" i="9"/>
  <c r="B72" i="9" s="1"/>
  <c r="D73" i="9"/>
  <c r="B73" i="9" s="1"/>
  <c r="D74" i="9"/>
  <c r="B74" i="9" s="1"/>
  <c r="D75" i="9"/>
  <c r="B75" i="9" s="1"/>
  <c r="D76" i="9"/>
  <c r="B76" i="9" s="1"/>
  <c r="D77" i="9"/>
  <c r="B77" i="9" s="1"/>
  <c r="D78" i="9"/>
  <c r="B78" i="9" s="1"/>
  <c r="D79" i="9"/>
  <c r="B79" i="9" s="1"/>
  <c r="D80" i="9"/>
  <c r="B80" i="9" s="1"/>
  <c r="D81" i="9"/>
  <c r="B81" i="9" s="1"/>
  <c r="D82" i="9"/>
  <c r="B82" i="9" s="1"/>
  <c r="D83" i="9"/>
  <c r="B83" i="9" s="1"/>
  <c r="D84" i="9"/>
  <c r="B84" i="9" s="1"/>
  <c r="D85" i="9"/>
  <c r="B85" i="9" s="1"/>
  <c r="D86" i="9"/>
  <c r="B86" i="9" s="1"/>
  <c r="D87" i="9"/>
  <c r="B87" i="9" s="1"/>
  <c r="D88" i="9"/>
  <c r="B88" i="9" s="1"/>
  <c r="D89" i="9"/>
  <c r="B89" i="9" s="1"/>
  <c r="D90" i="9"/>
  <c r="B90" i="9" s="1"/>
  <c r="D91" i="9"/>
  <c r="B91" i="9" s="1"/>
  <c r="D92" i="9"/>
  <c r="B92" i="9" s="1"/>
  <c r="D93" i="9"/>
  <c r="B93" i="9" s="1"/>
  <c r="D94" i="9"/>
  <c r="B94" i="9" s="1"/>
  <c r="D95" i="9"/>
  <c r="B95" i="9" s="1"/>
  <c r="D96" i="9"/>
  <c r="B96" i="9" s="1"/>
  <c r="D97" i="9"/>
  <c r="B97" i="9" s="1"/>
  <c r="D98" i="9"/>
  <c r="B98" i="9" s="1"/>
  <c r="D99" i="9"/>
  <c r="B99" i="9" s="1"/>
  <c r="D100" i="9"/>
  <c r="B100" i="9" s="1"/>
  <c r="D101" i="9"/>
  <c r="B101" i="9" s="1"/>
  <c r="D102" i="9"/>
  <c r="B102" i="9" s="1"/>
  <c r="D103" i="9"/>
  <c r="B103" i="9" s="1"/>
  <c r="D104" i="9"/>
  <c r="B104" i="9" s="1"/>
  <c r="D105" i="9"/>
  <c r="B105" i="9" s="1"/>
  <c r="D106" i="9"/>
  <c r="B106" i="9" s="1"/>
  <c r="D107" i="9"/>
  <c r="B107" i="9" s="1"/>
  <c r="D108" i="9"/>
  <c r="B108" i="9" s="1"/>
  <c r="D109" i="9"/>
  <c r="B109" i="9" s="1"/>
  <c r="D110" i="9"/>
  <c r="B110" i="9" s="1"/>
  <c r="D111" i="9"/>
  <c r="B111" i="9" s="1"/>
  <c r="D112" i="9"/>
  <c r="B112" i="9" s="1"/>
  <c r="D113" i="9"/>
  <c r="B113" i="9" s="1"/>
  <c r="D114" i="9"/>
  <c r="B114" i="9" s="1"/>
  <c r="D115" i="9"/>
  <c r="B115" i="9" s="1"/>
  <c r="D116" i="9"/>
  <c r="B116" i="9" s="1"/>
  <c r="D117" i="9"/>
  <c r="B117" i="9" s="1"/>
  <c r="D118" i="9"/>
  <c r="B118" i="9" s="1"/>
  <c r="D119" i="9"/>
  <c r="B119" i="9" s="1"/>
  <c r="D120" i="9"/>
  <c r="B120" i="9" s="1"/>
  <c r="D121" i="9"/>
  <c r="B121" i="9" s="1"/>
  <c r="D122" i="9"/>
  <c r="B122" i="9" s="1"/>
  <c r="D123" i="9"/>
  <c r="B123" i="9" s="1"/>
  <c r="D124" i="9"/>
  <c r="B124" i="9" s="1"/>
  <c r="D125" i="9"/>
  <c r="B125" i="9" s="1"/>
  <c r="D126" i="9"/>
  <c r="B126" i="9" s="1"/>
  <c r="D127" i="9"/>
  <c r="B127" i="9" s="1"/>
  <c r="D128" i="9"/>
  <c r="B128" i="9" s="1"/>
  <c r="D129" i="9"/>
  <c r="B129" i="9" s="1"/>
  <c r="D130" i="9"/>
  <c r="B130" i="9" s="1"/>
  <c r="D131" i="9"/>
  <c r="B131" i="9" s="1"/>
  <c r="D132" i="9"/>
  <c r="B132" i="9" s="1"/>
  <c r="D133" i="9"/>
  <c r="B133" i="9" s="1"/>
  <c r="D134" i="9"/>
  <c r="B134" i="9" s="1"/>
  <c r="D135" i="9"/>
  <c r="B135" i="9" s="1"/>
  <c r="D136" i="9"/>
  <c r="B136" i="9" s="1"/>
  <c r="D137" i="9"/>
  <c r="B137" i="9" s="1"/>
  <c r="D138" i="9"/>
  <c r="B138" i="9" s="1"/>
  <c r="D139" i="9"/>
  <c r="B139" i="9" s="1"/>
  <c r="D140" i="9"/>
  <c r="B140" i="9" s="1"/>
  <c r="D141" i="9"/>
  <c r="B141" i="9" s="1"/>
  <c r="D142" i="9"/>
  <c r="B142" i="9" s="1"/>
  <c r="D143" i="9"/>
  <c r="B143" i="9" s="1"/>
  <c r="D144" i="9"/>
  <c r="B144" i="9" s="1"/>
  <c r="D145" i="9"/>
  <c r="B145" i="9" s="1"/>
  <c r="D146" i="9"/>
  <c r="B146" i="9" s="1"/>
  <c r="D147" i="9"/>
  <c r="B147" i="9" s="1"/>
  <c r="D148" i="9"/>
  <c r="B148" i="9" s="1"/>
  <c r="D149" i="9"/>
  <c r="B149" i="9" s="1"/>
  <c r="D150" i="9"/>
  <c r="B150" i="9" s="1"/>
  <c r="M5" i="9"/>
  <c r="M21" i="9"/>
  <c r="M37" i="9"/>
  <c r="M53" i="9"/>
  <c r="M69" i="9"/>
  <c r="M85" i="9"/>
  <c r="M101" i="9"/>
  <c r="M117" i="9"/>
  <c r="M133" i="9"/>
  <c r="M149" i="9"/>
  <c r="C2"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E2"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AO17" i="3"/>
  <c r="M89" i="9" l="1"/>
  <c r="M145" i="9"/>
  <c r="M141" i="9"/>
  <c r="M137" i="9"/>
  <c r="M129" i="9"/>
  <c r="M125" i="9"/>
  <c r="M121" i="9"/>
  <c r="M113" i="9"/>
  <c r="M109" i="9"/>
  <c r="M105" i="9"/>
  <c r="M97" i="9"/>
  <c r="M93" i="9"/>
  <c r="M81" i="9"/>
  <c r="M77" i="9"/>
  <c r="M73" i="9"/>
  <c r="M65" i="9"/>
  <c r="M61" i="9"/>
  <c r="M57" i="9"/>
  <c r="M49" i="9"/>
  <c r="M45" i="9"/>
  <c r="M41" i="9"/>
  <c r="M33" i="9"/>
  <c r="M29" i="9"/>
  <c r="M25" i="9"/>
  <c r="M17" i="9"/>
  <c r="M13" i="9"/>
  <c r="M9" i="9"/>
  <c r="M144" i="9"/>
  <c r="M132" i="9"/>
  <c r="M120" i="9"/>
  <c r="M108" i="9"/>
  <c r="M96" i="9"/>
  <c r="M84" i="9"/>
  <c r="M68" i="9"/>
  <c r="M60" i="9"/>
  <c r="M48" i="9"/>
  <c r="M36" i="9"/>
  <c r="M24" i="9"/>
  <c r="M12" i="9"/>
  <c r="M139" i="9"/>
  <c r="M131" i="9"/>
  <c r="M119" i="9"/>
  <c r="M107" i="9"/>
  <c r="M95" i="9"/>
  <c r="M83" i="9"/>
  <c r="M71" i="9"/>
  <c r="M59" i="9"/>
  <c r="M51" i="9"/>
  <c r="M35" i="9"/>
  <c r="M11" i="9"/>
  <c r="M148" i="9"/>
  <c r="M136" i="9"/>
  <c r="M124" i="9"/>
  <c r="M112" i="9"/>
  <c r="M100" i="9"/>
  <c r="M88" i="9"/>
  <c r="M76" i="9"/>
  <c r="M64" i="9"/>
  <c r="M52" i="9"/>
  <c r="M40" i="9"/>
  <c r="M28" i="9"/>
  <c r="M16" i="9"/>
  <c r="M143" i="9"/>
  <c r="M127" i="9"/>
  <c r="M115" i="9"/>
  <c r="M103" i="9"/>
  <c r="M91" i="9"/>
  <c r="M75" i="9"/>
  <c r="M63" i="9"/>
  <c r="M47" i="9"/>
  <c r="M39" i="9"/>
  <c r="M27" i="9"/>
  <c r="M19" i="9"/>
  <c r="M3" i="9"/>
  <c r="M146" i="9"/>
  <c r="M138" i="9"/>
  <c r="M130" i="9"/>
  <c r="M118" i="9"/>
  <c r="M110" i="9"/>
  <c r="M102" i="9"/>
  <c r="M90" i="9"/>
  <c r="M82" i="9"/>
  <c r="M70" i="9"/>
  <c r="M62" i="9"/>
  <c r="M54" i="9"/>
  <c r="M42" i="9"/>
  <c r="M34" i="9"/>
  <c r="M26" i="9"/>
  <c r="M18" i="9"/>
  <c r="M2" i="9"/>
  <c r="M140" i="9"/>
  <c r="M128" i="9"/>
  <c r="M116" i="9"/>
  <c r="M104" i="9"/>
  <c r="M92" i="9"/>
  <c r="M80" i="9"/>
  <c r="M72" i="9"/>
  <c r="M56" i="9"/>
  <c r="M44" i="9"/>
  <c r="M32" i="9"/>
  <c r="M20" i="9"/>
  <c r="M8" i="9"/>
  <c r="M4" i="9"/>
  <c r="M147" i="9"/>
  <c r="M135" i="9"/>
  <c r="M123" i="9"/>
  <c r="M111" i="9"/>
  <c r="M99" i="9"/>
  <c r="M87" i="9"/>
  <c r="M79" i="9"/>
  <c r="M67" i="9"/>
  <c r="M55" i="9"/>
  <c r="M43" i="9"/>
  <c r="M31" i="9"/>
  <c r="M23" i="9"/>
  <c r="M15" i="9"/>
  <c r="M7" i="9"/>
  <c r="M150" i="9"/>
  <c r="M142" i="9"/>
  <c r="M134" i="9"/>
  <c r="M126" i="9"/>
  <c r="M122" i="9"/>
  <c r="M114" i="9"/>
  <c r="M106" i="9"/>
  <c r="M98" i="9"/>
  <c r="M94" i="9"/>
  <c r="M86" i="9"/>
  <c r="M78" i="9"/>
  <c r="M74" i="9"/>
  <c r="M66" i="9"/>
  <c r="M58" i="9"/>
  <c r="M50" i="9"/>
  <c r="M46" i="9"/>
  <c r="M38" i="9"/>
  <c r="M30" i="9"/>
  <c r="M22" i="9"/>
  <c r="M14" i="9"/>
  <c r="M10" i="9"/>
  <c r="M6" i="9"/>
  <c r="A34" i="10"/>
  <c r="V33" i="10"/>
  <c r="V41" i="10"/>
  <c r="D353" i="10"/>
  <c r="W72" i="10"/>
  <c r="D131" i="10"/>
  <c r="D59" i="10"/>
  <c r="AO23" i="3"/>
  <c r="X168" i="10"/>
  <c r="I172" i="9" l="1"/>
  <c r="I194" i="9"/>
  <c r="I155" i="9"/>
  <c r="I169" i="9"/>
  <c r="I177" i="9"/>
  <c r="I176" i="9"/>
  <c r="I184" i="9"/>
  <c r="I195" i="9"/>
  <c r="I168" i="9"/>
  <c r="I174" i="9"/>
  <c r="I175" i="9"/>
  <c r="I198" i="9"/>
  <c r="I159" i="9"/>
  <c r="I164" i="9"/>
  <c r="I165" i="9"/>
  <c r="I167" i="9"/>
  <c r="I185" i="9"/>
  <c r="I190" i="9"/>
  <c r="I199" i="9"/>
  <c r="I179" i="9"/>
  <c r="I151" i="9"/>
  <c r="I156" i="9"/>
  <c r="I173" i="9"/>
  <c r="I191" i="9"/>
  <c r="I170" i="9"/>
  <c r="I187" i="9"/>
  <c r="I162" i="9"/>
  <c r="I157" i="9"/>
  <c r="I154" i="9"/>
  <c r="I197" i="9"/>
  <c r="I158" i="9"/>
  <c r="I182" i="9"/>
  <c r="I188" i="9"/>
  <c r="I196" i="9"/>
  <c r="I152" i="9"/>
  <c r="I189" i="9"/>
  <c r="I183" i="9"/>
  <c r="I193" i="9"/>
  <c r="I163" i="9"/>
  <c r="I160" i="9"/>
  <c r="I192" i="9"/>
  <c r="I181" i="9"/>
  <c r="I171" i="9"/>
  <c r="I186" i="9"/>
  <c r="I180" i="9"/>
  <c r="I166" i="9"/>
  <c r="I153" i="9"/>
  <c r="I178" i="9"/>
  <c r="I161" i="9"/>
  <c r="I200" i="9"/>
  <c r="H198" i="9"/>
  <c r="H188" i="9"/>
  <c r="H196" i="9"/>
  <c r="H180" i="9"/>
  <c r="H181" i="9"/>
  <c r="H185" i="9"/>
  <c r="H189" i="9"/>
  <c r="H190" i="9"/>
  <c r="H199" i="9"/>
  <c r="H200" i="9"/>
  <c r="H182" i="9"/>
  <c r="H191" i="9"/>
  <c r="H195" i="9"/>
  <c r="H183" i="9"/>
  <c r="H186" i="9"/>
  <c r="H187" i="9"/>
  <c r="H192" i="9"/>
  <c r="H193" i="9"/>
  <c r="H194" i="9"/>
  <c r="H184" i="9"/>
  <c r="H197" i="9"/>
  <c r="H168" i="9"/>
  <c r="H153" i="9"/>
  <c r="H179" i="9"/>
  <c r="H158" i="9"/>
  <c r="H157" i="9"/>
  <c r="H152" i="9"/>
  <c r="H155" i="9"/>
  <c r="H154" i="9"/>
  <c r="H176" i="9"/>
  <c r="H156" i="9"/>
  <c r="H162" i="9"/>
  <c r="H166" i="9"/>
  <c r="H169" i="9"/>
  <c r="H174" i="9"/>
  <c r="H172" i="9"/>
  <c r="H151" i="9"/>
  <c r="H171" i="9"/>
  <c r="H178" i="9"/>
  <c r="H163" i="9"/>
  <c r="H173" i="9"/>
  <c r="H167" i="9"/>
  <c r="H165" i="9"/>
  <c r="H160" i="9"/>
  <c r="H177" i="9"/>
  <c r="H170" i="9"/>
  <c r="H164" i="9"/>
  <c r="H175" i="9"/>
  <c r="H161" i="9"/>
  <c r="H159" i="9"/>
  <c r="C30" i="10"/>
  <c r="H3" i="9"/>
  <c r="H8" i="9"/>
  <c r="H14" i="9"/>
  <c r="H19" i="9"/>
  <c r="H24" i="9"/>
  <c r="H30" i="9"/>
  <c r="H35" i="9"/>
  <c r="H40" i="9"/>
  <c r="H46" i="9"/>
  <c r="H51" i="9"/>
  <c r="H56" i="9"/>
  <c r="H62" i="9"/>
  <c r="H67" i="9"/>
  <c r="H72" i="9"/>
  <c r="H78" i="9"/>
  <c r="H83" i="9"/>
  <c r="H88" i="9"/>
  <c r="H94" i="9"/>
  <c r="H99" i="9"/>
  <c r="H104" i="9"/>
  <c r="H110" i="9"/>
  <c r="H115" i="9"/>
  <c r="H120" i="9"/>
  <c r="H126" i="9"/>
  <c r="H131" i="9"/>
  <c r="H136" i="9"/>
  <c r="H142" i="9"/>
  <c r="H147" i="9"/>
  <c r="H32" i="9"/>
  <c r="H48" i="9"/>
  <c r="H59" i="9"/>
  <c r="H75" i="9"/>
  <c r="H86" i="9"/>
  <c r="H96" i="9"/>
  <c r="H107" i="9"/>
  <c r="H118" i="9"/>
  <c r="H128" i="9"/>
  <c r="H139" i="9"/>
  <c r="H150" i="9"/>
  <c r="H7" i="9"/>
  <c r="H12" i="9"/>
  <c r="H23" i="9"/>
  <c r="H34" i="9"/>
  <c r="H44" i="9"/>
  <c r="H55" i="9"/>
  <c r="H66" i="9"/>
  <c r="H76" i="9"/>
  <c r="H92" i="9"/>
  <c r="H103" i="9"/>
  <c r="H114" i="9"/>
  <c r="H124" i="9"/>
  <c r="H140" i="9"/>
  <c r="H13" i="9"/>
  <c r="H4" i="9"/>
  <c r="H10" i="9"/>
  <c r="H15" i="9"/>
  <c r="H20" i="9"/>
  <c r="H26" i="9"/>
  <c r="H31" i="9"/>
  <c r="H36" i="9"/>
  <c r="H42" i="9"/>
  <c r="H47" i="9"/>
  <c r="H52" i="9"/>
  <c r="H58" i="9"/>
  <c r="H63" i="9"/>
  <c r="H68" i="9"/>
  <c r="H74" i="9"/>
  <c r="H79" i="9"/>
  <c r="H84" i="9"/>
  <c r="H90" i="9"/>
  <c r="H95" i="9"/>
  <c r="H100" i="9"/>
  <c r="H106" i="9"/>
  <c r="H111" i="9"/>
  <c r="H116" i="9"/>
  <c r="H122" i="9"/>
  <c r="H127" i="9"/>
  <c r="H132" i="9"/>
  <c r="H138" i="9"/>
  <c r="H143" i="9"/>
  <c r="H148" i="9"/>
  <c r="H6" i="9"/>
  <c r="H11" i="9"/>
  <c r="H16" i="9"/>
  <c r="H22" i="9"/>
  <c r="H27" i="9"/>
  <c r="H38" i="9"/>
  <c r="H43" i="9"/>
  <c r="H54" i="9"/>
  <c r="H64" i="9"/>
  <c r="H70" i="9"/>
  <c r="H80" i="9"/>
  <c r="H91" i="9"/>
  <c r="H102" i="9"/>
  <c r="H112" i="9"/>
  <c r="H123" i="9"/>
  <c r="H134" i="9"/>
  <c r="H144" i="9"/>
  <c r="H125" i="9"/>
  <c r="H2" i="9"/>
  <c r="H18" i="9"/>
  <c r="H28" i="9"/>
  <c r="H39" i="9"/>
  <c r="H50" i="9"/>
  <c r="H60" i="9"/>
  <c r="H71" i="9"/>
  <c r="H82" i="9"/>
  <c r="H87" i="9"/>
  <c r="H98" i="9"/>
  <c r="H108" i="9"/>
  <c r="H119" i="9"/>
  <c r="H130" i="9"/>
  <c r="H135" i="9"/>
  <c r="H146" i="9"/>
  <c r="H45" i="9"/>
  <c r="H145" i="9"/>
  <c r="H137" i="9"/>
  <c r="H133" i="9"/>
  <c r="H117" i="9"/>
  <c r="H109" i="9"/>
  <c r="H101" i="9"/>
  <c r="H97" i="9"/>
  <c r="H89" i="9"/>
  <c r="H81" i="9"/>
  <c r="H73" i="9"/>
  <c r="H65" i="9"/>
  <c r="H57" i="9"/>
  <c r="H49" i="9"/>
  <c r="H37" i="9"/>
  <c r="H29" i="9"/>
  <c r="H21" i="9"/>
  <c r="H9" i="9"/>
  <c r="H149" i="9"/>
  <c r="H141" i="9"/>
  <c r="H129" i="9"/>
  <c r="H121" i="9"/>
  <c r="H113" i="9"/>
  <c r="H105" i="9"/>
  <c r="H93" i="9"/>
  <c r="H85" i="9"/>
  <c r="H77" i="9"/>
  <c r="H69" i="9"/>
  <c r="H61" i="9"/>
  <c r="H53" i="9"/>
  <c r="H41" i="9"/>
  <c r="H33" i="9"/>
  <c r="H25" i="9"/>
  <c r="H17" i="9"/>
  <c r="H5" i="9"/>
  <c r="Q150" i="9"/>
  <c r="R138" i="9"/>
  <c r="R130" i="9"/>
  <c r="R122" i="9"/>
  <c r="R114" i="9"/>
  <c r="O102" i="9"/>
  <c r="U94" i="9"/>
  <c r="Q86" i="9"/>
  <c r="R74" i="9"/>
  <c r="R66" i="9"/>
  <c r="Q54" i="9"/>
  <c r="R42" i="9"/>
  <c r="U30" i="9"/>
  <c r="R10" i="9"/>
  <c r="R146" i="9"/>
  <c r="O134" i="9"/>
  <c r="U126" i="9"/>
  <c r="Q118" i="9"/>
  <c r="R106" i="9"/>
  <c r="R98" i="9"/>
  <c r="R90" i="9"/>
  <c r="R82" i="9"/>
  <c r="O70" i="9"/>
  <c r="U62" i="9"/>
  <c r="R50" i="9"/>
  <c r="O38" i="9"/>
  <c r="R34" i="9"/>
  <c r="R26" i="9"/>
  <c r="Q22" i="9"/>
  <c r="R18" i="9"/>
  <c r="O6" i="9"/>
  <c r="Q149" i="9"/>
  <c r="O145" i="9"/>
  <c r="T137" i="9"/>
  <c r="Q133" i="9"/>
  <c r="O129" i="9"/>
  <c r="Q125" i="9"/>
  <c r="T121" i="9"/>
  <c r="Q117" i="9"/>
  <c r="O113" i="9"/>
  <c r="P109" i="9"/>
  <c r="T105" i="9"/>
  <c r="Q101" i="9"/>
  <c r="O97" i="9"/>
  <c r="Q93" i="9"/>
  <c r="T89" i="9"/>
  <c r="Q85" i="9"/>
  <c r="O81" i="9"/>
  <c r="P77" i="9"/>
  <c r="T73" i="9"/>
  <c r="Q69" i="9"/>
  <c r="O65" i="9"/>
  <c r="Q61" i="9"/>
  <c r="T57" i="9"/>
  <c r="Q53" i="9"/>
  <c r="O49" i="9"/>
  <c r="T41" i="9"/>
  <c r="Q37" i="9"/>
  <c r="O33" i="9"/>
  <c r="Q29" i="9"/>
  <c r="T25" i="9"/>
  <c r="Q21" i="9"/>
  <c r="O17" i="9"/>
  <c r="Q13" i="9"/>
  <c r="T9" i="9"/>
  <c r="Q5" i="9"/>
  <c r="J150" i="9"/>
  <c r="J146" i="9"/>
  <c r="J138" i="9"/>
  <c r="J134" i="9"/>
  <c r="J130" i="9"/>
  <c r="J126" i="9"/>
  <c r="J122" i="9"/>
  <c r="J118" i="9"/>
  <c r="J114" i="9"/>
  <c r="J106" i="9"/>
  <c r="J102" i="9"/>
  <c r="J98" i="9"/>
  <c r="J94" i="9"/>
  <c r="J90" i="9"/>
  <c r="J86" i="9"/>
  <c r="J82" i="9"/>
  <c r="J74" i="9"/>
  <c r="J70" i="9"/>
  <c r="J66" i="9"/>
  <c r="J62" i="9"/>
  <c r="J58" i="9"/>
  <c r="J54" i="9"/>
  <c r="J50" i="9"/>
  <c r="J42" i="9"/>
  <c r="J38" i="9"/>
  <c r="J34" i="9"/>
  <c r="J30" i="9"/>
  <c r="J26" i="9"/>
  <c r="J22" i="9"/>
  <c r="J18" i="9"/>
  <c r="J10" i="9"/>
  <c r="J6" i="9"/>
  <c r="J149" i="9"/>
  <c r="J145" i="9"/>
  <c r="J141" i="9"/>
  <c r="J137" i="9"/>
  <c r="J133" i="9"/>
  <c r="J129" i="9"/>
  <c r="J125" i="9"/>
  <c r="J121" i="9"/>
  <c r="J117" i="9"/>
  <c r="J113" i="9"/>
  <c r="J109" i="9"/>
  <c r="J105" i="9"/>
  <c r="J101" i="9"/>
  <c r="J97" i="9"/>
  <c r="J93" i="9"/>
  <c r="J89" i="9"/>
  <c r="J85" i="9"/>
  <c r="J81" i="9"/>
  <c r="J77" i="9"/>
  <c r="J73" i="9"/>
  <c r="J69" i="9"/>
  <c r="J65" i="9"/>
  <c r="J61" i="9"/>
  <c r="J57" i="9"/>
  <c r="J53" i="9"/>
  <c r="J49" i="9"/>
  <c r="J45" i="9"/>
  <c r="J41" i="9"/>
  <c r="J37" i="9"/>
  <c r="J33" i="9"/>
  <c r="J29" i="9"/>
  <c r="J25" i="9"/>
  <c r="J21" i="9"/>
  <c r="J17" i="9"/>
  <c r="J13" i="9"/>
  <c r="J9" i="9"/>
  <c r="J5" i="9"/>
  <c r="Y2" i="9"/>
  <c r="P145" i="9"/>
  <c r="P137" i="9"/>
  <c r="P113" i="9"/>
  <c r="P105" i="9"/>
  <c r="P81" i="9"/>
  <c r="P73" i="9"/>
  <c r="P49" i="9"/>
  <c r="P17" i="9"/>
  <c r="P121" i="9"/>
  <c r="P89" i="9"/>
  <c r="P57" i="9"/>
  <c r="P25" i="9"/>
  <c r="X89" i="9"/>
  <c r="V41" i="9"/>
  <c r="W25" i="9"/>
  <c r="V9" i="9"/>
  <c r="U142" i="9"/>
  <c r="U110" i="9"/>
  <c r="Y78" i="9"/>
  <c r="U46" i="9"/>
  <c r="U14" i="9"/>
  <c r="T26" i="9"/>
  <c r="T90" i="9"/>
  <c r="P41" i="9"/>
  <c r="P9" i="9"/>
  <c r="W110" i="9"/>
  <c r="P129" i="9"/>
  <c r="P97" i="9"/>
  <c r="P65" i="9"/>
  <c r="P33" i="9"/>
  <c r="W147" i="9"/>
  <c r="Y135" i="9"/>
  <c r="W127" i="9"/>
  <c r="Y115" i="9"/>
  <c r="Y107" i="9"/>
  <c r="T95" i="9"/>
  <c r="W83" i="9"/>
  <c r="J75" i="9"/>
  <c r="S63" i="9"/>
  <c r="T51" i="9"/>
  <c r="V35" i="9"/>
  <c r="V23" i="9"/>
  <c r="U15" i="9"/>
  <c r="V7" i="9"/>
  <c r="W45" i="9"/>
  <c r="Q45" i="9"/>
  <c r="O149" i="9"/>
  <c r="O133" i="9"/>
  <c r="O117" i="9"/>
  <c r="O101" i="9"/>
  <c r="O85" i="9"/>
  <c r="O69" i="9"/>
  <c r="O53" i="9"/>
  <c r="O37" i="9"/>
  <c r="O21" i="9"/>
  <c r="S5" i="9"/>
  <c r="X58" i="9"/>
  <c r="R58" i="9"/>
  <c r="O146" i="9"/>
  <c r="O138" i="9"/>
  <c r="O130" i="9"/>
  <c r="O122" i="9"/>
  <c r="O114" i="9"/>
  <c r="O106" i="9"/>
  <c r="O98" i="9"/>
  <c r="O90" i="9"/>
  <c r="O82" i="9"/>
  <c r="O74" i="9"/>
  <c r="O66" i="9"/>
  <c r="O58" i="9"/>
  <c r="O50" i="9"/>
  <c r="O42" i="9"/>
  <c r="O34" i="9"/>
  <c r="O26" i="9"/>
  <c r="O18" i="9"/>
  <c r="O10" i="9"/>
  <c r="P150" i="9"/>
  <c r="P134" i="9"/>
  <c r="P126" i="9"/>
  <c r="P118" i="9"/>
  <c r="P102" i="9"/>
  <c r="P94" i="9"/>
  <c r="P86" i="9"/>
  <c r="P70" i="9"/>
  <c r="P62" i="9"/>
  <c r="P54" i="9"/>
  <c r="P38" i="9"/>
  <c r="P30" i="9"/>
  <c r="P22" i="9"/>
  <c r="P6" i="9"/>
  <c r="Q134" i="9"/>
  <c r="Q102" i="9"/>
  <c r="Q70" i="9"/>
  <c r="Q38" i="9"/>
  <c r="Q6" i="9"/>
  <c r="S53" i="9"/>
  <c r="T138" i="9"/>
  <c r="T74" i="9"/>
  <c r="T10" i="9"/>
  <c r="X61" i="9"/>
  <c r="Y119" i="9"/>
  <c r="W99" i="9"/>
  <c r="T87" i="9"/>
  <c r="T67" i="9"/>
  <c r="X47" i="9"/>
  <c r="X3" i="9"/>
  <c r="W141" i="9"/>
  <c r="Q141" i="9"/>
  <c r="S93" i="9"/>
  <c r="S77" i="9"/>
  <c r="S61" i="9"/>
  <c r="S45" i="9"/>
  <c r="X29" i="9"/>
  <c r="S13" i="9"/>
  <c r="W2" i="9"/>
  <c r="O2" i="9"/>
  <c r="O137" i="9"/>
  <c r="O121" i="9"/>
  <c r="O105" i="9"/>
  <c r="O89" i="9"/>
  <c r="O73" i="9"/>
  <c r="O57" i="9"/>
  <c r="O41" i="9"/>
  <c r="O25" i="9"/>
  <c r="O9" i="9"/>
  <c r="P149" i="9"/>
  <c r="P141" i="9"/>
  <c r="P133" i="9"/>
  <c r="P125" i="9"/>
  <c r="P117" i="9"/>
  <c r="P101" i="9"/>
  <c r="P93" i="9"/>
  <c r="P85" i="9"/>
  <c r="P69" i="9"/>
  <c r="P61" i="9"/>
  <c r="P53" i="9"/>
  <c r="P45" i="9"/>
  <c r="P37" i="9"/>
  <c r="P29" i="9"/>
  <c r="P21" i="9"/>
  <c r="P13" i="9"/>
  <c r="P5" i="9"/>
  <c r="Q126" i="9"/>
  <c r="Q94" i="9"/>
  <c r="Q62" i="9"/>
  <c r="Q30" i="9"/>
  <c r="S101" i="9"/>
  <c r="S37" i="9"/>
  <c r="T122" i="9"/>
  <c r="T58" i="9"/>
  <c r="V25" i="9"/>
  <c r="Y146" i="9"/>
  <c r="T143" i="9"/>
  <c r="T131" i="9"/>
  <c r="T123" i="9"/>
  <c r="V111" i="9"/>
  <c r="W103" i="9"/>
  <c r="Q79" i="9"/>
  <c r="W71" i="9"/>
  <c r="R55" i="9"/>
  <c r="X43" i="9"/>
  <c r="X31" i="9"/>
  <c r="Y27" i="9"/>
  <c r="S11" i="9"/>
  <c r="X109" i="9"/>
  <c r="W109" i="9"/>
  <c r="Q109" i="9"/>
  <c r="W77" i="9"/>
  <c r="Q77" i="9"/>
  <c r="O141" i="9"/>
  <c r="O125" i="9"/>
  <c r="O109" i="9"/>
  <c r="O93" i="9"/>
  <c r="O77" i="9"/>
  <c r="O61" i="9"/>
  <c r="O45" i="9"/>
  <c r="O29" i="9"/>
  <c r="O13" i="9"/>
  <c r="O5" i="9"/>
  <c r="S69" i="9"/>
  <c r="R148" i="9"/>
  <c r="Y140" i="9"/>
  <c r="V132" i="9"/>
  <c r="Y128" i="9"/>
  <c r="S120" i="9"/>
  <c r="R116" i="9"/>
  <c r="W108" i="9"/>
  <c r="R100" i="9"/>
  <c r="W88" i="9"/>
  <c r="Y76" i="9"/>
  <c r="X72" i="9"/>
  <c r="V68" i="9"/>
  <c r="X64" i="9"/>
  <c r="X60" i="9"/>
  <c r="S56" i="9"/>
  <c r="Q44" i="9"/>
  <c r="Y32" i="9"/>
  <c r="T24" i="9"/>
  <c r="U20" i="9"/>
  <c r="W16" i="9"/>
  <c r="X4" i="9"/>
  <c r="O150" i="9"/>
  <c r="O126" i="9"/>
  <c r="O118" i="9"/>
  <c r="O94" i="9"/>
  <c r="O86" i="9"/>
  <c r="O62" i="9"/>
  <c r="O54" i="9"/>
  <c r="O30" i="9"/>
  <c r="O22" i="9"/>
  <c r="O14" i="9"/>
  <c r="P146" i="9"/>
  <c r="P138" i="9"/>
  <c r="P130" i="9"/>
  <c r="P122" i="9"/>
  <c r="P114" i="9"/>
  <c r="P106" i="9"/>
  <c r="P98" i="9"/>
  <c r="P90" i="9"/>
  <c r="P82" i="9"/>
  <c r="P74" i="9"/>
  <c r="P66" i="9"/>
  <c r="P58" i="9"/>
  <c r="P50" i="9"/>
  <c r="P42" i="9"/>
  <c r="P34" i="9"/>
  <c r="P26" i="9"/>
  <c r="P18" i="9"/>
  <c r="P10" i="9"/>
  <c r="S85" i="9"/>
  <c r="S21" i="9"/>
  <c r="T106" i="9"/>
  <c r="T42" i="9"/>
  <c r="W142" i="9"/>
  <c r="Y82" i="9"/>
  <c r="Y150" i="9"/>
  <c r="X150" i="9"/>
  <c r="V150" i="9"/>
  <c r="W150" i="9"/>
  <c r="T150" i="9"/>
  <c r="S150" i="9"/>
  <c r="X146" i="9"/>
  <c r="W146" i="9"/>
  <c r="V146" i="9"/>
  <c r="U146" i="9"/>
  <c r="S146" i="9"/>
  <c r="X138" i="9"/>
  <c r="Y138" i="9"/>
  <c r="W138" i="9"/>
  <c r="V138" i="9"/>
  <c r="U138" i="9"/>
  <c r="S138" i="9"/>
  <c r="Y134" i="9"/>
  <c r="X134" i="9"/>
  <c r="V134" i="9"/>
  <c r="W134" i="9"/>
  <c r="T134" i="9"/>
  <c r="S134" i="9"/>
  <c r="W130" i="9"/>
  <c r="V130" i="9"/>
  <c r="U130" i="9"/>
  <c r="Y130" i="9"/>
  <c r="S130" i="9"/>
  <c r="Y126" i="9"/>
  <c r="X126" i="9"/>
  <c r="V126" i="9"/>
  <c r="T126" i="9"/>
  <c r="S126" i="9"/>
  <c r="X122" i="9"/>
  <c r="Y122" i="9"/>
  <c r="W122" i="9"/>
  <c r="V122" i="9"/>
  <c r="U122" i="9"/>
  <c r="S122" i="9"/>
  <c r="Y118" i="9"/>
  <c r="X118" i="9"/>
  <c r="V118" i="9"/>
  <c r="W118" i="9"/>
  <c r="T118" i="9"/>
  <c r="S118" i="9"/>
  <c r="X114" i="9"/>
  <c r="W114" i="9"/>
  <c r="V114" i="9"/>
  <c r="U114" i="9"/>
  <c r="S114" i="9"/>
  <c r="X106" i="9"/>
  <c r="S106" i="9"/>
  <c r="Y106" i="9"/>
  <c r="W106" i="9"/>
  <c r="V106" i="9"/>
  <c r="U106" i="9"/>
  <c r="Y102" i="9"/>
  <c r="X102" i="9"/>
  <c r="S102" i="9"/>
  <c r="V102" i="9"/>
  <c r="W102" i="9"/>
  <c r="T102" i="9"/>
  <c r="S98" i="9"/>
  <c r="W98" i="9"/>
  <c r="V98" i="9"/>
  <c r="X98" i="9"/>
  <c r="U98" i="9"/>
  <c r="Y98" i="9"/>
  <c r="Y94" i="9"/>
  <c r="S94" i="9"/>
  <c r="X94" i="9"/>
  <c r="V94" i="9"/>
  <c r="T94" i="9"/>
  <c r="X90" i="9"/>
  <c r="S90" i="9"/>
  <c r="Y90" i="9"/>
  <c r="W90" i="9"/>
  <c r="V90" i="9"/>
  <c r="U90" i="9"/>
  <c r="Y86" i="9"/>
  <c r="X86" i="9"/>
  <c r="S86" i="9"/>
  <c r="V86" i="9"/>
  <c r="W86" i="9"/>
  <c r="T86" i="9"/>
  <c r="X82" i="9"/>
  <c r="S82" i="9"/>
  <c r="W82" i="9"/>
  <c r="V82" i="9"/>
  <c r="U82" i="9"/>
  <c r="S74" i="9"/>
  <c r="Y74" i="9"/>
  <c r="W74" i="9"/>
  <c r="V74" i="9"/>
  <c r="X74" i="9"/>
  <c r="U74" i="9"/>
  <c r="X70" i="9"/>
  <c r="Y70" i="9"/>
  <c r="S70" i="9"/>
  <c r="V70" i="9"/>
  <c r="W70" i="9"/>
  <c r="T70" i="9"/>
  <c r="X66" i="9"/>
  <c r="S66" i="9"/>
  <c r="W66" i="9"/>
  <c r="V66" i="9"/>
  <c r="U66" i="9"/>
  <c r="Y66" i="9"/>
  <c r="X62" i="9"/>
  <c r="Y62" i="9"/>
  <c r="S62" i="9"/>
  <c r="V62" i="9"/>
  <c r="T62" i="9"/>
  <c r="S58" i="9"/>
  <c r="Y58" i="9"/>
  <c r="W58" i="9"/>
  <c r="V58" i="9"/>
  <c r="U58" i="9"/>
  <c r="X54" i="9"/>
  <c r="Y54" i="9"/>
  <c r="S54" i="9"/>
  <c r="V54" i="9"/>
  <c r="W54" i="9"/>
  <c r="T54" i="9"/>
  <c r="X50" i="9"/>
  <c r="S50" i="9"/>
  <c r="W50" i="9"/>
  <c r="V50" i="9"/>
  <c r="U50" i="9"/>
  <c r="S46" i="9"/>
  <c r="W42" i="9"/>
  <c r="V42" i="9"/>
  <c r="S42" i="9"/>
  <c r="Y42" i="9"/>
  <c r="X42" i="9"/>
  <c r="U42" i="9"/>
  <c r="W38" i="9"/>
  <c r="X38" i="9"/>
  <c r="V38" i="9"/>
  <c r="Y38" i="9"/>
  <c r="S38" i="9"/>
  <c r="T38" i="9"/>
  <c r="W34" i="9"/>
  <c r="V34" i="9"/>
  <c r="X34" i="9"/>
  <c r="S34" i="9"/>
  <c r="U34" i="9"/>
  <c r="Y34" i="9"/>
  <c r="W30" i="9"/>
  <c r="X30" i="9"/>
  <c r="V30" i="9"/>
  <c r="S30" i="9"/>
  <c r="Y30" i="9"/>
  <c r="T30" i="9"/>
  <c r="W26" i="9"/>
  <c r="V26" i="9"/>
  <c r="Y26" i="9"/>
  <c r="S26" i="9"/>
  <c r="U26" i="9"/>
  <c r="W22" i="9"/>
  <c r="Y22" i="9"/>
  <c r="X22" i="9"/>
  <c r="V22" i="9"/>
  <c r="S22" i="9"/>
  <c r="T22" i="9"/>
  <c r="W18" i="9"/>
  <c r="V18" i="9"/>
  <c r="X18" i="9"/>
  <c r="S18" i="9"/>
  <c r="Y18" i="9"/>
  <c r="U18" i="9"/>
  <c r="V14" i="9"/>
  <c r="W10" i="9"/>
  <c r="V10" i="9"/>
  <c r="Y10" i="9"/>
  <c r="S10" i="9"/>
  <c r="X10" i="9"/>
  <c r="U10" i="9"/>
  <c r="W6" i="9"/>
  <c r="Y6" i="9"/>
  <c r="X6" i="9"/>
  <c r="V6" i="9"/>
  <c r="S6" i="9"/>
  <c r="T6" i="9"/>
  <c r="Q146" i="9"/>
  <c r="Q138" i="9"/>
  <c r="Q130" i="9"/>
  <c r="Q122" i="9"/>
  <c r="Q114" i="9"/>
  <c r="Q106" i="9"/>
  <c r="Q98" i="9"/>
  <c r="Q90" i="9"/>
  <c r="Q82" i="9"/>
  <c r="Q74" i="9"/>
  <c r="Q66" i="9"/>
  <c r="Q58" i="9"/>
  <c r="Q50" i="9"/>
  <c r="Q42" i="9"/>
  <c r="Q34" i="9"/>
  <c r="Q26" i="9"/>
  <c r="Q18" i="9"/>
  <c r="Q10" i="9"/>
  <c r="S29" i="9"/>
  <c r="T146" i="9"/>
  <c r="T130" i="9"/>
  <c r="T114" i="9"/>
  <c r="T98" i="9"/>
  <c r="T82" i="9"/>
  <c r="T66" i="9"/>
  <c r="T50" i="9"/>
  <c r="T34" i="9"/>
  <c r="T18" i="9"/>
  <c r="W126" i="9"/>
  <c r="W94" i="9"/>
  <c r="W62" i="9"/>
  <c r="Y114" i="9"/>
  <c r="Y50" i="9"/>
  <c r="Y149" i="9"/>
  <c r="X149" i="9"/>
  <c r="V149" i="9"/>
  <c r="U149" i="9"/>
  <c r="W149" i="9"/>
  <c r="T149" i="9"/>
  <c r="S149" i="9"/>
  <c r="R149" i="9"/>
  <c r="Y145" i="9"/>
  <c r="X145" i="9"/>
  <c r="W145" i="9"/>
  <c r="V145" i="9"/>
  <c r="U145" i="9"/>
  <c r="S145" i="9"/>
  <c r="R145" i="9"/>
  <c r="Y141" i="9"/>
  <c r="V141" i="9"/>
  <c r="U141" i="9"/>
  <c r="X141" i="9"/>
  <c r="T141" i="9"/>
  <c r="S141" i="9"/>
  <c r="R141" i="9"/>
  <c r="Y137" i="9"/>
  <c r="W137" i="9"/>
  <c r="V137" i="9"/>
  <c r="X137" i="9"/>
  <c r="U137" i="9"/>
  <c r="S137" i="9"/>
  <c r="R137" i="9"/>
  <c r="Y133" i="9"/>
  <c r="X133" i="9"/>
  <c r="V133" i="9"/>
  <c r="U133" i="9"/>
  <c r="W133" i="9"/>
  <c r="T133" i="9"/>
  <c r="S133" i="9"/>
  <c r="R133" i="9"/>
  <c r="Y129" i="9"/>
  <c r="X129" i="9"/>
  <c r="W129" i="9"/>
  <c r="V129" i="9"/>
  <c r="U129" i="9"/>
  <c r="S129" i="9"/>
  <c r="R129" i="9"/>
  <c r="Y125" i="9"/>
  <c r="X125" i="9"/>
  <c r="V125" i="9"/>
  <c r="U125" i="9"/>
  <c r="T125" i="9"/>
  <c r="S125" i="9"/>
  <c r="R125" i="9"/>
  <c r="Y121" i="9"/>
  <c r="W121" i="9"/>
  <c r="V121" i="9"/>
  <c r="U121" i="9"/>
  <c r="S121" i="9"/>
  <c r="X121" i="9"/>
  <c r="R121" i="9"/>
  <c r="Y117" i="9"/>
  <c r="X117" i="9"/>
  <c r="V117" i="9"/>
  <c r="U117" i="9"/>
  <c r="W117" i="9"/>
  <c r="T117" i="9"/>
  <c r="S117" i="9"/>
  <c r="R117" i="9"/>
  <c r="Y113" i="9"/>
  <c r="X113" i="9"/>
  <c r="W113" i="9"/>
  <c r="V113" i="9"/>
  <c r="U113" i="9"/>
  <c r="S113" i="9"/>
  <c r="R113" i="9"/>
  <c r="Y109" i="9"/>
  <c r="V109" i="9"/>
  <c r="U109" i="9"/>
  <c r="T109" i="9"/>
  <c r="S109" i="9"/>
  <c r="R109" i="9"/>
  <c r="Y105" i="9"/>
  <c r="W105" i="9"/>
  <c r="V105" i="9"/>
  <c r="X105" i="9"/>
  <c r="U105" i="9"/>
  <c r="S105" i="9"/>
  <c r="R105" i="9"/>
  <c r="Y101" i="9"/>
  <c r="X101" i="9"/>
  <c r="V101" i="9"/>
  <c r="U101" i="9"/>
  <c r="W101" i="9"/>
  <c r="T101" i="9"/>
  <c r="R101" i="9"/>
  <c r="Y97" i="9"/>
  <c r="X97" i="9"/>
  <c r="W97" i="9"/>
  <c r="V97" i="9"/>
  <c r="U97" i="9"/>
  <c r="S97" i="9"/>
  <c r="R97" i="9"/>
  <c r="Y93" i="9"/>
  <c r="X93" i="9"/>
  <c r="V93" i="9"/>
  <c r="U93" i="9"/>
  <c r="T93" i="9"/>
  <c r="R93" i="9"/>
  <c r="Y89" i="9"/>
  <c r="W89" i="9"/>
  <c r="V89" i="9"/>
  <c r="U89" i="9"/>
  <c r="S89" i="9"/>
  <c r="R89" i="9"/>
  <c r="Y85" i="9"/>
  <c r="X85" i="9"/>
  <c r="V85" i="9"/>
  <c r="U85" i="9"/>
  <c r="W85" i="9"/>
  <c r="T85" i="9"/>
  <c r="R85" i="9"/>
  <c r="Y81" i="9"/>
  <c r="X81" i="9"/>
  <c r="W81" i="9"/>
  <c r="V81" i="9"/>
  <c r="U81" i="9"/>
  <c r="S81" i="9"/>
  <c r="R81" i="9"/>
  <c r="Y77" i="9"/>
  <c r="V77" i="9"/>
  <c r="U77" i="9"/>
  <c r="T77" i="9"/>
  <c r="X77" i="9"/>
  <c r="R77" i="9"/>
  <c r="Y73" i="9"/>
  <c r="X73" i="9"/>
  <c r="W73" i="9"/>
  <c r="V73" i="9"/>
  <c r="U73" i="9"/>
  <c r="S73" i="9"/>
  <c r="R73" i="9"/>
  <c r="Y69" i="9"/>
  <c r="V69" i="9"/>
  <c r="X69" i="9"/>
  <c r="U69" i="9"/>
  <c r="W69" i="9"/>
  <c r="T69" i="9"/>
  <c r="R69" i="9"/>
  <c r="Y65" i="9"/>
  <c r="X65" i="9"/>
  <c r="W65" i="9"/>
  <c r="V65" i="9"/>
  <c r="U65" i="9"/>
  <c r="S65" i="9"/>
  <c r="R65" i="9"/>
  <c r="Y61" i="9"/>
  <c r="V61" i="9"/>
  <c r="U61" i="9"/>
  <c r="T61" i="9"/>
  <c r="R61" i="9"/>
  <c r="Y57" i="9"/>
  <c r="X57" i="9"/>
  <c r="W57" i="9"/>
  <c r="V57" i="9"/>
  <c r="U57" i="9"/>
  <c r="S57" i="9"/>
  <c r="R57" i="9"/>
  <c r="Y53" i="9"/>
  <c r="V53" i="9"/>
  <c r="X53" i="9"/>
  <c r="U53" i="9"/>
  <c r="W53" i="9"/>
  <c r="T53" i="9"/>
  <c r="R53" i="9"/>
  <c r="Y49" i="9"/>
  <c r="X49" i="9"/>
  <c r="W49" i="9"/>
  <c r="V49" i="9"/>
  <c r="U49" i="9"/>
  <c r="S49" i="9"/>
  <c r="R49" i="9"/>
  <c r="Y45" i="9"/>
  <c r="V45" i="9"/>
  <c r="U45" i="9"/>
  <c r="T45" i="9"/>
  <c r="X45" i="9"/>
  <c r="R45" i="9"/>
  <c r="Y41" i="9"/>
  <c r="X41" i="9"/>
  <c r="W41" i="9"/>
  <c r="U41" i="9"/>
  <c r="S41" i="9"/>
  <c r="R41" i="9"/>
  <c r="Y37" i="9"/>
  <c r="W37" i="9"/>
  <c r="X37" i="9"/>
  <c r="V37" i="9"/>
  <c r="U37" i="9"/>
  <c r="T37" i="9"/>
  <c r="R37" i="9"/>
  <c r="Y33" i="9"/>
  <c r="X33" i="9"/>
  <c r="W33" i="9"/>
  <c r="U33" i="9"/>
  <c r="V33" i="9"/>
  <c r="S33" i="9"/>
  <c r="R33" i="9"/>
  <c r="Y29" i="9"/>
  <c r="W29" i="9"/>
  <c r="V29" i="9"/>
  <c r="U29" i="9"/>
  <c r="T29" i="9"/>
  <c r="R29" i="9"/>
  <c r="Y25" i="9"/>
  <c r="X25" i="9"/>
  <c r="U25" i="9"/>
  <c r="S25" i="9"/>
  <c r="R25" i="9"/>
  <c r="Y21" i="9"/>
  <c r="W21" i="9"/>
  <c r="X21" i="9"/>
  <c r="V21" i="9"/>
  <c r="U21" i="9"/>
  <c r="T21" i="9"/>
  <c r="R21" i="9"/>
  <c r="Y17" i="9"/>
  <c r="X17" i="9"/>
  <c r="W17" i="9"/>
  <c r="U17" i="9"/>
  <c r="V17" i="9"/>
  <c r="S17" i="9"/>
  <c r="R17" i="9"/>
  <c r="Y13" i="9"/>
  <c r="V13" i="9"/>
  <c r="U13" i="9"/>
  <c r="W13" i="9"/>
  <c r="T13" i="9"/>
  <c r="X13" i="9"/>
  <c r="R13" i="9"/>
  <c r="Y9" i="9"/>
  <c r="X9" i="9"/>
  <c r="W9" i="9"/>
  <c r="U9" i="9"/>
  <c r="S9" i="9"/>
  <c r="R9" i="9"/>
  <c r="Y5" i="9"/>
  <c r="W5" i="9"/>
  <c r="X5" i="9"/>
  <c r="V5" i="9"/>
  <c r="U5" i="9"/>
  <c r="T5" i="9"/>
  <c r="R5" i="9"/>
  <c r="Q145" i="9"/>
  <c r="Q137" i="9"/>
  <c r="Q129" i="9"/>
  <c r="Q121" i="9"/>
  <c r="Q113" i="9"/>
  <c r="Q105" i="9"/>
  <c r="Q97" i="9"/>
  <c r="Q89" i="9"/>
  <c r="Q81" i="9"/>
  <c r="Q73" i="9"/>
  <c r="Q65" i="9"/>
  <c r="Q57" i="9"/>
  <c r="Q49" i="9"/>
  <c r="Q41" i="9"/>
  <c r="Q33" i="9"/>
  <c r="Q25" i="9"/>
  <c r="Q17" i="9"/>
  <c r="Q9" i="9"/>
  <c r="R150" i="9"/>
  <c r="R134" i="9"/>
  <c r="R126" i="9"/>
  <c r="R118" i="9"/>
  <c r="R102" i="9"/>
  <c r="R94" i="9"/>
  <c r="R86" i="9"/>
  <c r="R70" i="9"/>
  <c r="R62" i="9"/>
  <c r="R54" i="9"/>
  <c r="R38" i="9"/>
  <c r="R30" i="9"/>
  <c r="R22" i="9"/>
  <c r="R6" i="9"/>
  <c r="T145" i="9"/>
  <c r="T129" i="9"/>
  <c r="T113" i="9"/>
  <c r="T97" i="9"/>
  <c r="T81" i="9"/>
  <c r="T65" i="9"/>
  <c r="T49" i="9"/>
  <c r="T33" i="9"/>
  <c r="T17" i="9"/>
  <c r="U150" i="9"/>
  <c r="U134" i="9"/>
  <c r="U118" i="9"/>
  <c r="U102" i="9"/>
  <c r="U86" i="9"/>
  <c r="U70" i="9"/>
  <c r="U54" i="9"/>
  <c r="U38" i="9"/>
  <c r="U22" i="9"/>
  <c r="U6" i="9"/>
  <c r="W125" i="9"/>
  <c r="W93" i="9"/>
  <c r="W61" i="9"/>
  <c r="X130" i="9"/>
  <c r="X26" i="9"/>
  <c r="R142" i="9" l="1"/>
  <c r="R115" i="9"/>
  <c r="Y46" i="9"/>
  <c r="T46" i="9"/>
  <c r="X46" i="9"/>
  <c r="R46" i="9"/>
  <c r="V46" i="9"/>
  <c r="O46" i="9"/>
  <c r="J2" i="9"/>
  <c r="J14" i="9"/>
  <c r="I142" i="9"/>
  <c r="J8" i="9"/>
  <c r="J40" i="9"/>
  <c r="J136" i="9"/>
  <c r="J139" i="9"/>
  <c r="J46" i="9"/>
  <c r="J80" i="9"/>
  <c r="J144" i="9"/>
  <c r="J12" i="9"/>
  <c r="J28" i="9"/>
  <c r="J92" i="9"/>
  <c r="J124" i="9"/>
  <c r="J91" i="9"/>
  <c r="J36" i="9"/>
  <c r="J84" i="9"/>
  <c r="S142" i="9"/>
  <c r="R43" i="9"/>
  <c r="R2" i="9"/>
  <c r="X2" i="9"/>
  <c r="R14" i="9"/>
  <c r="T142" i="9"/>
  <c r="Q2" i="9"/>
  <c r="Y14" i="9"/>
  <c r="Y142" i="9"/>
  <c r="V2" i="9"/>
  <c r="I145" i="9"/>
  <c r="I141" i="9"/>
  <c r="I137" i="9"/>
  <c r="I149" i="9"/>
  <c r="I17" i="9"/>
  <c r="I124" i="9"/>
  <c r="I92" i="9"/>
  <c r="I28" i="9"/>
  <c r="I12" i="9"/>
  <c r="I73" i="9"/>
  <c r="I41" i="9"/>
  <c r="I5" i="9"/>
  <c r="I69" i="9"/>
  <c r="I37" i="9"/>
  <c r="I146" i="9"/>
  <c r="I130" i="9"/>
  <c r="I114" i="9"/>
  <c r="I98" i="9"/>
  <c r="I82" i="9"/>
  <c r="I66" i="9"/>
  <c r="I50" i="9"/>
  <c r="I34" i="9"/>
  <c r="I18" i="9"/>
  <c r="I129" i="9"/>
  <c r="I125" i="9"/>
  <c r="I121" i="9"/>
  <c r="I133" i="9"/>
  <c r="I13" i="9"/>
  <c r="I136" i="9"/>
  <c r="I40" i="9"/>
  <c r="I8" i="9"/>
  <c r="I65" i="9"/>
  <c r="I33" i="9"/>
  <c r="I61" i="9"/>
  <c r="I29" i="9"/>
  <c r="I126" i="9"/>
  <c r="I94" i="9"/>
  <c r="I62" i="9"/>
  <c r="I30" i="9"/>
  <c r="I113" i="9"/>
  <c r="I109" i="9"/>
  <c r="I105" i="9"/>
  <c r="I117" i="9"/>
  <c r="I57" i="9"/>
  <c r="I25" i="9"/>
  <c r="I85" i="9"/>
  <c r="I53" i="9"/>
  <c r="I9" i="9"/>
  <c r="I138" i="9"/>
  <c r="I122" i="9"/>
  <c r="I106" i="9"/>
  <c r="I90" i="9"/>
  <c r="I74" i="9"/>
  <c r="I58" i="9"/>
  <c r="I42" i="9"/>
  <c r="I26" i="9"/>
  <c r="I10" i="9"/>
  <c r="I97" i="9"/>
  <c r="I93" i="9"/>
  <c r="I89" i="9"/>
  <c r="I101" i="9"/>
  <c r="I81" i="9"/>
  <c r="I49" i="9"/>
  <c r="I21" i="9"/>
  <c r="I139" i="9"/>
  <c r="I91" i="9"/>
  <c r="I75" i="9"/>
  <c r="I77" i="9"/>
  <c r="I45" i="9"/>
  <c r="I150" i="9"/>
  <c r="I134" i="9"/>
  <c r="I118" i="9"/>
  <c r="I102" i="9"/>
  <c r="I86" i="9"/>
  <c r="I70" i="9"/>
  <c r="I54" i="9"/>
  <c r="I38" i="9"/>
  <c r="I22" i="9"/>
  <c r="I6" i="9"/>
  <c r="W46" i="9"/>
  <c r="P46" i="9"/>
  <c r="T14" i="9"/>
  <c r="X14" i="9"/>
  <c r="X142" i="9"/>
  <c r="U2" i="9"/>
  <c r="T2" i="9"/>
  <c r="S14" i="9"/>
  <c r="W14" i="9"/>
  <c r="V142" i="9"/>
  <c r="O142" i="9"/>
  <c r="S2" i="9"/>
  <c r="P2" i="9"/>
  <c r="P60" i="9"/>
  <c r="O72" i="9"/>
  <c r="R72" i="9"/>
  <c r="R110" i="9"/>
  <c r="R11" i="9"/>
  <c r="S115" i="9"/>
  <c r="O43" i="9"/>
  <c r="P103" i="9"/>
  <c r="O123" i="9"/>
  <c r="U7" i="9"/>
  <c r="T110" i="9"/>
  <c r="S43" i="9"/>
  <c r="Q103" i="9"/>
  <c r="Y123" i="9"/>
  <c r="P27" i="9"/>
  <c r="Q91" i="9"/>
  <c r="O119" i="9"/>
  <c r="O28" i="9"/>
  <c r="O79" i="9"/>
  <c r="T91" i="9"/>
  <c r="S28" i="9"/>
  <c r="S79" i="9"/>
  <c r="U119" i="9"/>
  <c r="W4" i="9"/>
  <c r="O84" i="9"/>
  <c r="R67" i="9"/>
  <c r="P71" i="9"/>
  <c r="O67" i="9"/>
  <c r="R107" i="9"/>
  <c r="Y8" i="9"/>
  <c r="T28" i="9"/>
  <c r="T84" i="9"/>
  <c r="R79" i="9"/>
  <c r="R103" i="9"/>
  <c r="U87" i="9"/>
  <c r="T7" i="9"/>
  <c r="T135" i="9"/>
  <c r="V84" i="9"/>
  <c r="R139" i="9"/>
  <c r="S84" i="9"/>
  <c r="R71" i="9"/>
  <c r="Y31" i="9"/>
  <c r="Y40" i="9"/>
  <c r="P4" i="9"/>
  <c r="O8" i="9"/>
  <c r="Y28" i="9"/>
  <c r="O36" i="9"/>
  <c r="O40" i="9"/>
  <c r="P64" i="9"/>
  <c r="Q84" i="9"/>
  <c r="U88" i="9"/>
  <c r="S116" i="9"/>
  <c r="O31" i="9"/>
  <c r="U71" i="9"/>
  <c r="Q71" i="9"/>
  <c r="O131" i="9"/>
  <c r="P47" i="9"/>
  <c r="U67" i="9"/>
  <c r="S119" i="9"/>
  <c r="Q119" i="9"/>
  <c r="P78" i="9"/>
  <c r="O23" i="9"/>
  <c r="Q63" i="9"/>
  <c r="T4" i="9"/>
  <c r="V8" i="9"/>
  <c r="T36" i="9"/>
  <c r="V40" i="9"/>
  <c r="R64" i="9"/>
  <c r="X116" i="9"/>
  <c r="P31" i="9"/>
  <c r="Y71" i="9"/>
  <c r="S131" i="9"/>
  <c r="T47" i="9"/>
  <c r="Q23" i="9"/>
  <c r="Y63" i="9"/>
  <c r="U63" i="9"/>
  <c r="Y4" i="9"/>
  <c r="R8" i="9"/>
  <c r="S36" i="9"/>
  <c r="Y36" i="9"/>
  <c r="R40" i="9"/>
  <c r="W64" i="9"/>
  <c r="R128" i="9"/>
  <c r="R131" i="9"/>
  <c r="R31" i="9"/>
  <c r="V31" i="9"/>
  <c r="U43" i="9"/>
  <c r="O71" i="9"/>
  <c r="X71" i="9"/>
  <c r="Y143" i="9"/>
  <c r="S51" i="9"/>
  <c r="X107" i="9"/>
  <c r="X115" i="9"/>
  <c r="V11" i="9"/>
  <c r="T3" i="9"/>
  <c r="V110" i="9"/>
  <c r="O76" i="9"/>
  <c r="R76" i="9"/>
  <c r="P100" i="9"/>
  <c r="O108" i="9"/>
  <c r="X108" i="9"/>
  <c r="X128" i="9"/>
  <c r="O140" i="9"/>
  <c r="R140" i="9"/>
  <c r="R3" i="9"/>
  <c r="O11" i="9"/>
  <c r="Y11" i="9"/>
  <c r="T55" i="9"/>
  <c r="O111" i="9"/>
  <c r="O3" i="9"/>
  <c r="V3" i="9"/>
  <c r="V15" i="9"/>
  <c r="U35" i="9"/>
  <c r="X51" i="9"/>
  <c r="Q76" i="9"/>
  <c r="U108" i="9"/>
  <c r="Q140" i="9"/>
  <c r="Y110" i="9"/>
  <c r="O110" i="9"/>
  <c r="W8" i="9"/>
  <c r="P16" i="9"/>
  <c r="W28" i="9"/>
  <c r="W40" i="9"/>
  <c r="T44" i="9"/>
  <c r="V56" i="9"/>
  <c r="W72" i="9"/>
  <c r="P76" i="9"/>
  <c r="U76" i="9"/>
  <c r="Y84" i="9"/>
  <c r="S108" i="9"/>
  <c r="O128" i="9"/>
  <c r="P140" i="9"/>
  <c r="U140" i="9"/>
  <c r="S148" i="9"/>
  <c r="P11" i="9"/>
  <c r="Q31" i="9"/>
  <c r="Y43" i="9"/>
  <c r="T71" i="9"/>
  <c r="U103" i="9"/>
  <c r="Y103" i="9"/>
  <c r="T111" i="9"/>
  <c r="V131" i="9"/>
  <c r="Q131" i="9"/>
  <c r="W143" i="9"/>
  <c r="P3" i="9"/>
  <c r="Y3" i="9"/>
  <c r="V67" i="9"/>
  <c r="S67" i="9"/>
  <c r="Q87" i="9"/>
  <c r="T119" i="9"/>
  <c r="U23" i="9"/>
  <c r="T23" i="9"/>
  <c r="Y35" i="9"/>
  <c r="O51" i="9"/>
  <c r="P107" i="9"/>
  <c r="U135" i="9"/>
  <c r="Q46" i="9"/>
  <c r="S110" i="9"/>
  <c r="S128" i="9"/>
  <c r="X16" i="9"/>
  <c r="Y72" i="9"/>
  <c r="V76" i="9"/>
  <c r="X76" i="9"/>
  <c r="Q128" i="9"/>
  <c r="S140" i="9"/>
  <c r="X140" i="9"/>
  <c r="Y148" i="9"/>
  <c r="T31" i="9"/>
  <c r="X103" i="9"/>
  <c r="X131" i="9"/>
  <c r="R51" i="9"/>
  <c r="W3" i="9"/>
  <c r="U3" i="9"/>
  <c r="X67" i="9"/>
  <c r="S87" i="9"/>
  <c r="P14" i="9"/>
  <c r="P110" i="9"/>
  <c r="P142" i="9"/>
  <c r="Y23" i="9"/>
  <c r="U51" i="9"/>
  <c r="Q107" i="9"/>
  <c r="Q110" i="9"/>
  <c r="U12" i="9"/>
  <c r="R20" i="9"/>
  <c r="X20" i="9"/>
  <c r="W48" i="9"/>
  <c r="S48" i="9"/>
  <c r="U52" i="9"/>
  <c r="O52" i="9"/>
  <c r="W52" i="9"/>
  <c r="X96" i="9"/>
  <c r="Y96" i="9"/>
  <c r="Q96" i="9"/>
  <c r="W96" i="9"/>
  <c r="R104" i="9"/>
  <c r="X104" i="9"/>
  <c r="X112" i="9"/>
  <c r="P112" i="9"/>
  <c r="S112" i="9"/>
  <c r="X19" i="9"/>
  <c r="T19" i="9"/>
  <c r="X59" i="9"/>
  <c r="Y59" i="9"/>
  <c r="O59" i="9"/>
  <c r="Y139" i="9"/>
  <c r="X139" i="9"/>
  <c r="Q139" i="9"/>
  <c r="P139" i="9"/>
  <c r="Y39" i="9"/>
  <c r="T39" i="9"/>
  <c r="U39" i="9"/>
  <c r="Q39" i="9"/>
  <c r="X39" i="9"/>
  <c r="O39" i="9"/>
  <c r="W75" i="9"/>
  <c r="Y75" i="9"/>
  <c r="V75" i="9"/>
  <c r="T75" i="9"/>
  <c r="P75" i="9"/>
  <c r="S75" i="9"/>
  <c r="O75" i="9"/>
  <c r="U78" i="9"/>
  <c r="Q78" i="9"/>
  <c r="W78" i="9"/>
  <c r="T78" i="9"/>
  <c r="X78" i="9"/>
  <c r="V148" i="9"/>
  <c r="O78" i="9"/>
  <c r="T8" i="9"/>
  <c r="O12" i="9"/>
  <c r="W12" i="9"/>
  <c r="V16" i="9"/>
  <c r="O20" i="9"/>
  <c r="T20" i="9"/>
  <c r="Y20" i="9"/>
  <c r="P28" i="9"/>
  <c r="U28" i="9"/>
  <c r="P48" i="9"/>
  <c r="P52" i="9"/>
  <c r="Y52" i="9"/>
  <c r="Q64" i="9"/>
  <c r="Q72" i="9"/>
  <c r="Q88" i="9"/>
  <c r="O96" i="9"/>
  <c r="V100" i="9"/>
  <c r="Y100" i="9"/>
  <c r="O104" i="9"/>
  <c r="Y104" i="9"/>
  <c r="T112" i="9"/>
  <c r="W11" i="9"/>
  <c r="X11" i="9"/>
  <c r="U11" i="9"/>
  <c r="T11" i="9"/>
  <c r="P19" i="9"/>
  <c r="P55" i="9"/>
  <c r="V59" i="9"/>
  <c r="R91" i="9"/>
  <c r="V91" i="9"/>
  <c r="Y91" i="9"/>
  <c r="O91" i="9"/>
  <c r="T15" i="9"/>
  <c r="S15" i="9"/>
  <c r="W15" i="9"/>
  <c r="Y15" i="9"/>
  <c r="O15" i="9"/>
  <c r="V39" i="9"/>
  <c r="Q75" i="9"/>
  <c r="V78" i="9"/>
  <c r="R75" i="9"/>
  <c r="S12" i="9"/>
  <c r="Y12" i="9"/>
  <c r="P20" i="9"/>
  <c r="W20" i="9"/>
  <c r="X48" i="9"/>
  <c r="Q52" i="9"/>
  <c r="W56" i="9"/>
  <c r="U56" i="9"/>
  <c r="O56" i="9"/>
  <c r="X56" i="9"/>
  <c r="Y88" i="9"/>
  <c r="R88" i="9"/>
  <c r="P88" i="9"/>
  <c r="V88" i="9"/>
  <c r="R96" i="9"/>
  <c r="Q104" i="9"/>
  <c r="Y112" i="9"/>
  <c r="U148" i="9"/>
  <c r="T148" i="9"/>
  <c r="O148" i="9"/>
  <c r="X148" i="9"/>
  <c r="Y19" i="9"/>
  <c r="Q59" i="9"/>
  <c r="X75" i="9"/>
  <c r="R59" i="9"/>
  <c r="R78" i="9"/>
  <c r="S78" i="9"/>
  <c r="R12" i="9"/>
  <c r="S20" i="9"/>
  <c r="V20" i="9"/>
  <c r="R28" i="9"/>
  <c r="X28" i="9"/>
  <c r="X36" i="9"/>
  <c r="W36" i="9"/>
  <c r="V36" i="9"/>
  <c r="W44" i="9"/>
  <c r="V44" i="9"/>
  <c r="O44" i="9"/>
  <c r="X44" i="9"/>
  <c r="S52" i="9"/>
  <c r="T52" i="9"/>
  <c r="R60" i="9"/>
  <c r="U64" i="9"/>
  <c r="Y64" i="9"/>
  <c r="S64" i="9"/>
  <c r="O64" i="9"/>
  <c r="T64" i="9"/>
  <c r="T72" i="9"/>
  <c r="P72" i="9"/>
  <c r="S72" i="9"/>
  <c r="O88" i="9"/>
  <c r="T88" i="9"/>
  <c r="T96" i="9"/>
  <c r="T104" i="9"/>
  <c r="W116" i="9"/>
  <c r="O116" i="9"/>
  <c r="P148" i="9"/>
  <c r="W148" i="9"/>
  <c r="R27" i="9"/>
  <c r="T27" i="9"/>
  <c r="T59" i="9"/>
  <c r="X79" i="9"/>
  <c r="W79" i="9"/>
  <c r="P79" i="9"/>
  <c r="Y79" i="9"/>
  <c r="T79" i="9"/>
  <c r="X111" i="9"/>
  <c r="Y111" i="9"/>
  <c r="R111" i="9"/>
  <c r="W111" i="9"/>
  <c r="P111" i="9"/>
  <c r="S111" i="9"/>
  <c r="R123" i="9"/>
  <c r="U123" i="9"/>
  <c r="S123" i="9"/>
  <c r="W7" i="9"/>
  <c r="W35" i="9"/>
  <c r="X35" i="9"/>
  <c r="Q115" i="9"/>
  <c r="W135" i="9"/>
  <c r="S103" i="9"/>
  <c r="Y87" i="9"/>
  <c r="O7" i="9"/>
  <c r="Y7" i="9"/>
  <c r="O35" i="9"/>
  <c r="S35" i="9"/>
  <c r="T63" i="9"/>
  <c r="O115" i="9"/>
  <c r="T115" i="9"/>
  <c r="S135" i="9"/>
  <c r="O135" i="9"/>
  <c r="X110" i="9"/>
  <c r="T40" i="9"/>
  <c r="S76" i="9"/>
  <c r="W76" i="9"/>
  <c r="U84" i="9"/>
  <c r="R108" i="9"/>
  <c r="U128" i="9"/>
  <c r="W140" i="9"/>
  <c r="W31" i="9"/>
  <c r="V43" i="9"/>
  <c r="S71" i="9"/>
  <c r="O103" i="9"/>
  <c r="T103" i="9"/>
  <c r="W131" i="9"/>
  <c r="P143" i="9"/>
  <c r="S3" i="9"/>
  <c r="W67" i="9"/>
  <c r="O87" i="9"/>
  <c r="X87" i="9"/>
  <c r="W119" i="9"/>
  <c r="R35" i="9"/>
  <c r="Q7" i="9"/>
  <c r="W23" i="9"/>
  <c r="P35" i="9"/>
  <c r="T35" i="9"/>
  <c r="W51" i="9"/>
  <c r="O63" i="9"/>
  <c r="X63" i="9"/>
  <c r="V115" i="9"/>
  <c r="P115" i="9"/>
  <c r="W115" i="9"/>
  <c r="Q135" i="9"/>
  <c r="U31" i="9"/>
  <c r="Q14" i="9"/>
  <c r="Q142" i="9"/>
  <c r="W68" i="9"/>
  <c r="V80" i="9"/>
  <c r="S92" i="9"/>
  <c r="Q120" i="9"/>
  <c r="T120" i="9"/>
  <c r="V124" i="9"/>
  <c r="U124" i="9"/>
  <c r="X132" i="9"/>
  <c r="X136" i="9"/>
  <c r="Q99" i="9"/>
  <c r="Y99" i="9"/>
  <c r="Q83" i="9"/>
  <c r="Y83" i="9"/>
  <c r="V95" i="9"/>
  <c r="W95" i="9"/>
  <c r="V127" i="9"/>
  <c r="X127" i="9"/>
  <c r="U147" i="9"/>
  <c r="Y147" i="9"/>
  <c r="R99" i="9"/>
  <c r="S4" i="9"/>
  <c r="U4" i="9"/>
  <c r="Q8" i="9"/>
  <c r="U8" i="9"/>
  <c r="Q12" i="9"/>
  <c r="V12" i="9"/>
  <c r="Q16" i="9"/>
  <c r="T16" i="9"/>
  <c r="Y16" i="9"/>
  <c r="O24" i="9"/>
  <c r="R24" i="9"/>
  <c r="X24" i="9"/>
  <c r="O32" i="9"/>
  <c r="S32" i="9"/>
  <c r="W32" i="9"/>
  <c r="Q36" i="9"/>
  <c r="U36" i="9"/>
  <c r="Q40" i="9"/>
  <c r="U40" i="9"/>
  <c r="S44" i="9"/>
  <c r="U44" i="9"/>
  <c r="Y44" i="9"/>
  <c r="Q48" i="9"/>
  <c r="T48" i="9"/>
  <c r="Y48" i="9"/>
  <c r="Q56" i="9"/>
  <c r="T56" i="9"/>
  <c r="Y56" i="9"/>
  <c r="V60" i="9"/>
  <c r="T60" i="9"/>
  <c r="Y60" i="9"/>
  <c r="O68" i="9"/>
  <c r="R68" i="9"/>
  <c r="X68" i="9"/>
  <c r="O80" i="9"/>
  <c r="R80" i="9"/>
  <c r="W80" i="9"/>
  <c r="R84" i="9"/>
  <c r="W84" i="9"/>
  <c r="O92" i="9"/>
  <c r="Q92" i="9"/>
  <c r="W92" i="9"/>
  <c r="V96" i="9"/>
  <c r="U96" i="9"/>
  <c r="S100" i="9"/>
  <c r="T100" i="9"/>
  <c r="V104" i="9"/>
  <c r="U104" i="9"/>
  <c r="V108" i="9"/>
  <c r="T108" i="9"/>
  <c r="Y108" i="9"/>
  <c r="Q112" i="9"/>
  <c r="U112" i="9"/>
  <c r="Q116" i="9"/>
  <c r="U116" i="9"/>
  <c r="O120" i="9"/>
  <c r="V120" i="9"/>
  <c r="U120" i="9"/>
  <c r="O124" i="9"/>
  <c r="Q124" i="9"/>
  <c r="W124" i="9"/>
  <c r="V128" i="9"/>
  <c r="W128" i="9"/>
  <c r="O132" i="9"/>
  <c r="U132" i="9"/>
  <c r="O136" i="9"/>
  <c r="R136" i="9"/>
  <c r="W136" i="9"/>
  <c r="O144" i="9"/>
  <c r="R144" i="9"/>
  <c r="X144" i="9"/>
  <c r="U19" i="9"/>
  <c r="W19" i="9"/>
  <c r="U27" i="9"/>
  <c r="V27" i="9"/>
  <c r="Q43" i="9"/>
  <c r="W43" i="9"/>
  <c r="U55" i="9"/>
  <c r="Q55" i="9"/>
  <c r="Y55" i="9"/>
  <c r="U59" i="9"/>
  <c r="W59" i="9"/>
  <c r="U91" i="9"/>
  <c r="W91" i="9"/>
  <c r="V123" i="9"/>
  <c r="W123" i="9"/>
  <c r="U131" i="9"/>
  <c r="Y131" i="9"/>
  <c r="R143" i="9"/>
  <c r="Q143" i="9"/>
  <c r="X143" i="9"/>
  <c r="R147" i="9"/>
  <c r="R47" i="9"/>
  <c r="Y47" i="9"/>
  <c r="V47" i="9"/>
  <c r="Q67" i="9"/>
  <c r="Y67" i="9"/>
  <c r="V87" i="9"/>
  <c r="W87" i="9"/>
  <c r="O99" i="9"/>
  <c r="S99" i="9"/>
  <c r="X99" i="9"/>
  <c r="V119" i="9"/>
  <c r="X119" i="9"/>
  <c r="S139" i="9"/>
  <c r="T139" i="9"/>
  <c r="S7" i="9"/>
  <c r="X7" i="9"/>
  <c r="Q15" i="9"/>
  <c r="X15" i="9"/>
  <c r="S23" i="9"/>
  <c r="X23" i="9"/>
  <c r="S39" i="9"/>
  <c r="W39" i="9"/>
  <c r="Q51" i="9"/>
  <c r="Y51" i="9"/>
  <c r="V63" i="9"/>
  <c r="W63" i="9"/>
  <c r="O83" i="9"/>
  <c r="S83" i="9"/>
  <c r="X83" i="9"/>
  <c r="O95" i="9"/>
  <c r="Y95" i="9"/>
  <c r="X95" i="9"/>
  <c r="S107" i="9"/>
  <c r="T107" i="9"/>
  <c r="S127" i="9"/>
  <c r="O127" i="9"/>
  <c r="Y127" i="9"/>
  <c r="V135" i="9"/>
  <c r="X135" i="9"/>
  <c r="O147" i="9"/>
  <c r="Q147" i="9"/>
  <c r="X147" i="9"/>
  <c r="U111" i="9"/>
  <c r="U143" i="9"/>
  <c r="V116" i="9"/>
  <c r="Q4" i="9"/>
  <c r="V4" i="9"/>
  <c r="R16" i="9"/>
  <c r="U16" i="9"/>
  <c r="P24" i="9"/>
  <c r="S24" i="9"/>
  <c r="Y24" i="9"/>
  <c r="P32" i="9"/>
  <c r="V32" i="9"/>
  <c r="X32" i="9"/>
  <c r="V48" i="9"/>
  <c r="U48" i="9"/>
  <c r="S60" i="9"/>
  <c r="U60" i="9"/>
  <c r="P68" i="9"/>
  <c r="T68" i="9"/>
  <c r="Y68" i="9"/>
  <c r="P80" i="9"/>
  <c r="S80" i="9"/>
  <c r="X80" i="9"/>
  <c r="P92" i="9"/>
  <c r="R92" i="9"/>
  <c r="X92" i="9"/>
  <c r="Q100" i="9"/>
  <c r="U100" i="9"/>
  <c r="V112" i="9"/>
  <c r="W112" i="9"/>
  <c r="P120" i="9"/>
  <c r="R120" i="9"/>
  <c r="W120" i="9"/>
  <c r="P124" i="9"/>
  <c r="R124" i="9"/>
  <c r="X124" i="9"/>
  <c r="P132" i="9"/>
  <c r="Q132" i="9"/>
  <c r="W132" i="9"/>
  <c r="P136" i="9"/>
  <c r="T136" i="9"/>
  <c r="Y136" i="9"/>
  <c r="P144" i="9"/>
  <c r="T144" i="9"/>
  <c r="Y144" i="9"/>
  <c r="Q19" i="9"/>
  <c r="V19" i="9"/>
  <c r="Q27" i="9"/>
  <c r="W27" i="9"/>
  <c r="V55" i="9"/>
  <c r="W55" i="9"/>
  <c r="V143" i="9"/>
  <c r="Q47" i="9"/>
  <c r="W47" i="9"/>
  <c r="P99" i="9"/>
  <c r="T99" i="9"/>
  <c r="V139" i="9"/>
  <c r="W139" i="9"/>
  <c r="V83" i="9"/>
  <c r="P83" i="9"/>
  <c r="T83" i="9"/>
  <c r="R95" i="9"/>
  <c r="P95" i="9"/>
  <c r="S95" i="9"/>
  <c r="V107" i="9"/>
  <c r="W107" i="9"/>
  <c r="R127" i="9"/>
  <c r="P127" i="9"/>
  <c r="T127" i="9"/>
  <c r="V147" i="9"/>
  <c r="P147" i="9"/>
  <c r="T147" i="9"/>
  <c r="R19" i="9"/>
  <c r="U47" i="9"/>
  <c r="U79" i="9"/>
  <c r="V52" i="9"/>
  <c r="S136" i="9"/>
  <c r="Q24" i="9"/>
  <c r="U24" i="9"/>
  <c r="R32" i="9"/>
  <c r="U32" i="9"/>
  <c r="Q68" i="9"/>
  <c r="U80" i="9"/>
  <c r="U92" i="9"/>
  <c r="T132" i="9"/>
  <c r="V136" i="9"/>
  <c r="V144" i="9"/>
  <c r="W144" i="9"/>
  <c r="U127" i="9"/>
  <c r="O4" i="9"/>
  <c r="R4" i="9"/>
  <c r="P8" i="9"/>
  <c r="S8" i="9"/>
  <c r="X8" i="9"/>
  <c r="P12" i="9"/>
  <c r="T12" i="9"/>
  <c r="X12" i="9"/>
  <c r="O16" i="9"/>
  <c r="S16" i="9"/>
  <c r="Q20" i="9"/>
  <c r="V24" i="9"/>
  <c r="W24" i="9"/>
  <c r="Q28" i="9"/>
  <c r="V28" i="9"/>
  <c r="Q32" i="9"/>
  <c r="T32" i="9"/>
  <c r="P36" i="9"/>
  <c r="R36" i="9"/>
  <c r="P40" i="9"/>
  <c r="S40" i="9"/>
  <c r="X40" i="9"/>
  <c r="P44" i="9"/>
  <c r="R44" i="9"/>
  <c r="O48" i="9"/>
  <c r="R48" i="9"/>
  <c r="R52" i="9"/>
  <c r="X52" i="9"/>
  <c r="P56" i="9"/>
  <c r="R56" i="9"/>
  <c r="O60" i="9"/>
  <c r="Q60" i="9"/>
  <c r="W60" i="9"/>
  <c r="V64" i="9"/>
  <c r="S68" i="9"/>
  <c r="U68" i="9"/>
  <c r="V72" i="9"/>
  <c r="U72" i="9"/>
  <c r="T76" i="9"/>
  <c r="Q80" i="9"/>
  <c r="T80" i="9"/>
  <c r="Y80" i="9"/>
  <c r="P84" i="9"/>
  <c r="X84" i="9"/>
  <c r="X88" i="9"/>
  <c r="S88" i="9"/>
  <c r="V92" i="9"/>
  <c r="T92" i="9"/>
  <c r="Y92" i="9"/>
  <c r="P96" i="9"/>
  <c r="S96" i="9"/>
  <c r="O100" i="9"/>
  <c r="X100" i="9"/>
  <c r="W100" i="9"/>
  <c r="P104" i="9"/>
  <c r="S104" i="9"/>
  <c r="W104" i="9"/>
  <c r="P108" i="9"/>
  <c r="Q108" i="9"/>
  <c r="O112" i="9"/>
  <c r="R112" i="9"/>
  <c r="P116" i="9"/>
  <c r="T116" i="9"/>
  <c r="Y116" i="9"/>
  <c r="X120" i="9"/>
  <c r="Y120" i="9"/>
  <c r="S124" i="9"/>
  <c r="T124" i="9"/>
  <c r="Y124" i="9"/>
  <c r="P128" i="9"/>
  <c r="T128" i="9"/>
  <c r="S132" i="9"/>
  <c r="R132" i="9"/>
  <c r="Y132" i="9"/>
  <c r="Q136" i="9"/>
  <c r="U136" i="9"/>
  <c r="V140" i="9"/>
  <c r="T140" i="9"/>
  <c r="Q144" i="9"/>
  <c r="U144" i="9"/>
  <c r="Q148" i="9"/>
  <c r="Q11" i="9"/>
  <c r="O19" i="9"/>
  <c r="S19" i="9"/>
  <c r="O27" i="9"/>
  <c r="S27" i="9"/>
  <c r="X27" i="9"/>
  <c r="S31" i="9"/>
  <c r="P43" i="9"/>
  <c r="T43" i="9"/>
  <c r="O55" i="9"/>
  <c r="S55" i="9"/>
  <c r="X55" i="9"/>
  <c r="P59" i="9"/>
  <c r="S59" i="9"/>
  <c r="V71" i="9"/>
  <c r="V79" i="9"/>
  <c r="P91" i="9"/>
  <c r="S91" i="9"/>
  <c r="X91" i="9"/>
  <c r="V103" i="9"/>
  <c r="Q111" i="9"/>
  <c r="P123" i="9"/>
  <c r="Q123" i="9"/>
  <c r="X123" i="9"/>
  <c r="P131" i="9"/>
  <c r="S143" i="9"/>
  <c r="O143" i="9"/>
  <c r="R83" i="9"/>
  <c r="Q3" i="9"/>
  <c r="O47" i="9"/>
  <c r="S47" i="9"/>
  <c r="P67" i="9"/>
  <c r="R87" i="9"/>
  <c r="P87" i="9"/>
  <c r="V99" i="9"/>
  <c r="U99" i="9"/>
  <c r="R119" i="9"/>
  <c r="P119" i="9"/>
  <c r="O139" i="9"/>
  <c r="U139" i="9"/>
  <c r="U95" i="9"/>
  <c r="R7" i="9"/>
  <c r="P7" i="9"/>
  <c r="R15" i="9"/>
  <c r="P15" i="9"/>
  <c r="R23" i="9"/>
  <c r="P23" i="9"/>
  <c r="Q35" i="9"/>
  <c r="R39" i="9"/>
  <c r="P39" i="9"/>
  <c r="V51" i="9"/>
  <c r="P51" i="9"/>
  <c r="R63" i="9"/>
  <c r="P63" i="9"/>
  <c r="U75" i="9"/>
  <c r="U83" i="9"/>
  <c r="Q95" i="9"/>
  <c r="O107" i="9"/>
  <c r="U107" i="9"/>
  <c r="U115" i="9"/>
  <c r="Q127" i="9"/>
  <c r="R135" i="9"/>
  <c r="P135" i="9"/>
  <c r="S147" i="9"/>
  <c r="S144" i="9"/>
  <c r="J142" i="9" l="1"/>
  <c r="I14" i="9"/>
  <c r="I84" i="9"/>
  <c r="I144" i="9"/>
  <c r="I36" i="9"/>
  <c r="I46" i="9"/>
  <c r="I80" i="9"/>
  <c r="I2" i="9"/>
  <c r="J147" i="9"/>
  <c r="I147" i="9"/>
  <c r="J127" i="9"/>
  <c r="I127" i="9"/>
  <c r="J120" i="9"/>
  <c r="I120" i="9"/>
  <c r="J32" i="9"/>
  <c r="I32" i="9"/>
  <c r="J24" i="9"/>
  <c r="I24" i="9"/>
  <c r="J67" i="9"/>
  <c r="I67" i="9"/>
  <c r="J143" i="9"/>
  <c r="I143" i="9"/>
  <c r="J27" i="9"/>
  <c r="I27" i="9"/>
  <c r="J4" i="9"/>
  <c r="I4" i="9"/>
  <c r="J135" i="9"/>
  <c r="I135" i="9"/>
  <c r="J123" i="9"/>
  <c r="I123" i="9"/>
  <c r="J59" i="9"/>
  <c r="I59" i="9"/>
  <c r="J72" i="9"/>
  <c r="I72" i="9"/>
  <c r="J56" i="9"/>
  <c r="I56" i="9"/>
  <c r="J15" i="9"/>
  <c r="I15" i="9"/>
  <c r="J11" i="9"/>
  <c r="I11" i="9"/>
  <c r="J108" i="9"/>
  <c r="I108" i="9"/>
  <c r="J3" i="9"/>
  <c r="I3" i="9"/>
  <c r="J23" i="9"/>
  <c r="I23" i="9"/>
  <c r="J71" i="9"/>
  <c r="I71" i="9"/>
  <c r="J51" i="9"/>
  <c r="I51" i="9"/>
  <c r="J95" i="9"/>
  <c r="I95" i="9"/>
  <c r="J47" i="9"/>
  <c r="I47" i="9"/>
  <c r="J43" i="9"/>
  <c r="I43" i="9"/>
  <c r="J103" i="9"/>
  <c r="I103" i="9"/>
  <c r="J131" i="9"/>
  <c r="I131" i="9"/>
  <c r="J20" i="9"/>
  <c r="I20" i="9"/>
  <c r="J55" i="9"/>
  <c r="I55" i="9"/>
  <c r="J39" i="9"/>
  <c r="I39" i="9"/>
  <c r="J19" i="9"/>
  <c r="I19" i="9"/>
  <c r="J104" i="9"/>
  <c r="I104" i="9"/>
  <c r="J52" i="9"/>
  <c r="I52" i="9"/>
  <c r="J87" i="9"/>
  <c r="I87" i="9"/>
  <c r="J110" i="9"/>
  <c r="I110" i="9"/>
  <c r="J63" i="9"/>
  <c r="I63" i="9"/>
  <c r="J31" i="9"/>
  <c r="I31" i="9"/>
  <c r="J44" i="9"/>
  <c r="I44" i="9"/>
  <c r="J35" i="9"/>
  <c r="I35" i="9"/>
  <c r="J132" i="9"/>
  <c r="I132" i="9"/>
  <c r="J100" i="9"/>
  <c r="I100" i="9"/>
  <c r="J16" i="9"/>
  <c r="I16" i="9"/>
  <c r="J99" i="9"/>
  <c r="I99" i="9"/>
  <c r="J140" i="9"/>
  <c r="I140" i="9"/>
  <c r="J79" i="9"/>
  <c r="I79" i="9"/>
  <c r="J96" i="9"/>
  <c r="I96" i="9"/>
  <c r="J78" i="9"/>
  <c r="I78" i="9"/>
  <c r="J148" i="9"/>
  <c r="I148" i="9"/>
  <c r="J88" i="9"/>
  <c r="I88" i="9"/>
  <c r="J83" i="9"/>
  <c r="I83" i="9"/>
  <c r="J76" i="9"/>
  <c r="I76" i="9"/>
  <c r="J68" i="9"/>
  <c r="I68" i="9"/>
  <c r="J119" i="9"/>
  <c r="I119" i="9"/>
  <c r="J48" i="9"/>
  <c r="I48" i="9"/>
  <c r="J116" i="9"/>
  <c r="I116" i="9"/>
  <c r="J60" i="9"/>
  <c r="I60" i="9"/>
  <c r="J112" i="9"/>
  <c r="I112" i="9"/>
  <c r="J107" i="9"/>
  <c r="I107" i="9"/>
  <c r="J111" i="9"/>
  <c r="I111" i="9"/>
  <c r="J64" i="9"/>
  <c r="I64" i="9"/>
  <c r="J128" i="9"/>
  <c r="I128" i="9"/>
  <c r="J115" i="9"/>
  <c r="I115" i="9"/>
  <c r="J7" i="9"/>
  <c r="I7" i="9"/>
</calcChain>
</file>

<file path=xl/sharedStrings.xml><?xml version="1.0" encoding="utf-8"?>
<sst xmlns="http://schemas.openxmlformats.org/spreadsheetml/2006/main" count="813" uniqueCount="320">
  <si>
    <t>RESORT</t>
  </si>
  <si>
    <t>GRPBY_DISP1</t>
  </si>
  <si>
    <t>RES_NTS</t>
  </si>
  <si>
    <t>RES_RMS</t>
  </si>
  <si>
    <t>RES_PRS</t>
  </si>
  <si>
    <t>RES_RATE</t>
  </si>
  <si>
    <t>ROOM_CLASS</t>
  </si>
  <si>
    <t>GRPBY_DISP2</t>
  </si>
  <si>
    <t>RC_NTS</t>
  </si>
  <si>
    <t>RC_RMS</t>
  </si>
  <si>
    <t>RC_PRS</t>
  </si>
  <si>
    <t>RC_RATE</t>
  </si>
  <si>
    <t>RESV_NAME_ID</t>
  </si>
  <si>
    <t>GUARANTEE_CODE</t>
  </si>
  <si>
    <t>RESV_STATUS</t>
  </si>
  <si>
    <t>ROOM</t>
  </si>
  <si>
    <t>FULL_NAME</t>
  </si>
  <si>
    <t>DEPARTURE</t>
  </si>
  <si>
    <t>PERSONS</t>
  </si>
  <si>
    <t>GROUP_NAME</t>
  </si>
  <si>
    <t>NO_OF_ROOMS</t>
  </si>
  <si>
    <t>ROOM_CATEGORY_LABEL</t>
  </si>
  <si>
    <t>RATE_CODE</t>
  </si>
  <si>
    <t>INSERT_USER</t>
  </si>
  <si>
    <t>INSERT_DATE</t>
  </si>
  <si>
    <t>GUARANTEE_CODE_DESC</t>
  </si>
  <si>
    <t>COMPANY_NAME</t>
  </si>
  <si>
    <t>TRAVEL_AGENT_NAME</t>
  </si>
  <si>
    <t>ARRIVAL</t>
  </si>
  <si>
    <t>NIGHTS</t>
  </si>
  <si>
    <t>COMP_HOUSE_YN</t>
  </si>
  <si>
    <t>SHARE_AMOUNT</t>
  </si>
  <si>
    <t>C_T_S_NAME</t>
  </si>
  <si>
    <t>SHORT_RESV_STATUS</t>
  </si>
  <si>
    <t>SHARE_AMOUNT_PER_STAY</t>
  </si>
  <si>
    <t xml:space="preserve">                                                                                                                                                                                                        </t>
  </si>
  <si>
    <t>CC GTD</t>
  </si>
  <si>
    <t>RESERVED</t>
  </si>
  <si>
    <t>*INNLINK2WAY*</t>
  </si>
  <si>
    <t>Credit Card Guaranteed</t>
  </si>
  <si>
    <t>CC G</t>
  </si>
  <si>
    <t>CHECKED IN</t>
  </si>
  <si>
    <t>Checked In</t>
  </si>
  <si>
    <t>SK</t>
  </si>
  <si>
    <t>AMOUNT</t>
  </si>
  <si>
    <t>ERROR</t>
  </si>
  <si>
    <t>TDF</t>
  </si>
  <si>
    <t>NET</t>
  </si>
  <si>
    <t>TOTAL</t>
  </si>
  <si>
    <t>FIRST NAME</t>
  </si>
  <si>
    <t>Grand Total</t>
  </si>
  <si>
    <t>Entered on By</t>
  </si>
  <si>
    <t>Company</t>
  </si>
  <si>
    <t>Room</t>
  </si>
  <si>
    <t>Nights Booked per Room</t>
  </si>
  <si>
    <t>Daily Pick up Per User</t>
  </si>
  <si>
    <t>Errors</t>
  </si>
  <si>
    <t>Rooms</t>
  </si>
  <si>
    <t>Pick up By Arrival Date and Room Type</t>
  </si>
  <si>
    <t>Room Nights</t>
  </si>
  <si>
    <t>Dates</t>
  </si>
  <si>
    <t xml:space="preserve">Room Pick up by Arrival Dates
</t>
  </si>
  <si>
    <t>C=CHECK</t>
  </si>
  <si>
    <t xml:space="preserve">COMPANY </t>
  </si>
  <si>
    <t xml:space="preserve">Check out </t>
  </si>
  <si>
    <t>FEB</t>
  </si>
  <si>
    <t>JAN</t>
  </si>
  <si>
    <t>MAR</t>
  </si>
  <si>
    <t>APR</t>
  </si>
  <si>
    <t>MAY</t>
  </si>
  <si>
    <t>JUN</t>
  </si>
  <si>
    <t>JUL</t>
  </si>
  <si>
    <t>AUG</t>
  </si>
  <si>
    <t>SEP</t>
  </si>
  <si>
    <t>OCT</t>
  </si>
  <si>
    <t>NOV</t>
  </si>
  <si>
    <t>DEC</t>
  </si>
  <si>
    <t>Row Labels</t>
  </si>
  <si>
    <t>Sum of NIGHTS</t>
  </si>
  <si>
    <t>Column Labels</t>
  </si>
  <si>
    <t xml:space="preserve">Check in </t>
  </si>
  <si>
    <t>Values</t>
  </si>
  <si>
    <t>SEP 25</t>
  </si>
  <si>
    <t>AUG 25</t>
  </si>
  <si>
    <t>OCT 25</t>
  </si>
  <si>
    <t>NOV 25</t>
  </si>
  <si>
    <t>DEC 25</t>
  </si>
  <si>
    <t>Total</t>
  </si>
  <si>
    <t>NIGHT</t>
  </si>
  <si>
    <t>Comp</t>
  </si>
  <si>
    <t>Amount</t>
  </si>
  <si>
    <t>Sum of Amount</t>
  </si>
  <si>
    <t xml:space="preserve">Dynamic Company Dashboard </t>
  </si>
  <si>
    <t xml:space="preserve">Share Rev </t>
  </si>
  <si>
    <t>Share RN</t>
  </si>
  <si>
    <t xml:space="preserve">Sum of Share Rev </t>
  </si>
  <si>
    <t>Sum of Share RN</t>
  </si>
  <si>
    <t xml:space="preserve">                                                                                                                    Refresh Stats  and Chart of Daily Pick up </t>
  </si>
  <si>
    <t xml:space="preserve">                                                                      Daily Pick up Per Company</t>
  </si>
  <si>
    <t>Checked</t>
  </si>
  <si>
    <t>ROOM TYPE</t>
  </si>
  <si>
    <t>CHECK</t>
  </si>
  <si>
    <t xml:space="preserve">ENTERED ON </t>
  </si>
  <si>
    <t xml:space="preserve">ENTERED ON BY </t>
  </si>
  <si>
    <t>Entered per user</t>
  </si>
  <si>
    <t xml:space="preserve">Entered </t>
  </si>
  <si>
    <t>Entered No</t>
  </si>
  <si>
    <t xml:space="preserve">Count of Check in </t>
  </si>
  <si>
    <t xml:space="preserve"> NOV 25</t>
  </si>
  <si>
    <t xml:space="preserve"> JUL 25</t>
  </si>
  <si>
    <t xml:space="preserve"> AUG 25</t>
  </si>
  <si>
    <t>SEPT 25</t>
  </si>
  <si>
    <t>RESV ID</t>
  </si>
  <si>
    <t xml:space="preserve">                                                   To be clicked once when doing the Entered On Report </t>
  </si>
  <si>
    <t xml:space="preserve">                                                                                Run Entered On from pasted  Delimited Data</t>
  </si>
  <si>
    <t xml:space="preserve">                                                                               Updates new data when clicked</t>
  </si>
  <si>
    <t xml:space="preserve">                                             Clear Delimited Data and Paste Data</t>
  </si>
  <si>
    <t xml:space="preserve">                                                                                                                                        Refreshes entire workbook</t>
  </si>
  <si>
    <t>M&amp;C / RESV/ OTHERS</t>
  </si>
  <si>
    <t>CKIN</t>
  </si>
  <si>
    <t>ADR</t>
  </si>
  <si>
    <t>COMMENT</t>
  </si>
  <si>
    <t>Count</t>
  </si>
  <si>
    <t>Sum</t>
  </si>
  <si>
    <t>Mean</t>
  </si>
  <si>
    <t>Standard Error</t>
  </si>
  <si>
    <t>Median</t>
  </si>
  <si>
    <t>Mode</t>
  </si>
  <si>
    <t>Standard Deviation</t>
  </si>
  <si>
    <t>Sample Variance</t>
  </si>
  <si>
    <t>Kurtosis</t>
  </si>
  <si>
    <t>Skewness</t>
  </si>
  <si>
    <t>Range</t>
  </si>
  <si>
    <t>Minimum</t>
  </si>
  <si>
    <t>Maximum</t>
  </si>
  <si>
    <t>Largest(1)</t>
  </si>
  <si>
    <t>Smallest(1)</t>
  </si>
  <si>
    <t>Confidence Level(95.0%)</t>
  </si>
  <si>
    <t>Descriptive Statistics</t>
  </si>
  <si>
    <t xml:space="preserve">Lowest Rate for the Day </t>
  </si>
  <si>
    <t xml:space="preserve">Highest Rate for the Day </t>
  </si>
  <si>
    <t>Difference between the highest and lowest Rate</t>
  </si>
  <si>
    <t>Higher than 3 means Higher sharper peak</t>
  </si>
  <si>
    <t xml:space="preserve"> Measures how much the rate deviates from the ADR</t>
  </si>
  <si>
    <t>Square of the standard deviation. Measures variability.</t>
  </si>
  <si>
    <t>Most booked rate of the day</t>
  </si>
  <si>
    <t>The middle value when your rate data is ordered</t>
  </si>
  <si>
    <t>Measures accuracy of the sample ADR as an estimate</t>
  </si>
  <si>
    <t>Rate expected to lie within ± of the ADR 95 % of the time</t>
  </si>
  <si>
    <t>Mean of Average Daily Rate</t>
  </si>
  <si>
    <t xml:space="preserve">Number of non-zero rate bookings made today </t>
  </si>
  <si>
    <t xml:space="preserve">ADR </t>
  </si>
  <si>
    <t>Season</t>
  </si>
  <si>
    <t xml:space="preserve">Sum of Daily Rate </t>
  </si>
  <si>
    <r>
      <t>"</t>
    </r>
    <r>
      <rPr>
        <b/>
        <i/>
        <sz val="11"/>
        <color theme="1"/>
        <rFont val="Calibri"/>
        <family val="2"/>
        <scheme val="minor"/>
      </rPr>
      <t>+</t>
    </r>
    <r>
      <rPr>
        <i/>
        <sz val="11"/>
        <color theme="1"/>
        <rFont val="Calibri"/>
        <family val="2"/>
        <scheme val="minor"/>
      </rPr>
      <t>"  indicates a right-skewed / "</t>
    </r>
    <r>
      <rPr>
        <b/>
        <i/>
        <sz val="11"/>
        <color theme="1"/>
        <rFont val="Calibri"/>
        <family val="2"/>
        <scheme val="minor"/>
      </rPr>
      <t>-</t>
    </r>
    <r>
      <rPr>
        <i/>
        <sz val="11"/>
        <color theme="1"/>
        <rFont val="Calibri"/>
        <family val="2"/>
        <scheme val="minor"/>
      </rPr>
      <t>" indicates left-skewed</t>
    </r>
  </si>
  <si>
    <t xml:space="preserve">Booking Lead Time </t>
  </si>
  <si>
    <t xml:space="preserve">Events Dates </t>
  </si>
  <si>
    <t>6PM</t>
  </si>
  <si>
    <t>VC</t>
  </si>
  <si>
    <t>TOBBJN</t>
  </si>
  <si>
    <t>VOUCHER PAYMNET</t>
  </si>
  <si>
    <t>Hold until 18:00 hrs DOA</t>
  </si>
  <si>
    <t>WH07918R</t>
  </si>
  <si>
    <t xml:space="preserve">Sum of ENTERED ON </t>
  </si>
  <si>
    <t>Booking.com</t>
  </si>
  <si>
    <t>T- Booking.com</t>
  </si>
  <si>
    <t>Agoda.com Company Pte LTD</t>
  </si>
  <si>
    <t xml:space="preserve">T- Agoda.com Company </t>
  </si>
  <si>
    <t>CANCELLED</t>
  </si>
  <si>
    <t>CXL</t>
  </si>
  <si>
    <t>1BA</t>
  </si>
  <si>
    <t>CHECKED OUT</t>
  </si>
  <si>
    <t>CKOT</t>
  </si>
  <si>
    <t>N/A</t>
  </si>
  <si>
    <t>24.08.25</t>
  </si>
  <si>
    <t>JOY</t>
  </si>
  <si>
    <t>26.08.25</t>
  </si>
  <si>
    <t>WH04199R</t>
  </si>
  <si>
    <t>PM</t>
  </si>
  <si>
    <t>23.08.25</t>
  </si>
  <si>
    <t>WH07918B</t>
  </si>
  <si>
    <t>Expedia</t>
  </si>
  <si>
    <t>T- Expedia</t>
  </si>
  <si>
    <t>25.08.25</t>
  </si>
  <si>
    <t>30.08.25</t>
  </si>
  <si>
    <t>01.09.25</t>
  </si>
  <si>
    <t>CO GTD</t>
  </si>
  <si>
    <t>Company Guaranteed</t>
  </si>
  <si>
    <t>CO G</t>
  </si>
  <si>
    <t>28.08.25</t>
  </si>
  <si>
    <t>BS</t>
  </si>
  <si>
    <t>SAMI</t>
  </si>
  <si>
    <t>Chellaram,Smita Manohar,Ms.</t>
  </si>
  <si>
    <t>Darina Holidays</t>
  </si>
  <si>
    <t>T- Darina Holidays</t>
  </si>
  <si>
    <t>NITHIN</t>
  </si>
  <si>
    <t>Lock Stock &amp; Barrel</t>
  </si>
  <si>
    <t>Abu Dhabi Commercial Bank ADCB</t>
  </si>
  <si>
    <t>C- Abu Dhabi Commerci</t>
  </si>
  <si>
    <t>02.09.25</t>
  </si>
  <si>
    <t>Chellaram</t>
  </si>
  <si>
    <t>Smita Manohar</t>
  </si>
  <si>
    <t>LV - Geraldine Reyes</t>
  </si>
  <si>
    <t>Morgan,Scott Layton,Mr.</t>
  </si>
  <si>
    <t>UPS Group Jul 2025</t>
  </si>
  <si>
    <t>GRPUPS</t>
  </si>
  <si>
    <t>UPS Supply Chain Solutions Inc(Dubai Br)</t>
  </si>
  <si>
    <t>C- UPS Supply Chain S</t>
  </si>
  <si>
    <t>Yang,Miyuan,Mr.</t>
  </si>
  <si>
    <t>FS</t>
  </si>
  <si>
    <t>Abdullah,Abdulazizi,Mr.</t>
  </si>
  <si>
    <t>Shi,Guang</t>
  </si>
  <si>
    <t>WH07917R</t>
  </si>
  <si>
    <t>Akhtar,Muhammad Fawad,Mr.</t>
  </si>
  <si>
    <t>COR450BB</t>
  </si>
  <si>
    <t>ACWA POWER</t>
  </si>
  <si>
    <t>ITL Travel World</t>
  </si>
  <si>
    <t>C- ACWA POWER</t>
  </si>
  <si>
    <t>Mohammad,Fahid,Mr.</t>
  </si>
  <si>
    <t>Al Marzooqi,Isra,Ms.</t>
  </si>
  <si>
    <t>CORADC</t>
  </si>
  <si>
    <t>Sha Sakkeer Hussain,Sudheer,Mr.</t>
  </si>
  <si>
    <t>29.08.25</t>
  </si>
  <si>
    <t>Dewar,Shaun,Mr.</t>
  </si>
  <si>
    <t>Braun,Viktor,Mr.</t>
  </si>
  <si>
    <t>Desert Gate Tourism</t>
  </si>
  <si>
    <t>T- Desert Gate Touris</t>
  </si>
  <si>
    <t>Serpov,Iurii,Mr.</t>
  </si>
  <si>
    <t>Al Zowehry,Ali Hamad A,Mr.</t>
  </si>
  <si>
    <t>Azat Esenova Bibijemal,Annadur,Mr.</t>
  </si>
  <si>
    <t>08.09.25</t>
  </si>
  <si>
    <t>07.09.25</t>
  </si>
  <si>
    <t>Avital,Boaz</t>
  </si>
  <si>
    <t>10.09.25</t>
  </si>
  <si>
    <t>UD01607R</t>
  </si>
  <si>
    <t>TRIPACTIONS</t>
  </si>
  <si>
    <t>T- TRIPACTIONS</t>
  </si>
  <si>
    <t>24.09.25</t>
  </si>
  <si>
    <t>Osra,Abdullah</t>
  </si>
  <si>
    <t>27.09.25</t>
  </si>
  <si>
    <t>Almosafer International Travel and Touri</t>
  </si>
  <si>
    <t>T- Almosafer Internat</t>
  </si>
  <si>
    <t>Osra,Khalid,Mr.</t>
  </si>
  <si>
    <t>26.09.25</t>
  </si>
  <si>
    <t>28.09.25</t>
  </si>
  <si>
    <t>Manzur,Marcelo Claudio,Mr.</t>
  </si>
  <si>
    <t>03.10.25</t>
  </si>
  <si>
    <t>Skymax Holidays c/o Thomas Cook AG</t>
  </si>
  <si>
    <t>T- Skymax Holidays c/</t>
  </si>
  <si>
    <t>01.10.25</t>
  </si>
  <si>
    <t>Chen,Yanyu,Mr.</t>
  </si>
  <si>
    <t>02.10.25</t>
  </si>
  <si>
    <t>28.01.26</t>
  </si>
  <si>
    <t>Connor,Linda,Ms.</t>
  </si>
  <si>
    <t>31.01.26</t>
  </si>
  <si>
    <t>TOGRM25</t>
  </si>
  <si>
    <t>SUMNO_OF_ROOMSPERREPORT</t>
  </si>
  <si>
    <t>SUMPERSONSPERREPORT</t>
  </si>
  <si>
    <t>S_NTS</t>
  </si>
  <si>
    <t>LOGO</t>
  </si>
  <si>
    <t>S_RATE</t>
  </si>
  <si>
    <t>2867604723.08.25</t>
  </si>
  <si>
    <t>2867604223.08.25</t>
  </si>
  <si>
    <t>2867603023.08.25</t>
  </si>
  <si>
    <t>2867605323.08.25</t>
  </si>
  <si>
    <t>2867603123.08.25</t>
  </si>
  <si>
    <t>2867601223.08.25</t>
  </si>
  <si>
    <t>2867601123.08.25</t>
  </si>
  <si>
    <t>2867605223.08.25</t>
  </si>
  <si>
    <t>2867603623.08.25</t>
  </si>
  <si>
    <t>2867604123.08.25</t>
  </si>
  <si>
    <t>2867604823.08.25</t>
  </si>
  <si>
    <t>2867603223.08.25</t>
  </si>
  <si>
    <t>2867603823.08.25</t>
  </si>
  <si>
    <t>2867604523.08.25</t>
  </si>
  <si>
    <t>2867603723.08.25</t>
  </si>
  <si>
    <t>2867601523.08.25</t>
  </si>
  <si>
    <t>2867603523.08.25</t>
  </si>
  <si>
    <t>2867602823.08.25</t>
  </si>
  <si>
    <t>2867603323.08.25</t>
  </si>
  <si>
    <t>2867603423.08.25</t>
  </si>
  <si>
    <t>2867604023.08.25</t>
  </si>
  <si>
    <t>2867603923.08.25</t>
  </si>
  <si>
    <t>2867604923.08.25</t>
  </si>
  <si>
    <t>Morgan</t>
  </si>
  <si>
    <t>Scott Layton</t>
  </si>
  <si>
    <t>Yang</t>
  </si>
  <si>
    <t>Miyuan</t>
  </si>
  <si>
    <t>Abdullah</t>
  </si>
  <si>
    <t>Abdulazizi</t>
  </si>
  <si>
    <t>Shi</t>
  </si>
  <si>
    <t>Guang</t>
  </si>
  <si>
    <t>Akhtar</t>
  </si>
  <si>
    <t>Muhammad Fawad</t>
  </si>
  <si>
    <t>Mohammad</t>
  </si>
  <si>
    <t>Fahid</t>
  </si>
  <si>
    <t>Al Marzooqi</t>
  </si>
  <si>
    <t>Isra</t>
  </si>
  <si>
    <t>Sha Sakkeer Hussain</t>
  </si>
  <si>
    <t>Sudheer</t>
  </si>
  <si>
    <t>Dewar</t>
  </si>
  <si>
    <t>Shaun</t>
  </si>
  <si>
    <t>Braun</t>
  </si>
  <si>
    <t>Viktor</t>
  </si>
  <si>
    <t>Serpov</t>
  </si>
  <si>
    <t>Iurii</t>
  </si>
  <si>
    <t>Al Zowehry</t>
  </si>
  <si>
    <t>Ali Hamad A</t>
  </si>
  <si>
    <t>Azat Esenova Bibijemal</t>
  </si>
  <si>
    <t>Annadur</t>
  </si>
  <si>
    <t>Avital</t>
  </si>
  <si>
    <t>Boaz</t>
  </si>
  <si>
    <t>Osra</t>
  </si>
  <si>
    <t>Khalid</t>
  </si>
  <si>
    <t>Manzur</t>
  </si>
  <si>
    <t>Marcelo Claudio</t>
  </si>
  <si>
    <t>Chen</t>
  </si>
  <si>
    <t>Yanyu</t>
  </si>
  <si>
    <t>Connor</t>
  </si>
  <si>
    <t>Linda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</si>
</sst>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_-;\-* #,##0_-;_-* &quot;-&quot;??_-;_-@_-"/>
  </numFmts>
  <fonts count="3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b/>
      <i/>
      <sz val="16"/>
      <color theme="1"/>
      <name val="Calibri"/>
      <family val="2"/>
      <scheme val="minor"/>
    </font>
    <font>
      <b/>
      <i/>
      <sz val="14"/>
      <color theme="1"/>
      <name val="Calibri"/>
      <family val="2"/>
      <scheme val="minor"/>
    </font>
    <font>
      <b/>
      <sz val="11"/>
      <color rgb="FF000000"/>
      <name val="Calibri"/>
      <family val="2"/>
    </font>
    <font>
      <b/>
      <i/>
      <sz val="22"/>
      <color theme="1"/>
      <name val="Calibri"/>
      <family val="2"/>
      <scheme val="minor"/>
    </font>
    <font>
      <sz val="8"/>
      <name val="Calibri"/>
      <family val="2"/>
      <scheme val="minor"/>
    </font>
    <font>
      <b/>
      <i/>
      <sz val="18"/>
      <color theme="1"/>
      <name val="Calibri"/>
      <family val="2"/>
      <scheme val="minor"/>
    </font>
    <font>
      <b/>
      <i/>
      <sz val="18"/>
      <color theme="0"/>
      <name val="Calibri"/>
      <family val="2"/>
      <scheme val="minor"/>
    </font>
    <font>
      <b/>
      <i/>
      <sz val="20"/>
      <color theme="1"/>
      <name val="Calibri"/>
      <family val="2"/>
      <scheme val="minor"/>
    </font>
    <font>
      <b/>
      <i/>
      <sz val="11"/>
      <color theme="1"/>
      <name val="Calibri"/>
      <family val="2"/>
      <scheme val="minor"/>
    </font>
    <font>
      <i/>
      <sz val="12"/>
      <color theme="1"/>
      <name val="Calibri"/>
      <family val="2"/>
      <scheme val="minor"/>
    </font>
    <font>
      <b/>
      <sz val="11"/>
      <color rgb="FF00B050"/>
      <name val="Calibri"/>
      <family val="2"/>
      <scheme val="minor"/>
    </font>
    <font>
      <sz val="11"/>
      <color rgb="FF000000"/>
      <name val="Calibri"/>
      <family val="2"/>
    </font>
    <font>
      <b/>
      <i/>
      <sz val="11"/>
      <color rgb="FF000000"/>
      <name val="Calibri"/>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66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1"/>
        <bgColor indexed="64"/>
      </patternFill>
    </fill>
    <fill>
      <patternFill patternType="solid">
        <fgColor rgb="FF0070C0"/>
        <bgColor indexed="64"/>
      </patternFill>
    </fill>
    <fill>
      <patternFill patternType="solid">
        <fgColor rgb="FFFFFFFF"/>
        <bgColor indexed="64"/>
      </patternFill>
    </fill>
  </fills>
  <borders count="5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55">
    <xf numFmtId="0" fontId="0" fillId="0" borderId="0" xfId="0"/>
    <xf numFmtId="0" fontId="0" fillId="0" borderId="10" xfId="0" applyBorder="1"/>
    <xf numFmtId="0" fontId="0" fillId="33" borderId="0" xfId="0" applyFill="1"/>
    <xf numFmtId="0" fontId="0" fillId="33" borderId="13" xfId="0" applyFill="1" applyBorder="1"/>
    <xf numFmtId="0" fontId="0" fillId="33" borderId="14" xfId="0" applyFill="1" applyBorder="1"/>
    <xf numFmtId="0" fontId="0" fillId="33" borderId="15" xfId="0" applyFill="1" applyBorder="1"/>
    <xf numFmtId="0" fontId="20" fillId="0" borderId="14" xfId="0" applyFont="1" applyBorder="1" applyAlignment="1">
      <alignment horizontal="centerContinuous"/>
    </xf>
    <xf numFmtId="0" fontId="20" fillId="33" borderId="14" xfId="0" applyFont="1" applyFill="1" applyBorder="1" applyAlignment="1">
      <alignment horizontal="centerContinuous"/>
    </xf>
    <xf numFmtId="0" fontId="0" fillId="33" borderId="14" xfId="0" applyFill="1" applyBorder="1" applyAlignment="1">
      <alignment horizontal="centerContinuous"/>
    </xf>
    <xf numFmtId="0" fontId="0" fillId="33" borderId="15" xfId="0" applyFill="1" applyBorder="1" applyAlignment="1">
      <alignment horizontal="centerContinuous"/>
    </xf>
    <xf numFmtId="0" fontId="19" fillId="33" borderId="14" xfId="0" applyFont="1" applyFill="1" applyBorder="1" applyAlignment="1">
      <alignment horizontal="centerContinuous"/>
    </xf>
    <xf numFmtId="0" fontId="22" fillId="33" borderId="14" xfId="0" applyFont="1" applyFill="1" applyBorder="1" applyAlignment="1">
      <alignment horizontal="centerContinuous" vertical="center"/>
    </xf>
    <xf numFmtId="0" fontId="22" fillId="33" borderId="15" xfId="0" applyFont="1" applyFill="1" applyBorder="1" applyAlignment="1">
      <alignment horizontal="centerContinuous" vertical="center"/>
    </xf>
    <xf numFmtId="0" fontId="0" fillId="0" borderId="11" xfId="0" applyBorder="1"/>
    <xf numFmtId="0" fontId="0" fillId="0" borderId="0" xfId="0" applyAlignment="1">
      <alignment horizontal="left"/>
    </xf>
    <xf numFmtId="0" fontId="0" fillId="0" borderId="32" xfId="0" applyBorder="1"/>
    <xf numFmtId="0" fontId="0" fillId="0" borderId="31" xfId="0" applyBorder="1"/>
    <xf numFmtId="0" fontId="0" fillId="0" borderId="33" xfId="0" applyBorder="1"/>
    <xf numFmtId="0" fontId="0" fillId="0" borderId="36" xfId="0" applyBorder="1"/>
    <xf numFmtId="0" fontId="0" fillId="0" borderId="37" xfId="0" applyBorder="1"/>
    <xf numFmtId="0" fontId="0" fillId="0" borderId="0" xfId="0" pivotButton="1"/>
    <xf numFmtId="14" fontId="0" fillId="0" borderId="37" xfId="0" applyNumberFormat="1" applyBorder="1"/>
    <xf numFmtId="0" fontId="0" fillId="0" borderId="35" xfId="0" applyBorder="1"/>
    <xf numFmtId="10" fontId="0" fillId="0" borderId="0" xfId="0" applyNumberFormat="1"/>
    <xf numFmtId="1" fontId="0" fillId="0" borderId="36" xfId="0" applyNumberFormat="1" applyBorder="1"/>
    <xf numFmtId="2" fontId="0" fillId="0" borderId="0" xfId="0" applyNumberFormat="1"/>
    <xf numFmtId="10" fontId="0" fillId="0" borderId="35" xfId="0" applyNumberFormat="1" applyBorder="1"/>
    <xf numFmtId="10" fontId="0" fillId="0" borderId="36" xfId="0" applyNumberFormat="1" applyBorder="1"/>
    <xf numFmtId="10" fontId="0" fillId="0" borderId="31" xfId="0" applyNumberFormat="1" applyBorder="1"/>
    <xf numFmtId="9" fontId="0" fillId="0" borderId="0" xfId="0" applyNumberFormat="1"/>
    <xf numFmtId="0" fontId="0" fillId="33" borderId="38" xfId="0" applyFill="1" applyBorder="1"/>
    <xf numFmtId="0" fontId="0" fillId="33" borderId="39" xfId="0" applyFill="1" applyBorder="1"/>
    <xf numFmtId="0" fontId="0" fillId="33" borderId="40" xfId="0" applyFill="1" applyBorder="1"/>
    <xf numFmtId="164" fontId="0" fillId="33" borderId="0" xfId="42" applyNumberFormat="1" applyFont="1" applyFill="1"/>
    <xf numFmtId="17" fontId="0" fillId="0" borderId="11" xfId="0" applyNumberFormat="1" applyBorder="1"/>
    <xf numFmtId="17" fontId="0" fillId="0" borderId="34" xfId="0" applyNumberFormat="1" applyBorder="1"/>
    <xf numFmtId="164" fontId="0" fillId="0" borderId="0" xfId="42" applyNumberFormat="1" applyFont="1"/>
    <xf numFmtId="0" fontId="0" fillId="36" borderId="0" xfId="0" applyFill="1"/>
    <xf numFmtId="0" fontId="18" fillId="36" borderId="0" xfId="0" applyFont="1" applyFill="1" applyAlignment="1">
      <alignment horizontal="centerContinuous" vertical="center"/>
    </xf>
    <xf numFmtId="0" fontId="0" fillId="36" borderId="0" xfId="0" applyFill="1" applyAlignment="1">
      <alignment horizontal="centerContinuous"/>
    </xf>
    <xf numFmtId="0" fontId="0" fillId="36" borderId="0" xfId="0" applyFill="1" applyAlignment="1">
      <alignment horizontal="centerContinuous" vertical="top"/>
    </xf>
    <xf numFmtId="0" fontId="18" fillId="36" borderId="0" xfId="0" applyFont="1" applyFill="1" applyAlignment="1">
      <alignment horizontal="centerContinuous"/>
    </xf>
    <xf numFmtId="0" fontId="18" fillId="36" borderId="0" xfId="0" applyFont="1" applyFill="1" applyAlignment="1">
      <alignment horizontal="centerContinuous" vertical="top"/>
    </xf>
    <xf numFmtId="0" fontId="16" fillId="37" borderId="14" xfId="0" applyFont="1" applyFill="1" applyBorder="1" applyAlignment="1">
      <alignment horizontal="centerContinuous"/>
    </xf>
    <xf numFmtId="0" fontId="0" fillId="38" borderId="14" xfId="0" applyFill="1" applyBorder="1" applyAlignment="1">
      <alignment horizontal="centerContinuous"/>
    </xf>
    <xf numFmtId="0" fontId="0" fillId="38" borderId="14" xfId="0" applyFill="1" applyBorder="1"/>
    <xf numFmtId="0" fontId="0" fillId="38" borderId="15" xfId="0" applyFill="1" applyBorder="1"/>
    <xf numFmtId="0" fontId="0" fillId="38" borderId="12" xfId="0" applyFill="1" applyBorder="1" applyAlignment="1">
      <alignment horizontal="centerContinuous"/>
    </xf>
    <xf numFmtId="0" fontId="0" fillId="37" borderId="12" xfId="0" applyFill="1" applyBorder="1" applyAlignment="1">
      <alignment horizontal="centerContinuous"/>
    </xf>
    <xf numFmtId="0" fontId="0" fillId="34" borderId="12" xfId="0" applyFill="1" applyBorder="1" applyAlignment="1">
      <alignment horizontal="centerContinuous"/>
    </xf>
    <xf numFmtId="0" fontId="0" fillId="34" borderId="14" xfId="0" applyFill="1" applyBorder="1" applyAlignment="1">
      <alignment horizontal="centerContinuous"/>
    </xf>
    <xf numFmtId="0" fontId="16" fillId="34" borderId="12" xfId="0" applyFont="1" applyFill="1" applyBorder="1" applyAlignment="1">
      <alignment horizontal="centerContinuous"/>
    </xf>
    <xf numFmtId="0" fontId="26" fillId="33" borderId="13" xfId="0" applyFont="1" applyFill="1" applyBorder="1" applyAlignment="1">
      <alignment horizontal="centerContinuous" vertical="center"/>
    </xf>
    <xf numFmtId="0" fontId="24" fillId="39" borderId="39" xfId="0" applyFont="1" applyFill="1" applyBorder="1" applyAlignment="1">
      <alignment horizontal="centerContinuous"/>
    </xf>
    <xf numFmtId="0" fontId="24" fillId="39" borderId="39" xfId="0" applyFont="1" applyFill="1" applyBorder="1" applyAlignment="1">
      <alignment horizontal="centerContinuous" vertical="center"/>
    </xf>
    <xf numFmtId="0" fontId="25" fillId="39" borderId="38" xfId="0" applyFont="1" applyFill="1" applyBorder="1" applyAlignment="1">
      <alignment horizontal="centerContinuous" vertical="center"/>
    </xf>
    <xf numFmtId="0" fontId="0" fillId="39" borderId="41" xfId="0" applyFill="1" applyBorder="1"/>
    <xf numFmtId="0" fontId="0" fillId="39" borderId="0" xfId="0" applyFill="1"/>
    <xf numFmtId="0" fontId="0" fillId="39" borderId="43" xfId="0" applyFill="1" applyBorder="1"/>
    <xf numFmtId="0" fontId="0" fillId="39" borderId="44" xfId="0" applyFill="1" applyBorder="1"/>
    <xf numFmtId="0" fontId="28" fillId="36" borderId="0" xfId="0" applyFont="1" applyFill="1" applyAlignment="1">
      <alignment horizontal="centerContinuous" vertical="center"/>
    </xf>
    <xf numFmtId="0" fontId="0" fillId="35" borderId="16" xfId="0" applyFill="1" applyBorder="1"/>
    <xf numFmtId="0" fontId="0" fillId="35" borderId="27" xfId="0" applyFill="1" applyBorder="1"/>
    <xf numFmtId="0" fontId="0" fillId="35" borderId="12" xfId="0" applyFill="1" applyBorder="1"/>
    <xf numFmtId="0" fontId="0" fillId="35" borderId="25" xfId="0" applyFill="1" applyBorder="1"/>
    <xf numFmtId="0" fontId="0" fillId="35" borderId="26" xfId="0" applyFill="1" applyBorder="1" applyAlignment="1">
      <alignment horizontal="center"/>
    </xf>
    <xf numFmtId="0" fontId="16" fillId="35" borderId="12" xfId="0" applyFont="1" applyFill="1" applyBorder="1"/>
    <xf numFmtId="0" fontId="16" fillId="35" borderId="25" xfId="0" applyFont="1" applyFill="1" applyBorder="1"/>
    <xf numFmtId="0" fontId="16" fillId="35" borderId="29" xfId="0" applyFont="1" applyFill="1" applyBorder="1"/>
    <xf numFmtId="0" fontId="16" fillId="35" borderId="26" xfId="0" applyFont="1" applyFill="1" applyBorder="1"/>
    <xf numFmtId="0" fontId="0" fillId="35" borderId="12" xfId="0" applyFill="1" applyBorder="1" applyAlignment="1">
      <alignment horizontal="left"/>
    </xf>
    <xf numFmtId="0" fontId="0" fillId="35" borderId="46" xfId="0" applyFill="1" applyBorder="1"/>
    <xf numFmtId="0" fontId="0" fillId="35" borderId="29" xfId="0" applyFill="1" applyBorder="1"/>
    <xf numFmtId="0" fontId="0" fillId="35" borderId="26" xfId="0" applyFill="1" applyBorder="1"/>
    <xf numFmtId="0" fontId="0" fillId="35" borderId="22" xfId="0" applyFill="1" applyBorder="1"/>
    <xf numFmtId="0" fontId="27" fillId="37" borderId="13" xfId="0" applyFont="1" applyFill="1" applyBorder="1" applyAlignment="1">
      <alignment horizontal="centerContinuous"/>
    </xf>
    <xf numFmtId="0" fontId="0" fillId="0" borderId="47" xfId="0" applyBorder="1"/>
    <xf numFmtId="0" fontId="0" fillId="0" borderId="47" xfId="0" pivotButton="1" applyBorder="1"/>
    <xf numFmtId="0" fontId="0" fillId="0" borderId="47" xfId="0" applyBorder="1" applyAlignment="1">
      <alignment horizontal="left"/>
    </xf>
    <xf numFmtId="1" fontId="0" fillId="0" borderId="47" xfId="0" applyNumberFormat="1" applyBorder="1"/>
    <xf numFmtId="14" fontId="0" fillId="0" borderId="47" xfId="0" applyNumberFormat="1" applyBorder="1"/>
    <xf numFmtId="0" fontId="0" fillId="33" borderId="22" xfId="0" applyFill="1" applyBorder="1" applyAlignment="1">
      <alignment horizontal="left"/>
    </xf>
    <xf numFmtId="43" fontId="0" fillId="33" borderId="16" xfId="0" applyNumberFormat="1" applyFill="1" applyBorder="1"/>
    <xf numFmtId="0" fontId="0" fillId="33" borderId="23" xfId="0" applyFill="1" applyBorder="1" applyAlignment="1">
      <alignment horizontal="left"/>
    </xf>
    <xf numFmtId="43" fontId="0" fillId="33" borderId="18" xfId="0" applyNumberFormat="1" applyFill="1" applyBorder="1"/>
    <xf numFmtId="0" fontId="0" fillId="33" borderId="24" xfId="0" applyFill="1" applyBorder="1" applyAlignment="1">
      <alignment horizontal="left"/>
    </xf>
    <xf numFmtId="164" fontId="0" fillId="35" borderId="20" xfId="0" applyNumberFormat="1" applyFill="1" applyBorder="1"/>
    <xf numFmtId="0" fontId="0" fillId="33" borderId="18" xfId="0" applyFill="1" applyBorder="1" applyAlignment="1">
      <alignment horizontal="left"/>
    </xf>
    <xf numFmtId="14" fontId="0" fillId="33" borderId="23" xfId="0" applyNumberFormat="1" applyFill="1" applyBorder="1" applyAlignment="1">
      <alignment horizontal="left"/>
    </xf>
    <xf numFmtId="14" fontId="16" fillId="35" borderId="12" xfId="0" applyNumberFormat="1" applyFont="1" applyFill="1" applyBorder="1" applyAlignment="1">
      <alignment horizontal="left"/>
    </xf>
    <xf numFmtId="164" fontId="0" fillId="33" borderId="44" xfId="0" applyNumberFormat="1" applyFill="1" applyBorder="1"/>
    <xf numFmtId="0" fontId="0" fillId="33" borderId="44" xfId="0" applyFill="1" applyBorder="1"/>
    <xf numFmtId="164" fontId="0" fillId="33" borderId="0" xfId="0" applyNumberFormat="1" applyFill="1"/>
    <xf numFmtId="0" fontId="0" fillId="33" borderId="43" xfId="0" applyFill="1" applyBorder="1" applyAlignment="1">
      <alignment horizontal="left"/>
    </xf>
    <xf numFmtId="0" fontId="0" fillId="33" borderId="0" xfId="0" applyFill="1" applyAlignment="1">
      <alignment horizontal="left"/>
    </xf>
    <xf numFmtId="0" fontId="0" fillId="39" borderId="40" xfId="0" applyFill="1" applyBorder="1"/>
    <xf numFmtId="0" fontId="0" fillId="39" borderId="42" xfId="0" applyFill="1" applyBorder="1"/>
    <xf numFmtId="0" fontId="0" fillId="39" borderId="45" xfId="0" applyFill="1" applyBorder="1"/>
    <xf numFmtId="0" fontId="0" fillId="40" borderId="0" xfId="0" applyFill="1"/>
    <xf numFmtId="0" fontId="0" fillId="41" borderId="16" xfId="0" applyFill="1" applyBorder="1"/>
    <xf numFmtId="0" fontId="0" fillId="41" borderId="18" xfId="0" applyFill="1" applyBorder="1"/>
    <xf numFmtId="0" fontId="0" fillId="41" borderId="20" xfId="0" applyFill="1" applyBorder="1"/>
    <xf numFmtId="2" fontId="16" fillId="41" borderId="23" xfId="0" applyNumberFormat="1" applyFont="1" applyFill="1" applyBorder="1" applyAlignment="1">
      <alignment horizontal="right"/>
    </xf>
    <xf numFmtId="43" fontId="0" fillId="0" borderId="0" xfId="0" applyNumberFormat="1"/>
    <xf numFmtId="0" fontId="16" fillId="35" borderId="12" xfId="0" applyFont="1" applyFill="1" applyBorder="1" applyAlignment="1">
      <alignment horizontal="left"/>
    </xf>
    <xf numFmtId="0" fontId="0" fillId="35" borderId="25" xfId="0" applyFill="1" applyBorder="1" applyAlignment="1">
      <alignment horizontal="center"/>
    </xf>
    <xf numFmtId="2" fontId="0" fillId="0" borderId="47" xfId="0" applyNumberFormat="1" applyBorder="1"/>
    <xf numFmtId="0" fontId="0" fillId="0" borderId="18" xfId="0" applyBorder="1"/>
    <xf numFmtId="0" fontId="0" fillId="0" borderId="19" xfId="0" applyBorder="1"/>
    <xf numFmtId="0" fontId="16" fillId="35" borderId="16" xfId="0" applyFont="1" applyFill="1" applyBorder="1"/>
    <xf numFmtId="0" fontId="16" fillId="35" borderId="27" xfId="0" applyFont="1" applyFill="1" applyBorder="1"/>
    <xf numFmtId="0" fontId="16" fillId="35" borderId="17" xfId="0" applyFont="1" applyFill="1" applyBorder="1"/>
    <xf numFmtId="1" fontId="16" fillId="0" borderId="47" xfId="0" applyNumberFormat="1" applyFont="1" applyBorder="1"/>
    <xf numFmtId="14" fontId="0" fillId="0" borderId="10" xfId="0" applyNumberFormat="1" applyBorder="1"/>
    <xf numFmtId="0" fontId="0" fillId="0" borderId="51" xfId="0" applyBorder="1"/>
    <xf numFmtId="0" fontId="16" fillId="0" borderId="11" xfId="0" applyFont="1" applyBorder="1"/>
    <xf numFmtId="0" fontId="16" fillId="0" borderId="34" xfId="0" applyFont="1" applyBorder="1"/>
    <xf numFmtId="0" fontId="16" fillId="0" borderId="35" xfId="0" applyFont="1" applyBorder="1"/>
    <xf numFmtId="14" fontId="0" fillId="0" borderId="0" xfId="0" applyNumberFormat="1"/>
    <xf numFmtId="0" fontId="0" fillId="33" borderId="47" xfId="0" applyFill="1" applyBorder="1"/>
    <xf numFmtId="0" fontId="16" fillId="41" borderId="11" xfId="0" applyFont="1" applyFill="1" applyBorder="1"/>
    <xf numFmtId="1" fontId="16" fillId="41" borderId="47" xfId="0" applyNumberFormat="1" applyFont="1" applyFill="1" applyBorder="1"/>
    <xf numFmtId="1" fontId="16" fillId="41" borderId="10" xfId="0" applyNumberFormat="1" applyFont="1" applyFill="1" applyBorder="1"/>
    <xf numFmtId="0" fontId="0" fillId="41" borderId="0" xfId="0" applyFill="1"/>
    <xf numFmtId="2" fontId="16" fillId="41" borderId="22" xfId="0" applyNumberFormat="1" applyFont="1" applyFill="1" applyBorder="1" applyAlignment="1">
      <alignment horizontal="right"/>
    </xf>
    <xf numFmtId="2" fontId="0" fillId="41" borderId="23" xfId="0" applyNumberFormat="1" applyFill="1" applyBorder="1" applyAlignment="1">
      <alignment horizontal="right"/>
    </xf>
    <xf numFmtId="1" fontId="16" fillId="41" borderId="23" xfId="0" applyNumberFormat="1" applyFont="1" applyFill="1" applyBorder="1" applyAlignment="1">
      <alignment horizontal="right"/>
    </xf>
    <xf numFmtId="2" fontId="0" fillId="41" borderId="24" xfId="0" applyNumberFormat="1" applyFill="1" applyBorder="1" applyAlignment="1">
      <alignment horizontal="right"/>
    </xf>
    <xf numFmtId="0" fontId="13" fillId="39" borderId="13" xfId="0" applyFont="1" applyFill="1" applyBorder="1" applyAlignment="1">
      <alignment horizontal="center"/>
    </xf>
    <xf numFmtId="0" fontId="13" fillId="39" borderId="15" xfId="0" applyFont="1" applyFill="1" applyBorder="1" applyAlignment="1">
      <alignment horizontal="center"/>
    </xf>
    <xf numFmtId="0" fontId="18" fillId="41" borderId="48" xfId="0" applyFont="1" applyFill="1" applyBorder="1" applyAlignment="1">
      <alignment horizontal="center"/>
    </xf>
    <xf numFmtId="0" fontId="18" fillId="41" borderId="49" xfId="0" applyFont="1" applyFill="1" applyBorder="1" applyAlignment="1">
      <alignment horizontal="center"/>
    </xf>
    <xf numFmtId="0" fontId="18" fillId="41" borderId="50" xfId="0" applyFont="1" applyFill="1" applyBorder="1" applyAlignment="1">
      <alignment horizontal="center"/>
    </xf>
    <xf numFmtId="0" fontId="0" fillId="0" borderId="0" xfId="0" applyFill="1"/>
    <xf numFmtId="0" fontId="0" fillId="0" borderId="0" xfId="0" applyNumberFormat="1"/>
    <xf numFmtId="0" fontId="0" fillId="33" borderId="47" xfId="0" applyNumberFormat="1" applyFill="1" applyBorder="1"/>
    <xf numFmtId="0" fontId="0" fillId="33" borderId="19" xfId="0" applyNumberFormat="1" applyFill="1" applyBorder="1"/>
    <xf numFmtId="0" fontId="16" fillId="35" borderId="21" xfId="0" applyNumberFormat="1" applyFont="1" applyFill="1" applyBorder="1"/>
    <xf numFmtId="0" fontId="0" fillId="33" borderId="16" xfId="0" applyNumberFormat="1" applyFill="1" applyBorder="1"/>
    <xf numFmtId="0" fontId="0" fillId="33" borderId="17" xfId="0" applyNumberFormat="1" applyFill="1" applyBorder="1"/>
    <xf numFmtId="0" fontId="0" fillId="33" borderId="18" xfId="0" applyNumberFormat="1" applyFill="1" applyBorder="1"/>
    <xf numFmtId="0" fontId="16" fillId="35" borderId="20" xfId="0" applyNumberFormat="1" applyFont="1" applyFill="1" applyBorder="1"/>
    <xf numFmtId="0" fontId="0" fillId="0" borderId="47" xfId="0" applyNumberFormat="1" applyBorder="1"/>
    <xf numFmtId="0" fontId="0" fillId="35" borderId="21" xfId="0" applyNumberFormat="1" applyFill="1" applyBorder="1"/>
    <xf numFmtId="0" fontId="0" fillId="33" borderId="27" xfId="0" applyNumberFormat="1" applyFill="1" applyBorder="1"/>
    <xf numFmtId="0" fontId="14" fillId="33" borderId="27" xfId="0" applyNumberFormat="1" applyFont="1" applyFill="1" applyBorder="1"/>
    <xf numFmtId="0" fontId="29" fillId="33" borderId="17" xfId="0" applyNumberFormat="1" applyFont="1" applyFill="1" applyBorder="1"/>
    <xf numFmtId="0" fontId="14" fillId="33" borderId="47" xfId="0" applyNumberFormat="1" applyFont="1" applyFill="1" applyBorder="1"/>
    <xf numFmtId="0" fontId="29" fillId="33" borderId="19" xfId="0" applyNumberFormat="1" applyFont="1" applyFill="1" applyBorder="1"/>
    <xf numFmtId="0" fontId="0" fillId="35" borderId="28" xfId="0" applyNumberFormat="1" applyFill="1" applyBorder="1"/>
    <xf numFmtId="0" fontId="0" fillId="33" borderId="23" xfId="0" applyNumberFormat="1" applyFill="1" applyBorder="1"/>
    <xf numFmtId="0" fontId="16" fillId="35" borderId="30" xfId="0" applyNumberFormat="1" applyFont="1" applyFill="1" applyBorder="1"/>
    <xf numFmtId="0" fontId="0" fillId="35" borderId="20" xfId="0" applyNumberFormat="1" applyFill="1" applyBorder="1"/>
    <xf numFmtId="0" fontId="0" fillId="0" borderId="0" xfId="0" applyFill="1" applyAlignment="1">
      <alignment horizontal="left"/>
    </xf>
    <xf numFmtId="0" fontId="0" fillId="0" borderId="0" xfId="0" applyNumberForma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73">
    <dxf>
      <font>
        <b/>
        <i val="0"/>
        <strike val="0"/>
      </font>
      <fill>
        <patternFill>
          <bgColor rgb="FFFF0000"/>
        </patternFill>
      </fill>
    </dxf>
    <dxf>
      <fill>
        <patternFill>
          <bgColor rgb="FF66FFCC"/>
        </patternFill>
      </fill>
    </dxf>
    <dxf>
      <font>
        <b/>
        <i val="0"/>
        <strike val="0"/>
      </font>
      <fill>
        <patternFill>
          <bgColor rgb="FFFF0000"/>
        </patternFill>
      </fill>
    </dxf>
    <dxf>
      <fill>
        <patternFill>
          <bgColor rgb="FF66FFCC"/>
        </patternFill>
      </fill>
    </dxf>
    <dxf>
      <fill>
        <patternFill>
          <bgColor rgb="FF00FFCC"/>
        </patternFill>
      </fill>
    </dxf>
    <dxf>
      <font>
        <b/>
        <i/>
        <color theme="0"/>
      </font>
      <fill>
        <patternFill>
          <bgColor rgb="FF00B0F0"/>
        </patternFill>
      </fill>
    </dxf>
    <dxf>
      <fill>
        <patternFill>
          <bgColor rgb="FF66FFCC"/>
        </patternFill>
      </fill>
    </dxf>
    <dxf>
      <fill>
        <patternFill>
          <bgColor rgb="FFFF0000"/>
        </patternFill>
      </fill>
    </dxf>
    <dxf>
      <fill>
        <patternFill>
          <bgColor rgb="FFFFC000"/>
        </patternFill>
      </fill>
    </dxf>
    <dxf>
      <fill>
        <patternFill>
          <bgColor rgb="FF66FFCC"/>
        </patternFill>
      </fill>
    </dxf>
    <dxf>
      <fill>
        <patternFill>
          <bgColor rgb="FFFF0000"/>
        </patternFill>
      </fill>
    </dxf>
    <dxf>
      <fill>
        <patternFill>
          <bgColor rgb="FF66FFCC"/>
        </patternFill>
      </fill>
    </dxf>
    <dxf>
      <fill>
        <patternFill>
          <bgColor rgb="FFFF0000"/>
        </patternFill>
      </fill>
    </dxf>
    <dxf>
      <fill>
        <patternFill>
          <bgColor rgb="FF66FFCC"/>
        </patternFill>
      </fill>
    </dxf>
    <dxf>
      <fill>
        <patternFill>
          <bgColor rgb="FFFF000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rgb="FF66FFCC"/>
        </patternFill>
      </fill>
    </dxf>
    <dxf>
      <font>
        <color rgb="FF9C0006"/>
      </font>
      <fill>
        <patternFill>
          <fgColor indexed="64"/>
          <bgColor rgb="FFFFC7CE"/>
        </patternFill>
      </fill>
    </dxf>
    <dxf>
      <fill>
        <patternFill>
          <bgColor rgb="FFFF0000"/>
        </patternFill>
      </fill>
    </dxf>
    <dxf>
      <font>
        <color rgb="FF9C0006"/>
      </font>
      <fill>
        <patternFill>
          <fgColor indexed="64"/>
          <bgColor rgb="FFFFC7CE"/>
        </patternFill>
      </fill>
    </dxf>
    <dxf>
      <border diagonalUp="0" diagonalDown="0">
        <left style="thin">
          <color indexed="64"/>
        </left>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border diagonalUp="0" diagonalDown="0">
        <left style="thin">
          <color auto="1"/>
        </left>
        <right style="thin">
          <color indexed="64"/>
        </right>
        <top style="thin">
          <color indexed="64"/>
        </top>
        <bottom style="thin">
          <color indexed="64"/>
        </bottom>
        <vertical/>
        <horizontal/>
      </border>
    </dxf>
    <dxf>
      <numFmt numFmtId="0" formatCode="General"/>
      <border diagonalUp="0" diagonalDown="0">
        <left style="thin">
          <color auto="1"/>
        </left>
        <right style="thin">
          <color indexed="64"/>
        </right>
        <top style="thin">
          <color indexed="64"/>
        </top>
        <bottom style="thin">
          <color indexed="64"/>
        </bottom>
        <vertical/>
        <horizontal/>
      </border>
    </dxf>
    <dxf>
      <numFmt numFmtId="19" formatCode="dd/mm/yyyy"/>
      <border diagonalUp="0" diagonalDown="0">
        <left style="thin">
          <color auto="1"/>
        </left>
        <right style="thin">
          <color indexed="64"/>
        </right>
        <top style="thin">
          <color indexed="64"/>
        </top>
        <bottom style="thin">
          <color indexed="64"/>
        </bottom>
        <vertical/>
        <horizontal/>
      </border>
    </dxf>
    <dxf>
      <numFmt numFmtId="19" formatCode="dd/mm/yyyy"/>
      <border diagonalUp="0" diagonalDown="0">
        <left style="thin">
          <color auto="1"/>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4" formatCode="0.00%"/>
      <border diagonalUp="0" diagonalDown="0">
        <left/>
        <right style="thin">
          <color indexed="64"/>
        </right>
        <top style="thin">
          <color indexed="64"/>
        </top>
        <bottom style="thin">
          <color indexed="64"/>
        </bottom>
      </border>
    </dxf>
    <dxf>
      <numFmt numFmtId="14" formatCode="0.00%"/>
      <border diagonalUp="0" diagonalDown="0">
        <left/>
        <right/>
        <top style="thin">
          <color indexed="64"/>
        </top>
        <bottom style="thin">
          <color indexed="64"/>
        </bottom>
      </border>
    </dxf>
    <dxf>
      <numFmt numFmtId="0" formatCode="General"/>
      <border diagonalUp="0" diagonalDown="0">
        <left/>
        <right/>
        <top style="thin">
          <color indexed="64"/>
        </top>
        <bottom style="thin">
          <color indexed="64"/>
        </bottom>
      </border>
    </dxf>
    <dxf>
      <numFmt numFmtId="0" formatCode="General"/>
      <border diagonalUp="0" diagonalDown="0">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medium">
          <color indexed="64"/>
        </right>
        <top style="medium">
          <color indexed="64"/>
        </top>
        <bottom style="medium">
          <color indexed="64"/>
        </bottom>
      </border>
    </dxf>
    <dxf>
      <border outline="0">
        <bottom style="thin">
          <color indexed="64"/>
        </bottom>
      </border>
    </dxf>
    <dxf>
      <border diagonalUp="0" diagonalDown="0" outline="0">
        <left style="thin">
          <color indexed="64"/>
        </left>
        <right style="thin">
          <color indexed="64"/>
        </right>
        <top/>
        <bottom/>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2"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 formatCode="0"/>
      <fill>
        <patternFill patternType="solid">
          <fgColor indexed="64"/>
          <bgColor rgb="FF66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4" tint="0.79998168889431442"/>
        </patternFill>
      </fill>
      <border diagonalUp="0" diagonalDown="0" outline="0">
        <left style="thin">
          <color indexed="64"/>
        </left>
        <right style="thin">
          <color indexed="64"/>
        </right>
        <top/>
        <bottom/>
      </bord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0"/>
        </patternFill>
      </fill>
    </dxf>
    <dxf>
      <fill>
        <patternFill>
          <bgColor theme="0"/>
        </patternFill>
      </fill>
    </dxf>
    <dxf>
      <fill>
        <patternFill>
          <bgColor theme="0"/>
        </patternFill>
      </fill>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border>
        <horizontal style="thin">
          <color indexed="64"/>
        </horizontal>
      </border>
    </dxf>
    <dxf>
      <font>
        <b/>
      </font>
    </dxf>
    <dxf>
      <fill>
        <patternFill>
          <bgColor theme="8" tint="0.79998168889431442"/>
        </patternFill>
      </fill>
    </dxf>
    <dxf>
      <fill>
        <patternFill>
          <bgColor theme="8"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left style="thin">
          <color indexed="64"/>
        </left>
        <right style="thin">
          <color indexed="64"/>
        </right>
        <top style="thin">
          <color indexed="64"/>
        </top>
        <bottom style="thin">
          <color indexed="64"/>
        </bottom>
        <vertical style="thin">
          <color indexed="64"/>
        </vertical>
      </border>
    </dxf>
    <dxf>
      <border>
        <right style="medium">
          <color indexed="64"/>
        </right>
      </border>
    </dxf>
    <dxf>
      <alignment horizontal="cent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4" formatCode="_-* #,##0_-;\-* #,##0_-;_-* &quot;-&quot;??_-;_-@_-"/>
    </dxf>
    <dxf>
      <numFmt numFmtId="35" formatCode="_-* #,##0.00_-;\-* #,##0.00_-;_-* &quot;-&quot;??_-;_-@_-"/>
    </dxf>
    <dxf>
      <fill>
        <patternFill>
          <bgColor theme="4" tint="0.79998168889431442"/>
        </patternFill>
      </fill>
    </dxf>
    <dxf>
      <fill>
        <patternFill>
          <bgColor theme="4" tint="0.79998168889431442"/>
        </patternFill>
      </fill>
    </dxf>
    <dxf>
      <fill>
        <patternFill>
          <bgColor theme="8"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0"/>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color rgb="FF00B050"/>
      </font>
    </dxf>
    <dxf>
      <numFmt numFmtId="164" formatCode="_-* #,##0_-;\-* #,##0_-;_-* &quot;-&quot;??_-;_-@_-"/>
    </dxf>
    <dxf>
      <font>
        <b/>
      </font>
    </dxf>
    <dxf>
      <font>
        <b/>
      </font>
    </dxf>
    <dxf>
      <font>
        <i val="0"/>
      </font>
    </dxf>
    <dxf>
      <font>
        <color rgb="FFFF0000"/>
      </font>
    </dxf>
    <dxf>
      <numFmt numFmtId="35" formatCode="_-* #,##0.00_-;\-* #,##0.00_-;_-* &quot;-&quot;??_-;_-@_-"/>
    </dxf>
    <dxf>
      <fill>
        <patternFill>
          <bgColor theme="4" tint="0.79998168889431442"/>
        </patternFill>
      </fill>
    </dxf>
    <dxf>
      <fill>
        <patternFill>
          <bgColor theme="4" tint="0.79998168889431442"/>
        </patternFill>
      </fill>
    </dxf>
    <dxf>
      <fill>
        <patternFill>
          <bgColor theme="8" tint="0.79998168889431442"/>
        </patternFill>
      </fill>
    </dxf>
    <dxf>
      <fill>
        <patternFill>
          <bgColor theme="8" tint="0.79998168889431442"/>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fill>
        <patternFill>
          <bgColor theme="4" tint="0.79998168889431442"/>
        </patternFill>
      </fill>
    </dxf>
    <dxf>
      <fill>
        <patternFill>
          <bgColor theme="4"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ill>
        <patternFill>
          <bgColor theme="8"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border>
        <right style="medium">
          <color indexed="64"/>
        </right>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0"/>
        </patternFill>
      </fill>
    </dxf>
    <dxf>
      <fill>
        <patternFill>
          <bgColor theme="0"/>
        </patternFill>
      </fill>
    </dxf>
    <dxf>
      <fill>
        <patternFill>
          <bgColor theme="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00FFCC"/>
      <color rgb="FFFFFFFF"/>
      <color rgb="FF66FFCC"/>
      <color rgb="FFFF3300"/>
      <color rgb="FF00FF99"/>
      <color rgb="FFF8F8F8"/>
      <color rgb="FF00FF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[23-08-2025 Entered On.xlsm]REV PROD !PivotTable3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83610768520242"/>
          <c:y val="6.8583951023010001E-2"/>
          <c:w val="0.86818009071686375"/>
          <c:h val="0.75009448663195255"/>
        </c:manualLayout>
      </c:layout>
      <c:barChart>
        <c:barDir val="col"/>
        <c:grouping val="clustered"/>
        <c:varyColors val="0"/>
        <c:ser>
          <c:idx val="0"/>
          <c:order val="0"/>
          <c:tx>
            <c:strRef>
              <c:f>'REV PROD '!$C$9</c:f>
              <c:strCache>
                <c:ptCount val="1"/>
                <c:pt idx="0">
                  <c:v>Entered per user</c:v>
                </c:pt>
              </c:strCache>
            </c:strRef>
          </c:tx>
          <c:spPr>
            <a:solidFill>
              <a:schemeClr val="accent1"/>
            </a:solidFill>
            <a:ln>
              <a:noFill/>
            </a:ln>
            <a:effectLst/>
          </c:spPr>
          <c:invertIfNegative val="0"/>
          <c:cat>
            <c:strRef>
              <c:f>'REV PROD '!$B$10:$B$15</c:f>
              <c:strCache>
                <c:ptCount val="5"/>
                <c:pt idx="0">
                  <c:v>JOY</c:v>
                </c:pt>
                <c:pt idx="1">
                  <c:v>*INNLINK2WAY*</c:v>
                </c:pt>
                <c:pt idx="2">
                  <c:v>SAMI</c:v>
                </c:pt>
                <c:pt idx="3">
                  <c:v>NITHIN</c:v>
                </c:pt>
                <c:pt idx="4">
                  <c:v>0</c:v>
                </c:pt>
              </c:strCache>
            </c:strRef>
          </c:cat>
          <c:val>
            <c:numRef>
              <c:f>'REV PROD '!$C$10:$C$15</c:f>
              <c:numCache>
                <c:formatCode>_(* #,##0.00_);_(* \(#,##0.00\);_(* "-"??_);_(@_)</c:formatCode>
                <c:ptCount val="5"/>
                <c:pt idx="0">
                  <c:v>10742.27</c:v>
                </c:pt>
                <c:pt idx="1">
                  <c:v>6576.68</c:v>
                </c:pt>
                <c:pt idx="2">
                  <c:v>1072.5</c:v>
                </c:pt>
                <c:pt idx="3">
                  <c:v>0</c:v>
                </c:pt>
                <c:pt idx="4">
                  <c:v>0</c:v>
                </c:pt>
              </c:numCache>
            </c:numRef>
          </c:val>
          <c:extLst>
            <c:ext xmlns:c16="http://schemas.microsoft.com/office/drawing/2014/chart" uri="{C3380CC4-5D6E-409C-BE32-E72D297353CC}">
              <c16:uniqueId val="{00000002-7AC1-4DAC-91F7-489FFC129540}"/>
            </c:ext>
          </c:extLst>
        </c:ser>
        <c:ser>
          <c:idx val="1"/>
          <c:order val="1"/>
          <c:tx>
            <c:strRef>
              <c:f>'REV PROD '!$D$9</c:f>
              <c:strCache>
                <c:ptCount val="1"/>
                <c:pt idx="0">
                  <c:v>Entered </c:v>
                </c:pt>
              </c:strCache>
            </c:strRef>
          </c:tx>
          <c:spPr>
            <a:solidFill>
              <a:schemeClr val="accent2"/>
            </a:solidFill>
            <a:ln>
              <a:noFill/>
            </a:ln>
            <a:effectLst/>
          </c:spPr>
          <c:invertIfNegative val="0"/>
          <c:cat>
            <c:strRef>
              <c:f>'REV PROD '!$B$10:$B$15</c:f>
              <c:strCache>
                <c:ptCount val="5"/>
                <c:pt idx="0">
                  <c:v>JOY</c:v>
                </c:pt>
                <c:pt idx="1">
                  <c:v>*INNLINK2WAY*</c:v>
                </c:pt>
                <c:pt idx="2">
                  <c:v>SAMI</c:v>
                </c:pt>
                <c:pt idx="3">
                  <c:v>NITHIN</c:v>
                </c:pt>
                <c:pt idx="4">
                  <c:v>0</c:v>
                </c:pt>
              </c:strCache>
            </c:strRef>
          </c:cat>
          <c:val>
            <c:numRef>
              <c:f>'REV PROD '!$D$10:$D$15</c:f>
              <c:numCache>
                <c:formatCode>General</c:formatCode>
                <c:ptCount val="5"/>
                <c:pt idx="0">
                  <c:v>8</c:v>
                </c:pt>
                <c:pt idx="1">
                  <c:v>11</c:v>
                </c:pt>
                <c:pt idx="2">
                  <c:v>2</c:v>
                </c:pt>
                <c:pt idx="3">
                  <c:v>2</c:v>
                </c:pt>
                <c:pt idx="4">
                  <c:v>0</c:v>
                </c:pt>
              </c:numCache>
            </c:numRef>
          </c:val>
          <c:extLst>
            <c:ext xmlns:c16="http://schemas.microsoft.com/office/drawing/2014/chart" uri="{C3380CC4-5D6E-409C-BE32-E72D297353CC}">
              <c16:uniqueId val="{00000004-7AC1-4DAC-91F7-489FFC129540}"/>
            </c:ext>
          </c:extLst>
        </c:ser>
        <c:ser>
          <c:idx val="2"/>
          <c:order val="2"/>
          <c:tx>
            <c:strRef>
              <c:f>'REV PROD '!$E$9</c:f>
              <c:strCache>
                <c:ptCount val="1"/>
                <c:pt idx="0">
                  <c:v>Errors</c:v>
                </c:pt>
              </c:strCache>
            </c:strRef>
          </c:tx>
          <c:spPr>
            <a:solidFill>
              <a:schemeClr val="accent3"/>
            </a:solidFill>
            <a:ln>
              <a:noFill/>
            </a:ln>
            <a:effectLst/>
          </c:spPr>
          <c:invertIfNegative val="0"/>
          <c:cat>
            <c:strRef>
              <c:f>'REV PROD '!$B$10:$B$15</c:f>
              <c:strCache>
                <c:ptCount val="5"/>
                <c:pt idx="0">
                  <c:v>JOY</c:v>
                </c:pt>
                <c:pt idx="1">
                  <c:v>*INNLINK2WAY*</c:v>
                </c:pt>
                <c:pt idx="2">
                  <c:v>SAMI</c:v>
                </c:pt>
                <c:pt idx="3">
                  <c:v>NITHIN</c:v>
                </c:pt>
                <c:pt idx="4">
                  <c:v>0</c:v>
                </c:pt>
              </c:strCache>
            </c:strRef>
          </c:cat>
          <c:val>
            <c:numRef>
              <c:f>'REV PROD '!$E$10:$E$15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7AC1-4DAC-91F7-489FFC129540}"/>
            </c:ext>
          </c:extLst>
        </c:ser>
        <c:ser>
          <c:idx val="3"/>
          <c:order val="3"/>
          <c:tx>
            <c:strRef>
              <c:f>'REV PROD '!$F$9</c:f>
              <c:strCache>
                <c:ptCount val="1"/>
                <c:pt idx="0">
                  <c:v>Checked</c:v>
                </c:pt>
              </c:strCache>
            </c:strRef>
          </c:tx>
          <c:spPr>
            <a:solidFill>
              <a:schemeClr val="accent4"/>
            </a:solidFill>
            <a:ln>
              <a:noFill/>
            </a:ln>
            <a:effectLst/>
          </c:spPr>
          <c:invertIfNegative val="0"/>
          <c:cat>
            <c:strRef>
              <c:f>'REV PROD '!$B$10:$B$15</c:f>
              <c:strCache>
                <c:ptCount val="5"/>
                <c:pt idx="0">
                  <c:v>JOY</c:v>
                </c:pt>
                <c:pt idx="1">
                  <c:v>*INNLINK2WAY*</c:v>
                </c:pt>
                <c:pt idx="2">
                  <c:v>SAMI</c:v>
                </c:pt>
                <c:pt idx="3">
                  <c:v>NITHIN</c:v>
                </c:pt>
                <c:pt idx="4">
                  <c:v>0</c:v>
                </c:pt>
              </c:strCache>
            </c:strRef>
          </c:cat>
          <c:val>
            <c:numRef>
              <c:f>'REV PROD '!$F$10:$F$15</c:f>
              <c:numCache>
                <c:formatCode>General</c:formatCode>
                <c:ptCount val="5"/>
                <c:pt idx="0">
                  <c:v>0</c:v>
                </c:pt>
                <c:pt idx="1">
                  <c:v>1</c:v>
                </c:pt>
                <c:pt idx="2">
                  <c:v>0</c:v>
                </c:pt>
                <c:pt idx="3">
                  <c:v>0</c:v>
                </c:pt>
                <c:pt idx="4">
                  <c:v>0</c:v>
                </c:pt>
              </c:numCache>
            </c:numRef>
          </c:val>
          <c:extLst>
            <c:ext xmlns:c16="http://schemas.microsoft.com/office/drawing/2014/chart" uri="{C3380CC4-5D6E-409C-BE32-E72D297353CC}">
              <c16:uniqueId val="{00000006-7AC1-4DAC-91F7-489FFC129540}"/>
            </c:ext>
          </c:extLst>
        </c:ser>
        <c:dLbls>
          <c:showLegendKey val="0"/>
          <c:showVal val="0"/>
          <c:showCatName val="0"/>
          <c:showSerName val="0"/>
          <c:showPercent val="0"/>
          <c:showBubbleSize val="0"/>
        </c:dLbls>
        <c:gapWidth val="267"/>
        <c:overlap val="-43"/>
        <c:axId val="1988613423"/>
        <c:axId val="1988614671"/>
      </c:barChart>
      <c:catAx>
        <c:axId val="1988613423"/>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988614671"/>
        <c:crosses val="autoZero"/>
        <c:auto val="1"/>
        <c:lblAlgn val="ctr"/>
        <c:lblOffset val="100"/>
        <c:noMultiLvlLbl val="0"/>
      </c:catAx>
      <c:valAx>
        <c:axId val="1988614671"/>
        <c:scaling>
          <c:orientation val="minMax"/>
        </c:scaling>
        <c:delete val="0"/>
        <c:axPos val="l"/>
        <c:majorGridlines>
          <c:spPr>
            <a:ln w="9525" cap="flat" cmpd="sng" algn="ctr">
              <a:solidFill>
                <a:schemeClr val="dk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988613423"/>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[23-08-2025 Entered On.xlsm]REV PROD !PivotTable4</c:name>
    <c:fmtId val="0"/>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layout>
            <c:manualLayout>
              <c:x val="-3.4947764099840959E-3"/>
              <c:y val="-2.9599929433481376E-2"/>
            </c:manualLayout>
          </c:layout>
          <c:tx>
            <c:rich>
              <a:bodyPr/>
              <a:lstStyle/>
              <a:p>
                <a:fld id="{F2D79AD0-8FF2-4113-90D2-F8B6128F313B}" type="VALUE">
                  <a:rPr lang="en-US" sz="900"/>
                  <a:pPr/>
                  <a:t>[VALUE]</a:t>
                </a:fld>
                <a:endParaRPr lang="en-GB"/>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dLbl>
          <c:idx val="0"/>
          <c:layout>
            <c:manualLayout>
              <c:x val="0"/>
              <c:y val="-1.5938423541105355E-2"/>
            </c:manualLayout>
          </c:layout>
          <c:tx>
            <c:rich>
              <a:bodyPr/>
              <a:lstStyle/>
              <a:p>
                <a:fld id="{EEE34F04-EDE2-45BA-859C-47495FD99D45}" type="VALUE">
                  <a:rPr lang="en-US" sz="900"/>
                  <a:pPr/>
                  <a:t>[VALUE]</a:t>
                </a:fld>
                <a:endParaRPr lang="en-GB"/>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dLbl>
          <c:idx val="0"/>
          <c:layout>
            <c:manualLayout>
              <c:x val="-4.6597018799787804E-3"/>
              <c:y val="-2.0492258838564197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
              <c:y val="-1.1384588243646682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2.3298509399894544E-3"/>
              <c:y val="-2.5046094136022785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1.3689822073663368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9.5765561409859321E-17"/>
              <c:y val="-1.3640237483336802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0"/>
              <c:y val="-2.0460356225005204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9.0934916555578688E-3"/>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9.0934916555578688E-3"/>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9.5765561409859321E-17"/>
              <c:y val="-6.8201187416683179E-3"/>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'REV PROD '!$C$36</c:f>
              <c:strCache>
                <c:ptCount val="1"/>
                <c:pt idx="0">
                  <c:v>Sum of Amount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Pt>
            <c:idx val="0"/>
            <c:invertIfNegative val="0"/>
            <c:bubble3D val="0"/>
            <c:extLst>
              <c:ext xmlns:c16="http://schemas.microsoft.com/office/drawing/2014/chart" uri="{C3380CC4-5D6E-409C-BE32-E72D297353CC}">
                <c16:uniqueId val="{00000001-20D7-44C6-9CDD-350769A0CF6B}"/>
              </c:ext>
            </c:extLst>
          </c:dPt>
          <c:dPt>
            <c:idx val="1"/>
            <c:invertIfNegative val="0"/>
            <c:bubble3D val="0"/>
            <c:extLst>
              <c:ext xmlns:c16="http://schemas.microsoft.com/office/drawing/2014/chart" uri="{C3380CC4-5D6E-409C-BE32-E72D297353CC}">
                <c16:uniqueId val="{00000002-20D7-44C6-9CDD-350769A0CF6B}"/>
              </c:ext>
            </c:extLst>
          </c:dPt>
          <c:dPt>
            <c:idx val="3"/>
            <c:invertIfNegative val="0"/>
            <c:bubble3D val="0"/>
            <c:extLst>
              <c:ext xmlns:c16="http://schemas.microsoft.com/office/drawing/2014/chart" uri="{C3380CC4-5D6E-409C-BE32-E72D297353CC}">
                <c16:uniqueId val="{00000004-20D7-44C6-9CDD-350769A0CF6B}"/>
              </c:ext>
            </c:extLst>
          </c:dPt>
          <c:dPt>
            <c:idx val="4"/>
            <c:invertIfNegative val="0"/>
            <c:bubble3D val="0"/>
            <c:extLst>
              <c:ext xmlns:c16="http://schemas.microsoft.com/office/drawing/2014/chart" uri="{C3380CC4-5D6E-409C-BE32-E72D297353CC}">
                <c16:uniqueId val="{00000005-20D7-44C6-9CDD-350769A0CF6B}"/>
              </c:ext>
            </c:extLst>
          </c:dPt>
          <c:dPt>
            <c:idx val="5"/>
            <c:invertIfNegative val="0"/>
            <c:bubble3D val="0"/>
            <c:extLst>
              <c:ext xmlns:c16="http://schemas.microsoft.com/office/drawing/2014/chart" uri="{C3380CC4-5D6E-409C-BE32-E72D297353CC}">
                <c16:uniqueId val="{00000007-EEEF-49FF-ACEA-8CDB7BA0DA57}"/>
              </c:ext>
            </c:extLst>
          </c:dPt>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'REV PROD '!$B$37:$B$49</c:f>
              <c:strCache>
                <c:ptCount val="12"/>
                <c:pt idx="0">
                  <c:v>C- ACWA POWER</c:v>
                </c:pt>
                <c:pt idx="1">
                  <c:v>T- Desert Gate Touris</c:v>
                </c:pt>
                <c:pt idx="2">
                  <c:v>T- Booking.com</c:v>
                </c:pt>
                <c:pt idx="3">
                  <c:v>T- Expedia</c:v>
                </c:pt>
                <c:pt idx="4">
                  <c:v>T- Skymax Holidays c/</c:v>
                </c:pt>
                <c:pt idx="5">
                  <c:v>T- TRIPACTIONS</c:v>
                </c:pt>
                <c:pt idx="6">
                  <c:v>T- Almosafer Internat</c:v>
                </c:pt>
                <c:pt idx="7">
                  <c:v>C- Abu Dhabi Commerci</c:v>
                </c:pt>
                <c:pt idx="8">
                  <c:v>T- Agoda.com Company </c:v>
                </c:pt>
                <c:pt idx="9">
                  <c:v>C- UPS Supply Chain S</c:v>
                </c:pt>
                <c:pt idx="10">
                  <c:v>T- Darina Holidays</c:v>
                </c:pt>
                <c:pt idx="11">
                  <c:v>M&amp;C / RESV/ OTHERS</c:v>
                </c:pt>
              </c:strCache>
            </c:strRef>
          </c:cat>
          <c:val>
            <c:numRef>
              <c:f>'REV PROD '!$C$37:$C$49</c:f>
              <c:numCache>
                <c:formatCode>_(* #,##0.00_);_(* \(#,##0.00\);_(* "-"??_);_(@_)</c:formatCode>
                <c:ptCount val="12"/>
                <c:pt idx="0">
                  <c:v>4400</c:v>
                </c:pt>
                <c:pt idx="1">
                  <c:v>3666.2780000000002</c:v>
                </c:pt>
                <c:pt idx="2">
                  <c:v>3171.96</c:v>
                </c:pt>
                <c:pt idx="3">
                  <c:v>1914</c:v>
                </c:pt>
                <c:pt idx="4">
                  <c:v>1364.9349999999999</c:v>
                </c:pt>
                <c:pt idx="5">
                  <c:v>963.6</c:v>
                </c:pt>
                <c:pt idx="6">
                  <c:v>897.98500000000013</c:v>
                </c:pt>
                <c:pt idx="7">
                  <c:v>605</c:v>
                </c:pt>
                <c:pt idx="8">
                  <c:v>527.12</c:v>
                </c:pt>
                <c:pt idx="9">
                  <c:v>467.50000000000006</c:v>
                </c:pt>
                <c:pt idx="10">
                  <c:v>413.072</c:v>
                </c:pt>
                <c:pt idx="11">
                  <c:v>0</c:v>
                </c:pt>
              </c:numCache>
            </c:numRef>
          </c:val>
          <c:extLst>
            <c:ext xmlns:c16="http://schemas.microsoft.com/office/drawing/2014/chart" uri="{C3380CC4-5D6E-409C-BE32-E72D297353CC}">
              <c16:uniqueId val="{00000001-DE3C-4162-8D68-150D8F780439}"/>
            </c:ext>
          </c:extLst>
        </c:ser>
        <c:ser>
          <c:idx val="1"/>
          <c:order val="1"/>
          <c:tx>
            <c:strRef>
              <c:f>'REV PROD '!$D$36</c:f>
              <c:strCache>
                <c:ptCount val="1"/>
                <c:pt idx="0">
                  <c:v>Room Nights</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'REV PROD '!$B$37:$B$49</c:f>
              <c:strCache>
                <c:ptCount val="12"/>
                <c:pt idx="0">
                  <c:v>C- ACWA POWER</c:v>
                </c:pt>
                <c:pt idx="1">
                  <c:v>T- Desert Gate Touris</c:v>
                </c:pt>
                <c:pt idx="2">
                  <c:v>T- Booking.com</c:v>
                </c:pt>
                <c:pt idx="3">
                  <c:v>T- Expedia</c:v>
                </c:pt>
                <c:pt idx="4">
                  <c:v>T- Skymax Holidays c/</c:v>
                </c:pt>
                <c:pt idx="5">
                  <c:v>T- TRIPACTIONS</c:v>
                </c:pt>
                <c:pt idx="6">
                  <c:v>T- Almosafer Internat</c:v>
                </c:pt>
                <c:pt idx="7">
                  <c:v>C- Abu Dhabi Commerci</c:v>
                </c:pt>
                <c:pt idx="8">
                  <c:v>T- Agoda.com Company </c:v>
                </c:pt>
                <c:pt idx="9">
                  <c:v>C- UPS Supply Chain S</c:v>
                </c:pt>
                <c:pt idx="10">
                  <c:v>T- Darina Holidays</c:v>
                </c:pt>
                <c:pt idx="11">
                  <c:v>M&amp;C / RESV/ OTHERS</c:v>
                </c:pt>
              </c:strCache>
            </c:strRef>
          </c:cat>
          <c:val>
            <c:numRef>
              <c:f>'REV PROD '!$D$37:$D$49</c:f>
              <c:numCache>
                <c:formatCode>General</c:formatCode>
                <c:ptCount val="12"/>
                <c:pt idx="0">
                  <c:v>8</c:v>
                </c:pt>
                <c:pt idx="1">
                  <c:v>10</c:v>
                </c:pt>
                <c:pt idx="2">
                  <c:v>12</c:v>
                </c:pt>
                <c:pt idx="3">
                  <c:v>7</c:v>
                </c:pt>
                <c:pt idx="4">
                  <c:v>5</c:v>
                </c:pt>
                <c:pt idx="5">
                  <c:v>3</c:v>
                </c:pt>
                <c:pt idx="6">
                  <c:v>5</c:v>
                </c:pt>
                <c:pt idx="7">
                  <c:v>1</c:v>
                </c:pt>
                <c:pt idx="8">
                  <c:v>2</c:v>
                </c:pt>
                <c:pt idx="9">
                  <c:v>1</c:v>
                </c:pt>
                <c:pt idx="10">
                  <c:v>1</c:v>
                </c:pt>
                <c:pt idx="11">
                  <c:v>0</c:v>
                </c:pt>
              </c:numCache>
            </c:numRef>
          </c:val>
          <c:extLst>
            <c:ext xmlns:c16="http://schemas.microsoft.com/office/drawing/2014/chart" uri="{C3380CC4-5D6E-409C-BE32-E72D297353CC}">
              <c16:uniqueId val="{00000007-732C-40F6-8893-736FBA7028F3}"/>
            </c:ext>
          </c:extLst>
        </c:ser>
        <c:dLbls>
          <c:showLegendKey val="0"/>
          <c:showVal val="1"/>
          <c:showCatName val="0"/>
          <c:showSerName val="0"/>
          <c:showPercent val="0"/>
          <c:showBubbleSize val="0"/>
        </c:dLbls>
        <c:gapWidth val="150"/>
        <c:overlap val="-25"/>
        <c:axId val="2107350751"/>
        <c:axId val="2107355743"/>
      </c:barChart>
      <c:catAx>
        <c:axId val="210735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107355743"/>
        <c:crosses val="autoZero"/>
        <c:auto val="1"/>
        <c:lblAlgn val="ctr"/>
        <c:lblOffset val="100"/>
        <c:noMultiLvlLbl val="0"/>
      </c:catAx>
      <c:valAx>
        <c:axId val="2107355743"/>
        <c:scaling>
          <c:orientation val="minMax"/>
        </c:scaling>
        <c:delete val="1"/>
        <c:axPos val="l"/>
        <c:numFmt formatCode="_(* #,##0.00_);_(* \(#,##0.00\);_(* &quot;-&quot;??_);_(@_)" sourceLinked="1"/>
        <c:majorTickMark val="none"/>
        <c:minorTickMark val="none"/>
        <c:tickLblPos val="nextTo"/>
        <c:crossAx val="21073507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[23-08-2025 Entered On.xlsm]REV PROD !PivotTable3</c:name>
    <c:fmtId val="8"/>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
        <c:idx val="40"/>
        <c:spPr>
          <a:solidFill>
            <a:schemeClr val="accent1"/>
          </a:solidFill>
          <a:ln>
            <a:noFill/>
          </a:ln>
          <a:effectLst>
            <a:outerShdw blurRad="254000" sx="102000" sy="102000" algn="ctr" rotWithShape="0">
              <a:prstClr val="black">
                <a:alpha val="20000"/>
              </a:prstClr>
            </a:outerShdw>
          </a:effectLst>
        </c:spPr>
      </c:pivotFmt>
      <c:pivotFmt>
        <c:idx val="41"/>
        <c:spPr>
          <a:solidFill>
            <a:schemeClr val="accent1"/>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pivotFmt>
      <c:pivotFmt>
        <c:idx val="47"/>
      </c:pivotFmt>
      <c:pivotFmt>
        <c:idx val="48"/>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pivotFmt>
      <c:pivotFmt>
        <c:idx val="52"/>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pivotFmt>
      <c:pivotFmt>
        <c:idx val="55"/>
      </c:pivotFmt>
      <c:pivotFmt>
        <c:idx val="56"/>
      </c:pivotFmt>
      <c:pivotFmt>
        <c:idx val="57"/>
        <c:spPr>
          <a:solidFill>
            <a:schemeClr val="accent1"/>
          </a:solidFill>
          <a:ln>
            <a:noFill/>
          </a:ln>
          <a:effectLst>
            <a:outerShdw blurRad="254000" sx="102000" sy="102000" algn="ctr" rotWithShape="0">
              <a:prstClr val="black">
                <a:alpha val="20000"/>
              </a:prstClr>
            </a:outerShdw>
          </a:effectLst>
        </c:spPr>
      </c:pivotFmt>
      <c:pivotFmt>
        <c:idx val="58"/>
        <c:spPr>
          <a:solidFill>
            <a:schemeClr val="accent1"/>
          </a:solidFill>
          <a:ln>
            <a:noFill/>
          </a:ln>
          <a:effectLst>
            <a:outerShdw blurRad="254000" sx="102000" sy="102000" algn="ctr" rotWithShape="0">
              <a:prstClr val="black">
                <a:alpha val="20000"/>
              </a:prstClr>
            </a:outerShdw>
          </a:effectLst>
        </c:spPr>
      </c:pivotFmt>
      <c:pivotFmt>
        <c:idx val="59"/>
        <c:spPr>
          <a:solidFill>
            <a:schemeClr val="accent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pivotFmt>
      <c:pivotFmt>
        <c:idx val="63"/>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accent1"/>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1"/>
        <c:spPr>
          <a:solidFill>
            <a:schemeClr val="accent1"/>
          </a:solidFill>
          <a:ln>
            <a:noFill/>
          </a:ln>
          <a:effectLst>
            <a:outerShdw blurRad="254000" sx="102000" sy="102000" algn="ctr" rotWithShape="0">
              <a:prstClr val="black">
                <a:alpha val="20000"/>
              </a:prstClr>
            </a:outerShdw>
          </a:effectLst>
        </c:spPr>
      </c:pivotFmt>
      <c:pivotFmt>
        <c:idx val="72"/>
        <c:spPr>
          <a:solidFill>
            <a:schemeClr val="accent1"/>
          </a:solidFill>
          <a:ln>
            <a:noFill/>
          </a:ln>
          <a:effectLst>
            <a:outerShdw blurRad="254000" sx="102000" sy="102000" algn="ctr" rotWithShape="0">
              <a:prstClr val="black">
                <a:alpha val="20000"/>
              </a:prstClr>
            </a:outerShdw>
          </a:effectLst>
        </c:spPr>
      </c:pivotFmt>
      <c:pivotFmt>
        <c:idx val="73"/>
        <c:spPr>
          <a:solidFill>
            <a:schemeClr val="accent1"/>
          </a:solidFill>
          <a:ln>
            <a:noFill/>
          </a:ln>
          <a:effectLst>
            <a:outerShdw blurRad="254000" sx="102000" sy="102000" algn="ctr" rotWithShape="0">
              <a:prstClr val="black">
                <a:alpha val="20000"/>
              </a:prstClr>
            </a:outerShdw>
          </a:effectLst>
        </c:spPr>
      </c:pivotFmt>
      <c:pivotFmt>
        <c:idx val="74"/>
        <c:spPr>
          <a:solidFill>
            <a:schemeClr val="accent1"/>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pivotFmt>
      <c:pivotFmt>
        <c:idx val="76"/>
        <c:spPr>
          <a:solidFill>
            <a:schemeClr val="accent1"/>
          </a:solidFill>
          <a:ln>
            <a:noFill/>
          </a:ln>
          <a:effectLst>
            <a:outerShdw blurRad="254000" sx="102000" sy="102000" algn="ctr" rotWithShape="0">
              <a:prstClr val="black">
                <a:alpha val="20000"/>
              </a:prstClr>
            </a:outerShdw>
          </a:effectLst>
        </c:spPr>
      </c:pivotFmt>
      <c:pivotFmt>
        <c:idx val="77"/>
        <c:spPr>
          <a:solidFill>
            <a:schemeClr val="accent1"/>
          </a:solidFill>
          <a:ln>
            <a:noFill/>
          </a:ln>
          <a:effectLst>
            <a:outerShdw blurRad="254000" sx="102000" sy="102000" algn="ctr" rotWithShape="0">
              <a:prstClr val="black">
                <a:alpha val="20000"/>
              </a:prstClr>
            </a:outerShdw>
          </a:effectLst>
        </c:spPr>
      </c:pivotFmt>
      <c:pivotFmt>
        <c:idx val="78"/>
        <c:spPr>
          <a:solidFill>
            <a:schemeClr val="accent1"/>
          </a:solidFill>
          <a:ln>
            <a:noFill/>
          </a:ln>
          <a:effectLst>
            <a:outerShdw blurRad="254000" sx="102000" sy="102000" algn="ctr" rotWithShape="0">
              <a:prstClr val="black">
                <a:alpha val="20000"/>
              </a:prstClr>
            </a:outerShdw>
          </a:effectLst>
        </c:spPr>
      </c:pivotFmt>
      <c:pivotFmt>
        <c:idx val="79"/>
        <c:spPr>
          <a:solidFill>
            <a:schemeClr val="accent1"/>
          </a:solidFill>
          <a:ln>
            <a:noFill/>
          </a:ln>
          <a:effectLst>
            <a:outerShdw blurRad="254000" sx="102000" sy="102000" algn="ctr" rotWithShape="0">
              <a:prstClr val="black">
                <a:alpha val="20000"/>
              </a:prstClr>
            </a:outerShdw>
          </a:effectLst>
        </c:spPr>
      </c:pivotFmt>
      <c:pivotFmt>
        <c:idx val="80"/>
        <c:spPr>
          <a:solidFill>
            <a:schemeClr val="accent1"/>
          </a:solidFill>
          <a:ln>
            <a:noFill/>
          </a:ln>
          <a:effectLst>
            <a:outerShdw blurRad="254000" sx="102000" sy="102000" algn="ctr" rotWithShape="0">
              <a:prstClr val="black">
                <a:alpha val="20000"/>
              </a:prstClr>
            </a:outerShdw>
          </a:effectLst>
        </c:spPr>
      </c:pivotFmt>
      <c:pivotFmt>
        <c:idx val="81"/>
        <c:spPr>
          <a:solidFill>
            <a:schemeClr val="accent1"/>
          </a:solidFill>
          <a:ln>
            <a:noFill/>
          </a:ln>
          <a:effectLst>
            <a:outerShdw blurRad="254000" sx="102000" sy="102000" algn="ctr" rotWithShape="0">
              <a:prstClr val="black">
                <a:alpha val="20000"/>
              </a:prstClr>
            </a:outerShdw>
          </a:effectLst>
        </c:spPr>
      </c:pivotFmt>
      <c:pivotFmt>
        <c:idx val="82"/>
        <c:spPr>
          <a:solidFill>
            <a:schemeClr val="accent1"/>
          </a:solidFill>
          <a:ln>
            <a:noFill/>
          </a:ln>
          <a:effectLst>
            <a:outerShdw blurRad="254000" sx="102000" sy="102000" algn="ctr" rotWithShape="0">
              <a:prstClr val="black">
                <a:alpha val="20000"/>
              </a:prstClr>
            </a:outerShdw>
          </a:effectLst>
        </c:spPr>
      </c:pivotFmt>
      <c:pivotFmt>
        <c:idx val="83"/>
        <c:spPr>
          <a:solidFill>
            <a:schemeClr val="accent1"/>
          </a:solidFill>
          <a:ln>
            <a:noFill/>
          </a:ln>
          <a:effectLst>
            <a:outerShdw blurRad="254000" sx="102000" sy="102000" algn="ctr" rotWithShape="0">
              <a:prstClr val="black">
                <a:alpha val="20000"/>
              </a:prstClr>
            </a:outerShdw>
          </a:effectLst>
        </c:spPr>
      </c:pivotFmt>
      <c:pivotFmt>
        <c:idx val="84"/>
        <c:spPr>
          <a:solidFill>
            <a:schemeClr val="accent1"/>
          </a:solidFill>
          <a:ln>
            <a:noFill/>
          </a:ln>
          <a:effectLst>
            <a:outerShdw blurRad="254000" sx="102000" sy="102000" algn="ctr" rotWithShape="0">
              <a:prstClr val="black">
                <a:alpha val="20000"/>
              </a:prstClr>
            </a:outerShdw>
          </a:effectLst>
        </c:spPr>
      </c:pivotFmt>
      <c:pivotFmt>
        <c:idx val="85"/>
        <c:spPr>
          <a:solidFill>
            <a:schemeClr val="accent1"/>
          </a:solidFill>
          <a:ln>
            <a:noFill/>
          </a:ln>
          <a:effectLst>
            <a:outerShdw blurRad="254000" sx="102000" sy="102000" algn="ctr" rotWithShape="0">
              <a:prstClr val="black">
                <a:alpha val="20000"/>
              </a:prstClr>
            </a:outerShdw>
          </a:effectLst>
        </c:spPr>
      </c:pivotFmt>
      <c:pivotFmt>
        <c:idx val="86"/>
        <c:spPr>
          <a:solidFill>
            <a:schemeClr val="accent1"/>
          </a:solidFill>
          <a:ln>
            <a:noFill/>
          </a:ln>
          <a:effectLst>
            <a:outerShdw blurRad="254000" sx="102000" sy="102000" algn="ctr" rotWithShape="0">
              <a:prstClr val="black">
                <a:alpha val="20000"/>
              </a:prstClr>
            </a:outerShdw>
          </a:effectLst>
        </c:spPr>
      </c:pivotFmt>
      <c:pivotFmt>
        <c:idx val="87"/>
        <c:spPr>
          <a:solidFill>
            <a:schemeClr val="accent1"/>
          </a:solidFill>
          <a:ln>
            <a:noFill/>
          </a:ln>
          <a:effectLst>
            <a:outerShdw blurRad="254000" sx="102000" sy="102000" algn="ctr" rotWithShape="0">
              <a:prstClr val="black">
                <a:alpha val="20000"/>
              </a:prstClr>
            </a:outerShdw>
          </a:effectLst>
        </c:spPr>
      </c:pivotFmt>
      <c:pivotFmt>
        <c:idx val="88"/>
        <c:spPr>
          <a:solidFill>
            <a:schemeClr val="accent1"/>
          </a:solidFill>
          <a:ln>
            <a:noFill/>
          </a:ln>
          <a:effectLst>
            <a:outerShdw blurRad="254000" sx="102000" sy="102000" algn="ctr" rotWithShape="0">
              <a:prstClr val="black">
                <a:alpha val="20000"/>
              </a:prstClr>
            </a:outerShdw>
          </a:effectLst>
        </c:spPr>
      </c:pivotFmt>
      <c:pivotFmt>
        <c:idx val="89"/>
        <c:spPr>
          <a:solidFill>
            <a:schemeClr val="accent1"/>
          </a:solidFill>
          <a:ln>
            <a:noFill/>
          </a:ln>
          <a:effectLst>
            <a:outerShdw blurRad="254000" sx="102000" sy="102000" algn="ctr" rotWithShape="0">
              <a:prstClr val="black">
                <a:alpha val="20000"/>
              </a:prstClr>
            </a:outerShdw>
          </a:effectLst>
        </c:spPr>
      </c:pivotFmt>
      <c:pivotFmt>
        <c:idx val="90"/>
        <c:spPr>
          <a:solidFill>
            <a:schemeClr val="accent1"/>
          </a:solidFill>
          <a:ln>
            <a:noFill/>
          </a:ln>
          <a:effectLst>
            <a:outerShdw blurRad="254000" sx="102000" sy="102000" algn="ctr" rotWithShape="0">
              <a:prstClr val="black">
                <a:alpha val="20000"/>
              </a:prstClr>
            </a:outerShdw>
          </a:effectLst>
        </c:spPr>
      </c:pivotFmt>
      <c:pivotFmt>
        <c:idx val="91"/>
        <c:spPr>
          <a:solidFill>
            <a:schemeClr val="accent1"/>
          </a:solidFill>
          <a:ln>
            <a:noFill/>
          </a:ln>
          <a:effectLst>
            <a:outerShdw blurRad="254000" sx="102000" sy="102000" algn="ctr" rotWithShape="0">
              <a:prstClr val="black">
                <a:alpha val="20000"/>
              </a:prstClr>
            </a:outerShdw>
          </a:effectLst>
        </c:spPr>
      </c:pivotFmt>
      <c:pivotFmt>
        <c:idx val="92"/>
        <c:spPr>
          <a:solidFill>
            <a:schemeClr val="accent1"/>
          </a:solidFill>
          <a:ln>
            <a:noFill/>
          </a:ln>
          <a:effectLst>
            <a:outerShdw blurRad="254000" sx="102000" sy="102000" algn="ctr" rotWithShape="0">
              <a:prstClr val="black">
                <a:alpha val="20000"/>
              </a:prstClr>
            </a:outerShdw>
          </a:effectLst>
        </c:spPr>
      </c:pivotFmt>
      <c:pivotFmt>
        <c:idx val="93"/>
        <c:spPr>
          <a:solidFill>
            <a:schemeClr val="accent1"/>
          </a:solidFill>
          <a:ln>
            <a:noFill/>
          </a:ln>
          <a:effectLst>
            <a:outerShdw blurRad="254000" sx="102000" sy="102000" algn="ctr" rotWithShape="0">
              <a:prstClr val="black">
                <a:alpha val="20000"/>
              </a:prstClr>
            </a:outerShdw>
          </a:effectLst>
        </c:spPr>
      </c:pivotFmt>
      <c:pivotFmt>
        <c:idx val="94"/>
        <c:spPr>
          <a:solidFill>
            <a:schemeClr val="accent1"/>
          </a:solidFill>
          <a:ln>
            <a:noFill/>
          </a:ln>
          <a:effectLst>
            <a:outerShdw blurRad="254000" sx="102000" sy="102000" algn="ctr" rotWithShape="0">
              <a:prstClr val="black">
                <a:alpha val="20000"/>
              </a:prstClr>
            </a:outerShdw>
          </a:effectLst>
        </c:spPr>
      </c:pivotFmt>
      <c:pivotFmt>
        <c:idx val="95"/>
        <c:spPr>
          <a:solidFill>
            <a:schemeClr val="accent1"/>
          </a:solidFill>
          <a:ln>
            <a:noFill/>
          </a:ln>
          <a:effectLst>
            <a:outerShdw blurRad="254000" sx="102000" sy="102000" algn="ctr" rotWithShape="0">
              <a:prstClr val="black">
                <a:alpha val="20000"/>
              </a:prstClr>
            </a:outerShdw>
          </a:effectLst>
        </c:spPr>
      </c:pivotFmt>
      <c:pivotFmt>
        <c:idx val="96"/>
        <c:spPr>
          <a:solidFill>
            <a:schemeClr val="accent1"/>
          </a:solidFill>
          <a:ln>
            <a:noFill/>
          </a:ln>
          <a:effectLst>
            <a:outerShdw blurRad="254000" sx="102000" sy="102000" algn="ctr" rotWithShape="0">
              <a:prstClr val="black">
                <a:alpha val="20000"/>
              </a:prstClr>
            </a:outerShdw>
          </a:effectLst>
        </c:spPr>
      </c:pivotFmt>
      <c:pivotFmt>
        <c:idx val="97"/>
        <c:spPr>
          <a:solidFill>
            <a:schemeClr val="accent1"/>
          </a:solidFill>
          <a:ln>
            <a:noFill/>
          </a:ln>
          <a:effectLst>
            <a:outerShdw blurRad="254000" sx="102000" sy="102000" algn="ctr" rotWithShape="0">
              <a:prstClr val="black">
                <a:alpha val="20000"/>
              </a:prstClr>
            </a:outerShdw>
          </a:effectLst>
        </c:spPr>
      </c:pivotFmt>
      <c:pivotFmt>
        <c:idx val="98"/>
        <c:spPr>
          <a:solidFill>
            <a:schemeClr val="accent1"/>
          </a:solidFill>
          <a:ln>
            <a:noFill/>
          </a:ln>
          <a:effectLst>
            <a:outerShdw blurRad="254000" sx="102000" sy="102000" algn="ctr" rotWithShape="0">
              <a:prstClr val="black">
                <a:alpha val="20000"/>
              </a:prstClr>
            </a:outerShdw>
          </a:effectLst>
        </c:spPr>
      </c:pivotFmt>
      <c:pivotFmt>
        <c:idx val="99"/>
        <c:spPr>
          <a:solidFill>
            <a:schemeClr val="accent1"/>
          </a:solidFill>
          <a:ln>
            <a:noFill/>
          </a:ln>
          <a:effectLst>
            <a:outerShdw blurRad="254000" sx="102000" sy="102000" algn="ctr" rotWithShape="0">
              <a:prstClr val="black">
                <a:alpha val="20000"/>
              </a:prstClr>
            </a:outerShdw>
          </a:effectLst>
        </c:spPr>
      </c:pivotFmt>
      <c:pivotFmt>
        <c:idx val="100"/>
        <c:spPr>
          <a:solidFill>
            <a:schemeClr val="accent1"/>
          </a:solidFill>
          <a:ln>
            <a:noFill/>
          </a:ln>
          <a:effectLst>
            <a:outerShdw blurRad="254000" sx="102000" sy="102000" algn="ctr" rotWithShape="0">
              <a:prstClr val="black">
                <a:alpha val="20000"/>
              </a:prstClr>
            </a:outerShdw>
          </a:effectLst>
        </c:spPr>
      </c:pivotFmt>
      <c:pivotFmt>
        <c:idx val="10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a:outerShdw blurRad="254000" sx="102000" sy="102000" algn="ctr" rotWithShape="0">
              <a:prstClr val="black">
                <a:alpha val="20000"/>
              </a:prstClr>
            </a:outerShdw>
          </a:effectLst>
        </c:spPr>
      </c:pivotFmt>
      <c:pivotFmt>
        <c:idx val="106"/>
        <c:spPr>
          <a:solidFill>
            <a:schemeClr val="accent1"/>
          </a:solidFill>
          <a:ln>
            <a:noFill/>
          </a:ln>
          <a:effectLst>
            <a:outerShdw blurRad="254000" sx="102000" sy="102000" algn="ctr" rotWithShape="0">
              <a:prstClr val="black">
                <a:alpha val="20000"/>
              </a:prstClr>
            </a:outerShdw>
          </a:effectLst>
        </c:spPr>
      </c:pivotFmt>
      <c:pivotFmt>
        <c:idx val="107"/>
        <c:spPr>
          <a:solidFill>
            <a:schemeClr val="accent1"/>
          </a:solidFill>
          <a:ln>
            <a:noFill/>
          </a:ln>
          <a:effectLst>
            <a:outerShdw blurRad="254000" sx="102000" sy="102000" algn="ctr" rotWithShape="0">
              <a:prstClr val="black">
                <a:alpha val="20000"/>
              </a:prstClr>
            </a:outerShdw>
          </a:effectLst>
        </c:spPr>
      </c:pivotFmt>
      <c:pivotFmt>
        <c:idx val="108"/>
        <c:spPr>
          <a:solidFill>
            <a:schemeClr val="accent1"/>
          </a:solidFill>
          <a:ln>
            <a:noFill/>
          </a:ln>
          <a:effectLst>
            <a:outerShdw blurRad="254000" sx="102000" sy="102000" algn="ctr" rotWithShape="0">
              <a:prstClr val="black">
                <a:alpha val="20000"/>
              </a:prstClr>
            </a:outerShdw>
          </a:effectLst>
        </c:spPr>
      </c:pivotFmt>
      <c:pivotFmt>
        <c:idx val="109"/>
        <c:spPr>
          <a:solidFill>
            <a:schemeClr val="accent1"/>
          </a:solidFill>
          <a:ln>
            <a:noFill/>
          </a:ln>
          <a:effectLst>
            <a:outerShdw blurRad="254000" sx="102000" sy="102000" algn="ctr" rotWithShape="0">
              <a:prstClr val="black">
                <a:alpha val="20000"/>
              </a:prstClr>
            </a:outerShdw>
          </a:effectLst>
        </c:spPr>
      </c:pivotFmt>
      <c:pivotFmt>
        <c:idx val="110"/>
        <c:spPr>
          <a:solidFill>
            <a:schemeClr val="accent1"/>
          </a:solidFill>
          <a:ln>
            <a:noFill/>
          </a:ln>
          <a:effectLst>
            <a:outerShdw blurRad="254000" sx="102000" sy="102000" algn="ctr" rotWithShape="0">
              <a:prstClr val="black">
                <a:alpha val="20000"/>
              </a:prstClr>
            </a:outerShdw>
          </a:effectLst>
        </c:spPr>
      </c:pivotFmt>
      <c:pivotFmt>
        <c:idx val="111"/>
        <c:spPr>
          <a:solidFill>
            <a:schemeClr val="accent1"/>
          </a:solidFill>
          <a:ln>
            <a:noFill/>
          </a:ln>
          <a:effectLst>
            <a:outerShdw blurRad="254000" sx="102000" sy="102000" algn="ctr" rotWithShape="0">
              <a:prstClr val="black">
                <a:alpha val="20000"/>
              </a:prstClr>
            </a:outerShdw>
          </a:effectLst>
        </c:spPr>
      </c:pivotFmt>
      <c:pivotFmt>
        <c:idx val="112"/>
        <c:spPr>
          <a:solidFill>
            <a:schemeClr val="accent1"/>
          </a:solidFill>
          <a:ln>
            <a:noFill/>
          </a:ln>
          <a:effectLst>
            <a:outerShdw blurRad="254000" sx="102000" sy="102000" algn="ctr" rotWithShape="0">
              <a:prstClr val="black">
                <a:alpha val="20000"/>
              </a:prstClr>
            </a:outerShdw>
          </a:effectLst>
        </c:spPr>
      </c:pivotFmt>
      <c:pivotFmt>
        <c:idx val="113"/>
        <c:spPr>
          <a:solidFill>
            <a:schemeClr val="accent1"/>
          </a:solidFill>
          <a:ln>
            <a:noFill/>
          </a:ln>
          <a:effectLst>
            <a:outerShdw blurRad="254000" sx="102000" sy="102000" algn="ctr" rotWithShape="0">
              <a:prstClr val="black">
                <a:alpha val="20000"/>
              </a:prstClr>
            </a:outerShdw>
          </a:effectLst>
        </c:spPr>
      </c:pivotFmt>
      <c:pivotFmt>
        <c:idx val="114"/>
        <c:spPr>
          <a:solidFill>
            <a:schemeClr val="accent1"/>
          </a:solidFill>
          <a:ln>
            <a:noFill/>
          </a:ln>
          <a:effectLst>
            <a:outerShdw blurRad="254000" sx="102000" sy="102000" algn="ctr" rotWithShape="0">
              <a:prstClr val="black">
                <a:alpha val="20000"/>
              </a:prstClr>
            </a:outerShdw>
          </a:effectLst>
        </c:spPr>
      </c:pivotFmt>
      <c:pivotFmt>
        <c:idx val="115"/>
        <c:spPr>
          <a:solidFill>
            <a:schemeClr val="accent1"/>
          </a:solidFill>
          <a:ln>
            <a:noFill/>
          </a:ln>
          <a:effectLst>
            <a:outerShdw blurRad="254000" sx="102000" sy="102000" algn="ctr" rotWithShape="0">
              <a:prstClr val="black">
                <a:alpha val="20000"/>
              </a:prstClr>
            </a:outerShdw>
          </a:effectLst>
        </c:spPr>
      </c:pivotFmt>
      <c:pivotFmt>
        <c:idx val="116"/>
        <c:spPr>
          <a:solidFill>
            <a:schemeClr val="accent1"/>
          </a:solidFill>
          <a:ln>
            <a:noFill/>
          </a:ln>
          <a:effectLst>
            <a:outerShdw blurRad="254000" sx="102000" sy="102000" algn="ctr" rotWithShape="0">
              <a:prstClr val="black">
                <a:alpha val="20000"/>
              </a:prstClr>
            </a:outerShdw>
          </a:effectLst>
        </c:spPr>
      </c:pivotFmt>
      <c:pivotFmt>
        <c:idx val="117"/>
        <c:spPr>
          <a:solidFill>
            <a:schemeClr val="accent1"/>
          </a:solidFill>
          <a:ln>
            <a:noFill/>
          </a:ln>
          <a:effectLst>
            <a:outerShdw blurRad="254000" sx="102000" sy="102000" algn="ctr" rotWithShape="0">
              <a:prstClr val="black">
                <a:alpha val="20000"/>
              </a:prstClr>
            </a:outerShdw>
          </a:effectLst>
        </c:spPr>
      </c:pivotFmt>
      <c:pivotFmt>
        <c:idx val="118"/>
        <c:spPr>
          <a:solidFill>
            <a:schemeClr val="accent1"/>
          </a:solidFill>
          <a:ln>
            <a:noFill/>
          </a:ln>
          <a:effectLst>
            <a:outerShdw blurRad="254000" sx="102000" sy="102000" algn="ctr" rotWithShape="0">
              <a:prstClr val="black">
                <a:alpha val="20000"/>
              </a:prstClr>
            </a:outerShdw>
          </a:effectLst>
        </c:spPr>
      </c:pivotFmt>
      <c:pivotFmt>
        <c:idx val="119"/>
        <c:spPr>
          <a:solidFill>
            <a:schemeClr val="accent1"/>
          </a:solidFill>
          <a:ln>
            <a:noFill/>
          </a:ln>
          <a:effectLst>
            <a:outerShdw blurRad="254000" sx="102000" sy="102000" algn="ctr" rotWithShape="0">
              <a:prstClr val="black">
                <a:alpha val="20000"/>
              </a:prstClr>
            </a:outerShdw>
          </a:effectLst>
        </c:spPr>
      </c:pivotFmt>
      <c:pivotFmt>
        <c:idx val="120"/>
        <c:spPr>
          <a:solidFill>
            <a:schemeClr val="accent1"/>
          </a:solidFill>
          <a:ln>
            <a:noFill/>
          </a:ln>
          <a:effectLst>
            <a:outerShdw blurRad="254000" sx="102000" sy="102000" algn="ctr" rotWithShape="0">
              <a:prstClr val="black">
                <a:alpha val="20000"/>
              </a:prstClr>
            </a:outerShdw>
          </a:effectLst>
        </c:spPr>
      </c:pivotFmt>
      <c:pivotFmt>
        <c:idx val="121"/>
        <c:spPr>
          <a:solidFill>
            <a:schemeClr val="accent1"/>
          </a:solidFill>
          <a:ln>
            <a:noFill/>
          </a:ln>
          <a:effectLst>
            <a:outerShdw blurRad="254000" sx="102000" sy="102000" algn="ctr" rotWithShape="0">
              <a:prstClr val="black">
                <a:alpha val="20000"/>
              </a:prstClr>
            </a:outerShdw>
          </a:effectLst>
        </c:spPr>
      </c:pivotFmt>
      <c:pivotFmt>
        <c:idx val="122"/>
        <c:spPr>
          <a:solidFill>
            <a:schemeClr val="accent1"/>
          </a:solidFill>
          <a:ln>
            <a:noFill/>
          </a:ln>
          <a:effectLst>
            <a:outerShdw blurRad="254000" sx="102000" sy="102000" algn="ctr" rotWithShape="0">
              <a:prstClr val="black">
                <a:alpha val="20000"/>
              </a:prstClr>
            </a:outerShdw>
          </a:effectLst>
        </c:spPr>
      </c:pivotFmt>
      <c:pivotFmt>
        <c:idx val="123"/>
        <c:spPr>
          <a:solidFill>
            <a:schemeClr val="accent1"/>
          </a:solidFill>
          <a:ln>
            <a:noFill/>
          </a:ln>
          <a:effectLst>
            <a:outerShdw blurRad="254000" sx="102000" sy="102000" algn="ctr" rotWithShape="0">
              <a:prstClr val="black">
                <a:alpha val="20000"/>
              </a:prstClr>
            </a:outerShdw>
          </a:effectLst>
        </c:spPr>
      </c:pivotFmt>
      <c:pivotFmt>
        <c:idx val="124"/>
        <c:spPr>
          <a:solidFill>
            <a:schemeClr val="accent1"/>
          </a:solidFill>
          <a:ln>
            <a:noFill/>
          </a:ln>
          <a:effectLst>
            <a:outerShdw blurRad="254000" sx="102000" sy="102000" algn="ctr" rotWithShape="0">
              <a:prstClr val="black">
                <a:alpha val="20000"/>
              </a:prstClr>
            </a:outerShdw>
          </a:effectLst>
        </c:spPr>
      </c:pivotFmt>
      <c:pivotFmt>
        <c:idx val="125"/>
        <c:spPr>
          <a:solidFill>
            <a:schemeClr val="accent1"/>
          </a:solidFill>
          <a:ln>
            <a:noFill/>
          </a:ln>
          <a:effectLst>
            <a:outerShdw blurRad="254000" sx="102000" sy="102000" algn="ctr" rotWithShape="0">
              <a:prstClr val="black">
                <a:alpha val="20000"/>
              </a:prstClr>
            </a:outerShdw>
          </a:effectLst>
        </c:spPr>
      </c:pivotFmt>
      <c:pivotFmt>
        <c:idx val="126"/>
        <c:spPr>
          <a:solidFill>
            <a:schemeClr val="accent1"/>
          </a:solidFill>
          <a:ln>
            <a:noFill/>
          </a:ln>
          <a:effectLst>
            <a:outerShdw blurRad="254000" sx="102000" sy="102000" algn="ctr" rotWithShape="0">
              <a:prstClr val="black">
                <a:alpha val="20000"/>
              </a:prstClr>
            </a:outerShdw>
          </a:effectLst>
        </c:spPr>
      </c:pivotFmt>
      <c:pivotFmt>
        <c:idx val="127"/>
        <c:spPr>
          <a:solidFill>
            <a:schemeClr val="accent1"/>
          </a:solidFill>
          <a:ln>
            <a:noFill/>
          </a:ln>
          <a:effectLst>
            <a:outerShdw blurRad="254000" sx="102000" sy="102000" algn="ctr" rotWithShape="0">
              <a:prstClr val="black">
                <a:alpha val="20000"/>
              </a:prstClr>
            </a:outerShdw>
          </a:effectLst>
        </c:spPr>
      </c:pivotFmt>
      <c:pivotFmt>
        <c:idx val="128"/>
        <c:spPr>
          <a:solidFill>
            <a:schemeClr val="accent1"/>
          </a:solidFill>
          <a:ln>
            <a:noFill/>
          </a:ln>
          <a:effectLst>
            <a:outerShdw blurRad="254000" sx="102000" sy="102000" algn="ctr" rotWithShape="0">
              <a:prstClr val="black">
                <a:alpha val="20000"/>
              </a:prstClr>
            </a:outerShdw>
          </a:effectLst>
        </c:spPr>
      </c:pivotFmt>
      <c:pivotFmt>
        <c:idx val="129"/>
        <c:spPr>
          <a:solidFill>
            <a:schemeClr val="accent1"/>
          </a:solidFill>
          <a:ln>
            <a:noFill/>
          </a:ln>
          <a:effectLst>
            <a:outerShdw blurRad="254000" sx="102000" sy="102000" algn="ctr" rotWithShape="0">
              <a:prstClr val="black">
                <a:alpha val="20000"/>
              </a:prstClr>
            </a:outerShdw>
          </a:effectLst>
        </c:spPr>
      </c:pivotFmt>
      <c:pivotFmt>
        <c:idx val="130"/>
        <c:spPr>
          <a:solidFill>
            <a:schemeClr val="accent1"/>
          </a:solidFill>
          <a:ln>
            <a:noFill/>
          </a:ln>
          <a:effectLst>
            <a:outerShdw blurRad="254000" sx="102000" sy="102000" algn="ctr" rotWithShape="0">
              <a:prstClr val="black">
                <a:alpha val="20000"/>
              </a:prstClr>
            </a:outerShdw>
          </a:effectLst>
        </c:spPr>
      </c:pivotFmt>
      <c:pivotFmt>
        <c:idx val="131"/>
        <c:spPr>
          <a:solidFill>
            <a:schemeClr val="accent1"/>
          </a:solidFill>
          <a:ln>
            <a:noFill/>
          </a:ln>
          <a:effectLst>
            <a:outerShdw blurRad="254000" sx="102000" sy="102000" algn="ctr" rotWithShape="0">
              <a:prstClr val="black">
                <a:alpha val="20000"/>
              </a:prstClr>
            </a:outerShdw>
          </a:effectLst>
        </c:spPr>
      </c:pivotFmt>
      <c:pivotFmt>
        <c:idx val="132"/>
        <c:spPr>
          <a:solidFill>
            <a:schemeClr val="accent1"/>
          </a:solidFill>
          <a:ln>
            <a:noFill/>
          </a:ln>
          <a:effectLst>
            <a:outerShdw blurRad="254000" sx="102000" sy="102000" algn="ctr" rotWithShape="0">
              <a:prstClr val="black">
                <a:alpha val="20000"/>
              </a:prstClr>
            </a:outerShdw>
          </a:effectLst>
        </c:spPr>
      </c:pivotFmt>
      <c:pivotFmt>
        <c:idx val="133"/>
        <c:spPr>
          <a:solidFill>
            <a:schemeClr val="accent1"/>
          </a:solidFill>
          <a:ln>
            <a:noFill/>
          </a:ln>
          <a:effectLst>
            <a:outerShdw blurRad="254000" sx="102000" sy="102000" algn="ctr" rotWithShape="0">
              <a:prstClr val="black">
                <a:alpha val="20000"/>
              </a:prstClr>
            </a:outerShdw>
          </a:effectLst>
        </c:spPr>
      </c:pivotFmt>
      <c:pivotFmt>
        <c:idx val="134"/>
        <c:spPr>
          <a:solidFill>
            <a:schemeClr val="accent1"/>
          </a:solidFill>
          <a:ln>
            <a:noFill/>
          </a:ln>
          <a:effectLst>
            <a:outerShdw blurRad="254000" sx="102000" sy="102000" algn="ctr" rotWithShape="0">
              <a:prstClr val="black">
                <a:alpha val="20000"/>
              </a:prstClr>
            </a:outerShdw>
          </a:effectLst>
        </c:spPr>
      </c:pivotFmt>
      <c:pivotFmt>
        <c:idx val="135"/>
        <c:spPr>
          <a:solidFill>
            <a:schemeClr val="accent1"/>
          </a:solidFill>
          <a:ln>
            <a:noFill/>
          </a:ln>
          <a:effectLst>
            <a:outerShdw blurRad="254000" sx="102000" sy="102000" algn="ctr" rotWithShape="0">
              <a:prstClr val="black">
                <a:alpha val="20000"/>
              </a:prstClr>
            </a:outerShdw>
          </a:effectLst>
        </c:spPr>
      </c:pivotFmt>
      <c:pivotFmt>
        <c:idx val="136"/>
        <c:spPr>
          <a:solidFill>
            <a:schemeClr val="accent1"/>
          </a:solidFill>
          <a:ln>
            <a:noFill/>
          </a:ln>
          <a:effectLst>
            <a:outerShdw blurRad="254000" sx="102000" sy="102000" algn="ctr" rotWithShape="0">
              <a:prstClr val="black">
                <a:alpha val="20000"/>
              </a:prstClr>
            </a:outerShdw>
          </a:effectLst>
        </c:spPr>
      </c:pivotFmt>
      <c:pivotFmt>
        <c:idx val="137"/>
        <c:spPr>
          <a:solidFill>
            <a:schemeClr val="accent1"/>
          </a:solidFill>
          <a:ln>
            <a:noFill/>
          </a:ln>
          <a:effectLst>
            <a:outerShdw blurRad="254000" sx="102000" sy="102000" algn="ctr" rotWithShape="0">
              <a:prstClr val="black">
                <a:alpha val="20000"/>
              </a:prstClr>
            </a:outerShdw>
          </a:effectLst>
        </c:spPr>
      </c:pivotFmt>
      <c:pivotFmt>
        <c:idx val="138"/>
        <c:spPr>
          <a:solidFill>
            <a:schemeClr val="accent1"/>
          </a:solidFill>
          <a:ln>
            <a:noFill/>
          </a:ln>
          <a:effectLst>
            <a:outerShdw blurRad="254000" sx="102000" sy="102000" algn="ctr" rotWithShape="0">
              <a:prstClr val="black">
                <a:alpha val="20000"/>
              </a:prstClr>
            </a:outerShdw>
          </a:effectLst>
        </c:spPr>
      </c:pivotFmt>
      <c:pivotFmt>
        <c:idx val="139"/>
        <c:spPr>
          <a:solidFill>
            <a:schemeClr val="accent1"/>
          </a:solidFill>
          <a:ln>
            <a:noFill/>
          </a:ln>
          <a:effectLst>
            <a:outerShdw blurRad="254000" sx="102000" sy="102000" algn="ctr" rotWithShape="0">
              <a:prstClr val="black">
                <a:alpha val="20000"/>
              </a:prstClr>
            </a:outerShdw>
          </a:effectLst>
        </c:spPr>
      </c:pivotFmt>
      <c:pivotFmt>
        <c:idx val="140"/>
        <c:spPr>
          <a:solidFill>
            <a:schemeClr val="accent1"/>
          </a:solidFill>
          <a:ln>
            <a:noFill/>
          </a:ln>
          <a:effectLst>
            <a:outerShdw blurRad="254000" sx="102000" sy="102000" algn="ctr" rotWithShape="0">
              <a:prstClr val="black">
                <a:alpha val="20000"/>
              </a:prstClr>
            </a:outerShdw>
          </a:effectLst>
        </c:spPr>
      </c:pivotFmt>
      <c:pivotFmt>
        <c:idx val="141"/>
        <c:spPr>
          <a:solidFill>
            <a:schemeClr val="accent1"/>
          </a:solidFill>
          <a:ln>
            <a:noFill/>
          </a:ln>
          <a:effectLst>
            <a:outerShdw blurRad="254000" sx="102000" sy="102000" algn="ctr" rotWithShape="0">
              <a:prstClr val="black">
                <a:alpha val="20000"/>
              </a:prstClr>
            </a:outerShdw>
          </a:effectLst>
        </c:spPr>
      </c:pivotFmt>
      <c:pivotFmt>
        <c:idx val="142"/>
        <c:spPr>
          <a:solidFill>
            <a:schemeClr val="accent1"/>
          </a:solidFill>
          <a:ln>
            <a:noFill/>
          </a:ln>
          <a:effectLst>
            <a:outerShdw blurRad="254000" sx="102000" sy="102000" algn="ctr" rotWithShape="0">
              <a:prstClr val="black">
                <a:alpha val="20000"/>
              </a:prstClr>
            </a:outerShdw>
          </a:effectLst>
        </c:spPr>
      </c:pivotFmt>
      <c:pivotFmt>
        <c:idx val="143"/>
        <c:spPr>
          <a:solidFill>
            <a:schemeClr val="accent1"/>
          </a:solidFill>
          <a:ln>
            <a:noFill/>
          </a:ln>
          <a:effectLst>
            <a:outerShdw blurRad="254000" sx="102000" sy="102000" algn="ctr" rotWithShape="0">
              <a:prstClr val="black">
                <a:alpha val="20000"/>
              </a:prstClr>
            </a:outerShdw>
          </a:effectLst>
        </c:spPr>
      </c:pivotFmt>
      <c:pivotFmt>
        <c:idx val="144"/>
        <c:spPr>
          <a:solidFill>
            <a:schemeClr val="accent1"/>
          </a:solidFill>
          <a:ln>
            <a:noFill/>
          </a:ln>
          <a:effectLst>
            <a:outerShdw blurRad="254000" sx="102000" sy="102000" algn="ctr" rotWithShape="0">
              <a:prstClr val="black">
                <a:alpha val="20000"/>
              </a:prstClr>
            </a:outerShdw>
          </a:effectLst>
        </c:spPr>
      </c:pivotFmt>
      <c:pivotFmt>
        <c:idx val="145"/>
        <c:spPr>
          <a:solidFill>
            <a:schemeClr val="accent1"/>
          </a:solidFill>
          <a:ln>
            <a:noFill/>
          </a:ln>
          <a:effectLst>
            <a:outerShdw blurRad="254000" sx="102000" sy="102000" algn="ctr" rotWithShape="0">
              <a:prstClr val="black">
                <a:alpha val="20000"/>
              </a:prstClr>
            </a:outerShdw>
          </a:effectLst>
        </c:spPr>
      </c:pivotFmt>
      <c:pivotFmt>
        <c:idx val="146"/>
        <c:spPr>
          <a:solidFill>
            <a:schemeClr val="accent1"/>
          </a:solidFill>
          <a:ln>
            <a:noFill/>
          </a:ln>
          <a:effectLst>
            <a:outerShdw blurRad="254000" sx="102000" sy="102000" algn="ctr" rotWithShape="0">
              <a:prstClr val="black">
                <a:alpha val="20000"/>
              </a:prstClr>
            </a:outerShdw>
          </a:effectLst>
        </c:spPr>
      </c:pivotFmt>
      <c:pivotFmt>
        <c:idx val="147"/>
        <c:spPr>
          <a:solidFill>
            <a:schemeClr val="accent1"/>
          </a:solidFill>
          <a:ln>
            <a:noFill/>
          </a:ln>
          <a:effectLst>
            <a:outerShdw blurRad="254000" sx="102000" sy="102000" algn="ctr" rotWithShape="0">
              <a:prstClr val="black">
                <a:alpha val="20000"/>
              </a:prstClr>
            </a:outerShdw>
          </a:effectLst>
        </c:spPr>
      </c:pivotFmt>
      <c:pivotFmt>
        <c:idx val="148"/>
        <c:spPr>
          <a:solidFill>
            <a:schemeClr val="accent1"/>
          </a:solidFill>
          <a:ln>
            <a:noFill/>
          </a:ln>
          <a:effectLst>
            <a:outerShdw blurRad="254000" sx="102000" sy="102000" algn="ctr" rotWithShape="0">
              <a:prstClr val="black">
                <a:alpha val="20000"/>
              </a:prstClr>
            </a:outerShdw>
          </a:effectLst>
        </c:spPr>
      </c:pivotFmt>
      <c:pivotFmt>
        <c:idx val="149"/>
        <c:spPr>
          <a:solidFill>
            <a:schemeClr val="accent1"/>
          </a:solidFill>
          <a:ln>
            <a:noFill/>
          </a:ln>
          <a:effectLst>
            <a:outerShdw blurRad="254000" sx="102000" sy="102000" algn="ctr" rotWithShape="0">
              <a:prstClr val="black">
                <a:alpha val="20000"/>
              </a:prstClr>
            </a:outerShdw>
          </a:effectLst>
        </c:spPr>
      </c:pivotFmt>
      <c:pivotFmt>
        <c:idx val="150"/>
        <c:spPr>
          <a:solidFill>
            <a:schemeClr val="accent1"/>
          </a:solidFill>
          <a:ln>
            <a:noFill/>
          </a:ln>
          <a:effectLst>
            <a:outerShdw blurRad="254000" sx="102000" sy="102000" algn="ctr" rotWithShape="0">
              <a:prstClr val="black">
                <a:alpha val="20000"/>
              </a:prstClr>
            </a:outerShdw>
          </a:effectLst>
        </c:spPr>
      </c:pivotFmt>
      <c:pivotFmt>
        <c:idx val="151"/>
        <c:spPr>
          <a:solidFill>
            <a:schemeClr val="accent1"/>
          </a:solidFill>
          <a:ln>
            <a:noFill/>
          </a:ln>
          <a:effectLst>
            <a:outerShdw blurRad="254000" sx="102000" sy="102000" algn="ctr" rotWithShape="0">
              <a:prstClr val="black">
                <a:alpha val="20000"/>
              </a:prstClr>
            </a:outerShdw>
          </a:effectLst>
        </c:spPr>
      </c:pivotFmt>
      <c:pivotFmt>
        <c:idx val="152"/>
        <c:spPr>
          <a:solidFill>
            <a:schemeClr val="accent1"/>
          </a:solidFill>
          <a:ln>
            <a:noFill/>
          </a:ln>
          <a:effectLst>
            <a:outerShdw blurRad="254000" sx="102000" sy="102000" algn="ctr" rotWithShape="0">
              <a:prstClr val="black">
                <a:alpha val="20000"/>
              </a:prstClr>
            </a:outerShdw>
          </a:effectLst>
        </c:spPr>
      </c:pivotFmt>
      <c:pivotFmt>
        <c:idx val="153"/>
        <c:spPr>
          <a:solidFill>
            <a:schemeClr val="accent1"/>
          </a:solidFill>
          <a:ln>
            <a:noFill/>
          </a:ln>
          <a:effectLst>
            <a:outerShdw blurRad="254000" sx="102000" sy="102000" algn="ctr" rotWithShape="0">
              <a:prstClr val="black">
                <a:alpha val="20000"/>
              </a:prstClr>
            </a:outerShdw>
          </a:effectLst>
        </c:spPr>
      </c:pivotFmt>
      <c:pivotFmt>
        <c:idx val="154"/>
        <c:spPr>
          <a:solidFill>
            <a:schemeClr val="accent1"/>
          </a:solidFill>
          <a:ln>
            <a:noFill/>
          </a:ln>
          <a:effectLst>
            <a:outerShdw blurRad="254000" sx="102000" sy="102000" algn="ctr" rotWithShape="0">
              <a:prstClr val="black">
                <a:alpha val="20000"/>
              </a:prstClr>
            </a:outerShdw>
          </a:effectLst>
        </c:spPr>
      </c:pivotFmt>
      <c:pivotFmt>
        <c:idx val="155"/>
        <c:spPr>
          <a:solidFill>
            <a:schemeClr val="accent1"/>
          </a:solidFill>
          <a:ln>
            <a:noFill/>
          </a:ln>
          <a:effectLst>
            <a:outerShdw blurRad="254000" sx="102000" sy="102000" algn="ctr" rotWithShape="0">
              <a:prstClr val="black">
                <a:alpha val="20000"/>
              </a:prstClr>
            </a:outerShdw>
          </a:effectLst>
        </c:spPr>
      </c:pivotFmt>
      <c:pivotFmt>
        <c:idx val="156"/>
        <c:spPr>
          <a:solidFill>
            <a:schemeClr val="accent1"/>
          </a:solidFill>
          <a:ln>
            <a:noFill/>
          </a:ln>
          <a:effectLst>
            <a:outerShdw blurRad="254000" sx="102000" sy="102000" algn="ctr" rotWithShape="0">
              <a:prstClr val="black">
                <a:alpha val="20000"/>
              </a:prstClr>
            </a:outerShdw>
          </a:effectLst>
        </c:spPr>
      </c:pivotFmt>
      <c:pivotFmt>
        <c:idx val="157"/>
        <c:spPr>
          <a:solidFill>
            <a:schemeClr val="accent1"/>
          </a:solidFill>
          <a:ln>
            <a:noFill/>
          </a:ln>
          <a:effectLst>
            <a:outerShdw blurRad="254000" sx="102000" sy="102000" algn="ctr" rotWithShape="0">
              <a:prstClr val="black">
                <a:alpha val="20000"/>
              </a:prstClr>
            </a:outerShdw>
          </a:effectLst>
        </c:spPr>
      </c:pivotFmt>
      <c:pivotFmt>
        <c:idx val="158"/>
        <c:spPr>
          <a:solidFill>
            <a:schemeClr val="accent1"/>
          </a:solidFill>
          <a:ln>
            <a:noFill/>
          </a:ln>
          <a:effectLst>
            <a:outerShdw blurRad="254000" sx="102000" sy="102000" algn="ctr" rotWithShape="0">
              <a:prstClr val="black">
                <a:alpha val="20000"/>
              </a:prstClr>
            </a:outerShdw>
          </a:effectLst>
        </c:spPr>
      </c:pivotFmt>
      <c:pivotFmt>
        <c:idx val="159"/>
        <c:spPr>
          <a:solidFill>
            <a:schemeClr val="accent1"/>
          </a:solidFill>
          <a:ln>
            <a:noFill/>
          </a:ln>
          <a:effectLst>
            <a:outerShdw blurRad="254000" sx="102000" sy="102000" algn="ctr" rotWithShape="0">
              <a:prstClr val="black">
                <a:alpha val="20000"/>
              </a:prstClr>
            </a:outerShdw>
          </a:effectLst>
        </c:spPr>
      </c:pivotFmt>
      <c:pivotFmt>
        <c:idx val="160"/>
        <c:spPr>
          <a:solidFill>
            <a:schemeClr val="accent1"/>
          </a:solidFill>
          <a:ln>
            <a:noFill/>
          </a:ln>
          <a:effectLst>
            <a:outerShdw blurRad="254000" sx="102000" sy="102000" algn="ctr" rotWithShape="0">
              <a:prstClr val="black">
                <a:alpha val="20000"/>
              </a:prstClr>
            </a:outerShdw>
          </a:effectLst>
        </c:spPr>
      </c:pivotFmt>
      <c:pivotFmt>
        <c:idx val="161"/>
        <c:spPr>
          <a:solidFill>
            <a:schemeClr val="accent1"/>
          </a:solidFill>
          <a:ln>
            <a:noFill/>
          </a:ln>
          <a:effectLst>
            <a:outerShdw blurRad="254000" sx="102000" sy="102000" algn="ctr" rotWithShape="0">
              <a:prstClr val="black">
                <a:alpha val="20000"/>
              </a:prstClr>
            </a:outerShdw>
          </a:effectLst>
        </c:spPr>
      </c:pivotFmt>
      <c:pivotFmt>
        <c:idx val="162"/>
        <c:spPr>
          <a:solidFill>
            <a:schemeClr val="accent1"/>
          </a:solidFill>
          <a:ln>
            <a:noFill/>
          </a:ln>
          <a:effectLst>
            <a:outerShdw blurRad="254000" sx="102000" sy="102000" algn="ctr" rotWithShape="0">
              <a:prstClr val="black">
                <a:alpha val="20000"/>
              </a:prstClr>
            </a:outerShdw>
          </a:effectLst>
        </c:spPr>
      </c:pivotFmt>
      <c:pivotFmt>
        <c:idx val="163"/>
        <c:spPr>
          <a:solidFill>
            <a:schemeClr val="accent1"/>
          </a:solidFill>
          <a:ln>
            <a:noFill/>
          </a:ln>
          <a:effectLst>
            <a:outerShdw blurRad="254000" sx="102000" sy="102000" algn="ctr" rotWithShape="0">
              <a:prstClr val="black">
                <a:alpha val="20000"/>
              </a:prstClr>
            </a:outerShdw>
          </a:effectLst>
        </c:spPr>
      </c:pivotFmt>
      <c:pivotFmt>
        <c:idx val="164"/>
        <c:spPr>
          <a:solidFill>
            <a:schemeClr val="accent1"/>
          </a:solidFill>
          <a:ln>
            <a:noFill/>
          </a:ln>
          <a:effectLst>
            <a:outerShdw blurRad="254000" sx="102000" sy="102000" algn="ctr" rotWithShape="0">
              <a:prstClr val="black">
                <a:alpha val="20000"/>
              </a:prstClr>
            </a:outerShdw>
          </a:effectLst>
        </c:spPr>
      </c:pivotFmt>
      <c:pivotFmt>
        <c:idx val="165"/>
        <c:spPr>
          <a:solidFill>
            <a:schemeClr val="accent1"/>
          </a:solidFill>
          <a:ln>
            <a:noFill/>
          </a:ln>
          <a:effectLst>
            <a:outerShdw blurRad="254000" sx="102000" sy="102000" algn="ctr" rotWithShape="0">
              <a:prstClr val="black">
                <a:alpha val="20000"/>
              </a:prstClr>
            </a:outerShdw>
          </a:effectLst>
        </c:spPr>
      </c:pivotFmt>
      <c:pivotFmt>
        <c:idx val="166"/>
        <c:spPr>
          <a:solidFill>
            <a:schemeClr val="accent1"/>
          </a:solidFill>
          <a:ln>
            <a:noFill/>
          </a:ln>
          <a:effectLst>
            <a:outerShdw blurRad="254000" sx="102000" sy="102000" algn="ctr" rotWithShape="0">
              <a:prstClr val="black">
                <a:alpha val="20000"/>
              </a:prstClr>
            </a:outerShdw>
          </a:effectLst>
        </c:spPr>
      </c:pivotFmt>
      <c:pivotFmt>
        <c:idx val="167"/>
        <c:spPr>
          <a:solidFill>
            <a:schemeClr val="accent1"/>
          </a:solidFill>
          <a:ln>
            <a:noFill/>
          </a:ln>
          <a:effectLst>
            <a:outerShdw blurRad="254000" sx="102000" sy="102000" algn="ctr" rotWithShape="0">
              <a:prstClr val="black">
                <a:alpha val="20000"/>
              </a:prstClr>
            </a:outerShdw>
          </a:effectLst>
        </c:spPr>
      </c:pivotFmt>
      <c:pivotFmt>
        <c:idx val="168"/>
        <c:spPr>
          <a:solidFill>
            <a:schemeClr val="accent1"/>
          </a:solidFill>
          <a:ln>
            <a:noFill/>
          </a:ln>
          <a:effectLst>
            <a:outerShdw blurRad="254000" sx="102000" sy="102000" algn="ctr" rotWithShape="0">
              <a:prstClr val="black">
                <a:alpha val="20000"/>
              </a:prstClr>
            </a:outerShdw>
          </a:effectLst>
        </c:spPr>
      </c:pivotFmt>
      <c:pivotFmt>
        <c:idx val="169"/>
        <c:spPr>
          <a:solidFill>
            <a:schemeClr val="accent1"/>
          </a:solidFill>
          <a:ln>
            <a:noFill/>
          </a:ln>
          <a:effectLst>
            <a:outerShdw blurRad="254000" sx="102000" sy="102000" algn="ctr" rotWithShape="0">
              <a:prstClr val="black">
                <a:alpha val="20000"/>
              </a:prstClr>
            </a:outerShdw>
          </a:effectLst>
        </c:spPr>
      </c:pivotFmt>
      <c:pivotFmt>
        <c:idx val="170"/>
        <c:spPr>
          <a:solidFill>
            <a:schemeClr val="accent1"/>
          </a:solidFill>
          <a:ln>
            <a:noFill/>
          </a:ln>
          <a:effectLst>
            <a:outerShdw blurRad="254000" sx="102000" sy="102000" algn="ctr" rotWithShape="0">
              <a:prstClr val="black">
                <a:alpha val="20000"/>
              </a:prstClr>
            </a:outerShdw>
          </a:effectLst>
        </c:spPr>
      </c:pivotFmt>
      <c:pivotFmt>
        <c:idx val="171"/>
        <c:spPr>
          <a:solidFill>
            <a:schemeClr val="accent1"/>
          </a:solidFill>
          <a:ln>
            <a:noFill/>
          </a:ln>
          <a:effectLst>
            <a:outerShdw blurRad="254000" sx="102000" sy="102000" algn="ctr" rotWithShape="0">
              <a:prstClr val="black">
                <a:alpha val="20000"/>
              </a:prstClr>
            </a:outerShdw>
          </a:effectLst>
        </c:spPr>
      </c:pivotFmt>
      <c:pivotFmt>
        <c:idx val="172"/>
        <c:spPr>
          <a:solidFill>
            <a:schemeClr val="accent1"/>
          </a:solidFill>
          <a:ln>
            <a:noFill/>
          </a:ln>
          <a:effectLst>
            <a:outerShdw blurRad="254000" sx="102000" sy="102000" algn="ctr" rotWithShape="0">
              <a:prstClr val="black">
                <a:alpha val="20000"/>
              </a:prstClr>
            </a:outerShdw>
          </a:effectLst>
        </c:spPr>
      </c:pivotFmt>
      <c:pivotFmt>
        <c:idx val="173"/>
        <c:spPr>
          <a:solidFill>
            <a:schemeClr val="accent1"/>
          </a:solidFill>
          <a:ln>
            <a:noFill/>
          </a:ln>
          <a:effectLst>
            <a:outerShdw blurRad="254000" sx="102000" sy="102000" algn="ctr" rotWithShape="0">
              <a:prstClr val="black">
                <a:alpha val="20000"/>
              </a:prstClr>
            </a:outerShdw>
          </a:effectLst>
        </c:spPr>
      </c:pivotFmt>
      <c:pivotFmt>
        <c:idx val="174"/>
        <c:spPr>
          <a:solidFill>
            <a:schemeClr val="accent1"/>
          </a:solidFill>
          <a:ln>
            <a:noFill/>
          </a:ln>
          <a:effectLst>
            <a:outerShdw blurRad="254000" sx="102000" sy="102000" algn="ctr" rotWithShape="0">
              <a:prstClr val="black">
                <a:alpha val="20000"/>
              </a:prstClr>
            </a:outerShdw>
          </a:effectLst>
        </c:spPr>
      </c:pivotFmt>
      <c:pivotFmt>
        <c:idx val="175"/>
        <c:spPr>
          <a:solidFill>
            <a:schemeClr val="accent1"/>
          </a:solidFill>
          <a:ln>
            <a:noFill/>
          </a:ln>
          <a:effectLst>
            <a:outerShdw blurRad="254000" sx="102000" sy="102000" algn="ctr" rotWithShape="0">
              <a:prstClr val="black">
                <a:alpha val="20000"/>
              </a:prstClr>
            </a:outerShdw>
          </a:effectLst>
        </c:spPr>
      </c:pivotFmt>
      <c:pivotFmt>
        <c:idx val="176"/>
        <c:spPr>
          <a:solidFill>
            <a:schemeClr val="accent1"/>
          </a:solidFill>
          <a:ln>
            <a:noFill/>
          </a:ln>
          <a:effectLst>
            <a:outerShdw blurRad="254000" sx="102000" sy="102000" algn="ctr" rotWithShape="0">
              <a:prstClr val="black">
                <a:alpha val="20000"/>
              </a:prstClr>
            </a:outerShdw>
          </a:effectLst>
        </c:spPr>
      </c:pivotFmt>
      <c:pivotFmt>
        <c:idx val="177"/>
        <c:spPr>
          <a:solidFill>
            <a:schemeClr val="accent1"/>
          </a:solidFill>
          <a:ln>
            <a:noFill/>
          </a:ln>
          <a:effectLst>
            <a:outerShdw blurRad="254000" sx="102000" sy="102000" algn="ctr" rotWithShape="0">
              <a:prstClr val="black">
                <a:alpha val="20000"/>
              </a:prstClr>
            </a:outerShdw>
          </a:effectLst>
        </c:spPr>
      </c:pivotFmt>
      <c:pivotFmt>
        <c:idx val="178"/>
        <c:spPr>
          <a:solidFill>
            <a:schemeClr val="accent1"/>
          </a:solidFill>
          <a:ln>
            <a:noFill/>
          </a:ln>
          <a:effectLst>
            <a:outerShdw blurRad="254000" sx="102000" sy="102000" algn="ctr" rotWithShape="0">
              <a:prstClr val="black">
                <a:alpha val="20000"/>
              </a:prstClr>
            </a:outerShdw>
          </a:effectLst>
        </c:spPr>
      </c:pivotFmt>
      <c:pivotFmt>
        <c:idx val="179"/>
        <c:spPr>
          <a:solidFill>
            <a:schemeClr val="accent1"/>
          </a:solidFill>
          <a:ln>
            <a:noFill/>
          </a:ln>
          <a:effectLst>
            <a:outerShdw blurRad="254000" sx="102000" sy="102000" algn="ctr" rotWithShape="0">
              <a:prstClr val="black">
                <a:alpha val="20000"/>
              </a:prstClr>
            </a:outerShdw>
          </a:effectLst>
        </c:spPr>
      </c:pivotFmt>
      <c:pivotFmt>
        <c:idx val="180"/>
        <c:spPr>
          <a:solidFill>
            <a:schemeClr val="accent1"/>
          </a:solidFill>
          <a:ln>
            <a:noFill/>
          </a:ln>
          <a:effectLst>
            <a:outerShdw blurRad="254000" sx="102000" sy="102000" algn="ctr" rotWithShape="0">
              <a:prstClr val="black">
                <a:alpha val="20000"/>
              </a:prstClr>
            </a:outerShdw>
          </a:effectLst>
        </c:spPr>
      </c:pivotFmt>
      <c:pivotFmt>
        <c:idx val="181"/>
        <c:spPr>
          <a:solidFill>
            <a:schemeClr val="accent1"/>
          </a:solidFill>
          <a:ln>
            <a:noFill/>
          </a:ln>
          <a:effectLst>
            <a:outerShdw blurRad="254000" sx="102000" sy="102000" algn="ctr" rotWithShape="0">
              <a:prstClr val="black">
                <a:alpha val="20000"/>
              </a:prstClr>
            </a:outerShdw>
          </a:effectLst>
        </c:spPr>
      </c:pivotFmt>
      <c:pivotFmt>
        <c:idx val="182"/>
        <c:spPr>
          <a:solidFill>
            <a:schemeClr val="accent1"/>
          </a:solidFill>
          <a:ln>
            <a:noFill/>
          </a:ln>
          <a:effectLst>
            <a:outerShdw blurRad="254000" sx="102000" sy="102000" algn="ctr" rotWithShape="0">
              <a:prstClr val="black">
                <a:alpha val="20000"/>
              </a:prstClr>
            </a:outerShdw>
          </a:effectLst>
        </c:spPr>
      </c:pivotFmt>
      <c:pivotFmt>
        <c:idx val="183"/>
        <c:spPr>
          <a:solidFill>
            <a:schemeClr val="accent1"/>
          </a:solidFill>
          <a:ln>
            <a:noFill/>
          </a:ln>
          <a:effectLst>
            <a:outerShdw blurRad="254000" sx="102000" sy="102000" algn="ctr" rotWithShape="0">
              <a:prstClr val="black">
                <a:alpha val="20000"/>
              </a:prstClr>
            </a:outerShdw>
          </a:effectLst>
        </c:spPr>
      </c:pivotFmt>
      <c:pivotFmt>
        <c:idx val="184"/>
        <c:spPr>
          <a:solidFill>
            <a:schemeClr val="accent1"/>
          </a:solidFill>
          <a:ln>
            <a:noFill/>
          </a:ln>
          <a:effectLst>
            <a:outerShdw blurRad="254000" sx="102000" sy="102000" algn="ctr" rotWithShape="0">
              <a:prstClr val="black">
                <a:alpha val="20000"/>
              </a:prstClr>
            </a:outerShdw>
          </a:effectLst>
        </c:spPr>
      </c:pivotFmt>
      <c:pivotFmt>
        <c:idx val="185"/>
        <c:spPr>
          <a:solidFill>
            <a:schemeClr val="accent1"/>
          </a:solidFill>
          <a:ln>
            <a:noFill/>
          </a:ln>
          <a:effectLst>
            <a:outerShdw blurRad="254000" sx="102000" sy="102000" algn="ctr" rotWithShape="0">
              <a:prstClr val="black">
                <a:alpha val="20000"/>
              </a:prstClr>
            </a:outerShdw>
          </a:effectLst>
        </c:spPr>
      </c:pivotFmt>
      <c:pivotFmt>
        <c:idx val="186"/>
        <c:spPr>
          <a:solidFill>
            <a:schemeClr val="accent1"/>
          </a:solidFill>
          <a:ln>
            <a:noFill/>
          </a:ln>
          <a:effectLst>
            <a:outerShdw blurRad="254000" sx="102000" sy="102000" algn="ctr" rotWithShape="0">
              <a:prstClr val="black">
                <a:alpha val="20000"/>
              </a:prstClr>
            </a:outerShdw>
          </a:effectLst>
        </c:spPr>
      </c:pivotFmt>
      <c:pivotFmt>
        <c:idx val="187"/>
        <c:spPr>
          <a:solidFill>
            <a:schemeClr val="accent1"/>
          </a:solidFill>
          <a:ln>
            <a:noFill/>
          </a:ln>
          <a:effectLst>
            <a:outerShdw blurRad="254000" sx="102000" sy="102000" algn="ctr" rotWithShape="0">
              <a:prstClr val="black">
                <a:alpha val="20000"/>
              </a:prstClr>
            </a:outerShdw>
          </a:effectLst>
        </c:spPr>
      </c:pivotFmt>
      <c:pivotFmt>
        <c:idx val="188"/>
        <c:spPr>
          <a:solidFill>
            <a:schemeClr val="accent1"/>
          </a:solidFill>
          <a:ln>
            <a:noFill/>
          </a:ln>
          <a:effectLst>
            <a:outerShdw blurRad="254000" sx="102000" sy="102000" algn="ctr" rotWithShape="0">
              <a:prstClr val="black">
                <a:alpha val="20000"/>
              </a:prstClr>
            </a:outerShdw>
          </a:effectLst>
        </c:spPr>
      </c:pivotFmt>
      <c:pivotFmt>
        <c:idx val="189"/>
        <c:spPr>
          <a:solidFill>
            <a:schemeClr val="accent1"/>
          </a:solidFill>
          <a:ln>
            <a:noFill/>
          </a:ln>
          <a:effectLst>
            <a:outerShdw blurRad="254000" sx="102000" sy="102000" algn="ctr" rotWithShape="0">
              <a:prstClr val="black">
                <a:alpha val="20000"/>
              </a:prstClr>
            </a:outerShdw>
          </a:effectLst>
        </c:spPr>
      </c:pivotFmt>
      <c:pivotFmt>
        <c:idx val="190"/>
        <c:spPr>
          <a:solidFill>
            <a:schemeClr val="accent1"/>
          </a:solidFill>
          <a:ln>
            <a:noFill/>
          </a:ln>
          <a:effectLst>
            <a:outerShdw blurRad="254000" sx="102000" sy="102000" algn="ctr" rotWithShape="0">
              <a:prstClr val="black">
                <a:alpha val="20000"/>
              </a:prstClr>
            </a:outerShdw>
          </a:effectLst>
        </c:spPr>
      </c:pivotFmt>
      <c:pivotFmt>
        <c:idx val="191"/>
        <c:spPr>
          <a:solidFill>
            <a:schemeClr val="accent1"/>
          </a:solidFill>
          <a:ln>
            <a:noFill/>
          </a:ln>
          <a:effectLst>
            <a:outerShdw blurRad="254000" sx="102000" sy="102000" algn="ctr" rotWithShape="0">
              <a:prstClr val="black">
                <a:alpha val="20000"/>
              </a:prstClr>
            </a:outerShdw>
          </a:effectLst>
        </c:spPr>
      </c:pivotFmt>
      <c:pivotFmt>
        <c:idx val="192"/>
        <c:spPr>
          <a:solidFill>
            <a:schemeClr val="accent1"/>
          </a:solidFill>
          <a:ln>
            <a:noFill/>
          </a:ln>
          <a:effectLst>
            <a:outerShdw blurRad="254000" sx="102000" sy="102000" algn="ctr" rotWithShape="0">
              <a:prstClr val="black">
                <a:alpha val="20000"/>
              </a:prstClr>
            </a:outerShdw>
          </a:effectLst>
        </c:spPr>
      </c:pivotFmt>
      <c:pivotFmt>
        <c:idx val="193"/>
        <c:spPr>
          <a:solidFill>
            <a:schemeClr val="accent1"/>
          </a:solidFill>
          <a:ln>
            <a:noFill/>
          </a:ln>
          <a:effectLst>
            <a:outerShdw blurRad="254000" sx="102000" sy="102000" algn="ctr" rotWithShape="0">
              <a:prstClr val="black">
                <a:alpha val="20000"/>
              </a:prstClr>
            </a:outerShdw>
          </a:effectLst>
        </c:spPr>
      </c:pivotFmt>
      <c:pivotFmt>
        <c:idx val="194"/>
        <c:spPr>
          <a:solidFill>
            <a:schemeClr val="accent1"/>
          </a:solidFill>
          <a:ln>
            <a:noFill/>
          </a:ln>
          <a:effectLst>
            <a:outerShdw blurRad="254000" sx="102000" sy="102000" algn="ctr" rotWithShape="0">
              <a:prstClr val="black">
                <a:alpha val="20000"/>
              </a:prstClr>
            </a:outerShdw>
          </a:effectLst>
        </c:spPr>
      </c:pivotFmt>
      <c:pivotFmt>
        <c:idx val="195"/>
        <c:spPr>
          <a:solidFill>
            <a:schemeClr val="accent1"/>
          </a:solidFill>
          <a:ln>
            <a:noFill/>
          </a:ln>
          <a:effectLst>
            <a:outerShdw blurRad="254000" sx="102000" sy="102000" algn="ctr" rotWithShape="0">
              <a:prstClr val="black">
                <a:alpha val="20000"/>
              </a:prstClr>
            </a:outerShdw>
          </a:effectLst>
        </c:spPr>
      </c:pivotFmt>
      <c:pivotFmt>
        <c:idx val="196"/>
        <c:spPr>
          <a:solidFill>
            <a:schemeClr val="accent1"/>
          </a:solidFill>
          <a:ln>
            <a:noFill/>
          </a:ln>
          <a:effectLst>
            <a:outerShdw blurRad="254000" sx="102000" sy="102000" algn="ctr" rotWithShape="0">
              <a:prstClr val="black">
                <a:alpha val="20000"/>
              </a:prstClr>
            </a:outerShdw>
          </a:effectLst>
        </c:spPr>
      </c:pivotFmt>
      <c:pivotFmt>
        <c:idx val="197"/>
        <c:spPr>
          <a:solidFill>
            <a:schemeClr val="accent1"/>
          </a:solidFill>
          <a:ln>
            <a:noFill/>
          </a:ln>
          <a:effectLst>
            <a:outerShdw blurRad="254000" sx="102000" sy="102000" algn="ctr" rotWithShape="0">
              <a:prstClr val="black">
                <a:alpha val="20000"/>
              </a:prstClr>
            </a:outerShdw>
          </a:effectLst>
        </c:spPr>
      </c:pivotFmt>
      <c:pivotFmt>
        <c:idx val="198"/>
        <c:spPr>
          <a:solidFill>
            <a:schemeClr val="accent1"/>
          </a:solidFill>
          <a:ln>
            <a:noFill/>
          </a:ln>
          <a:effectLst>
            <a:outerShdw blurRad="254000" sx="102000" sy="102000" algn="ctr" rotWithShape="0">
              <a:prstClr val="black">
                <a:alpha val="20000"/>
              </a:prstClr>
            </a:outerShdw>
          </a:effectLst>
        </c:spPr>
      </c:pivotFmt>
      <c:pivotFmt>
        <c:idx val="199"/>
        <c:spPr>
          <a:solidFill>
            <a:schemeClr val="accent1"/>
          </a:solidFill>
          <a:ln>
            <a:noFill/>
          </a:ln>
          <a:effectLst>
            <a:outerShdw blurRad="254000" sx="102000" sy="102000" algn="ctr" rotWithShape="0">
              <a:prstClr val="black">
                <a:alpha val="20000"/>
              </a:prstClr>
            </a:outerShdw>
          </a:effectLst>
        </c:spPr>
      </c:pivotFmt>
      <c:pivotFmt>
        <c:idx val="200"/>
        <c:spPr>
          <a:solidFill>
            <a:schemeClr val="accent1"/>
          </a:solidFill>
          <a:ln>
            <a:noFill/>
          </a:ln>
          <a:effectLst>
            <a:outerShdw blurRad="254000" sx="102000" sy="102000" algn="ctr" rotWithShape="0">
              <a:prstClr val="black">
                <a:alpha val="20000"/>
              </a:prstClr>
            </a:outerShdw>
          </a:effectLst>
        </c:spPr>
      </c:pivotFmt>
      <c:pivotFmt>
        <c:idx val="201"/>
        <c:spPr>
          <a:solidFill>
            <a:schemeClr val="accent1"/>
          </a:solidFill>
          <a:ln>
            <a:noFill/>
          </a:ln>
          <a:effectLst>
            <a:outerShdw blurRad="254000" sx="102000" sy="102000" algn="ctr" rotWithShape="0">
              <a:prstClr val="black">
                <a:alpha val="20000"/>
              </a:prstClr>
            </a:outerShdw>
          </a:effectLst>
        </c:spPr>
      </c:pivotFmt>
      <c:pivotFmt>
        <c:idx val="202"/>
        <c:spPr>
          <a:solidFill>
            <a:schemeClr val="accent1"/>
          </a:solidFill>
          <a:ln>
            <a:noFill/>
          </a:ln>
          <a:effectLst>
            <a:outerShdw blurRad="254000" sx="102000" sy="102000" algn="ctr" rotWithShape="0">
              <a:prstClr val="black">
                <a:alpha val="20000"/>
              </a:prstClr>
            </a:outerShdw>
          </a:effectLst>
        </c:spPr>
      </c:pivotFmt>
      <c:pivotFmt>
        <c:idx val="203"/>
        <c:spPr>
          <a:solidFill>
            <a:schemeClr val="accent1"/>
          </a:solidFill>
          <a:ln>
            <a:noFill/>
          </a:ln>
          <a:effectLst>
            <a:outerShdw blurRad="254000" sx="102000" sy="102000" algn="ctr" rotWithShape="0">
              <a:prstClr val="black">
                <a:alpha val="20000"/>
              </a:prstClr>
            </a:outerShdw>
          </a:effectLst>
        </c:spPr>
      </c:pivotFmt>
      <c:pivotFmt>
        <c:idx val="204"/>
        <c:spPr>
          <a:solidFill>
            <a:schemeClr val="accent1"/>
          </a:solidFill>
          <a:ln>
            <a:noFill/>
          </a:ln>
          <a:effectLst>
            <a:outerShdw blurRad="254000" sx="102000" sy="102000" algn="ctr" rotWithShape="0">
              <a:prstClr val="black">
                <a:alpha val="20000"/>
              </a:prstClr>
            </a:outerShdw>
          </a:effectLst>
        </c:spPr>
      </c:pivotFmt>
      <c:pivotFmt>
        <c:idx val="205"/>
        <c:spPr>
          <a:solidFill>
            <a:schemeClr val="accent1"/>
          </a:solidFill>
          <a:ln>
            <a:noFill/>
          </a:ln>
          <a:effectLst>
            <a:outerShdw blurRad="254000" sx="102000" sy="102000" algn="ctr" rotWithShape="0">
              <a:prstClr val="black">
                <a:alpha val="20000"/>
              </a:prstClr>
            </a:outerShdw>
          </a:effectLst>
        </c:spPr>
      </c:pivotFmt>
      <c:pivotFmt>
        <c:idx val="206"/>
        <c:spPr>
          <a:solidFill>
            <a:schemeClr val="accent1"/>
          </a:solidFill>
          <a:ln>
            <a:noFill/>
          </a:ln>
          <a:effectLst>
            <a:outerShdw blurRad="254000" sx="102000" sy="102000" algn="ctr" rotWithShape="0">
              <a:prstClr val="black">
                <a:alpha val="20000"/>
              </a:prstClr>
            </a:outerShdw>
          </a:effectLst>
        </c:spPr>
      </c:pivotFmt>
      <c:pivotFmt>
        <c:idx val="207"/>
        <c:spPr>
          <a:solidFill>
            <a:schemeClr val="accent1"/>
          </a:solidFill>
          <a:ln>
            <a:noFill/>
          </a:ln>
          <a:effectLst>
            <a:outerShdw blurRad="254000" sx="102000" sy="102000" algn="ctr" rotWithShape="0">
              <a:prstClr val="black">
                <a:alpha val="20000"/>
              </a:prstClr>
            </a:outerShdw>
          </a:effectLst>
        </c:spPr>
      </c:pivotFmt>
      <c:pivotFmt>
        <c:idx val="208"/>
        <c:spPr>
          <a:solidFill>
            <a:schemeClr val="accent1"/>
          </a:solidFill>
          <a:ln>
            <a:noFill/>
          </a:ln>
          <a:effectLst>
            <a:outerShdw blurRad="254000" sx="102000" sy="102000" algn="ctr" rotWithShape="0">
              <a:prstClr val="black">
                <a:alpha val="20000"/>
              </a:prstClr>
            </a:outerShdw>
          </a:effectLst>
        </c:spPr>
      </c:pivotFmt>
      <c:pivotFmt>
        <c:idx val="209"/>
        <c:spPr>
          <a:solidFill>
            <a:schemeClr val="accent1"/>
          </a:solidFill>
          <a:ln>
            <a:noFill/>
          </a:ln>
          <a:effectLst>
            <a:outerShdw blurRad="254000" sx="102000" sy="102000" algn="ctr" rotWithShape="0">
              <a:prstClr val="black">
                <a:alpha val="20000"/>
              </a:prstClr>
            </a:outerShdw>
          </a:effectLst>
        </c:spPr>
      </c:pivotFmt>
      <c:pivotFmt>
        <c:idx val="210"/>
        <c:spPr>
          <a:solidFill>
            <a:schemeClr val="accent1"/>
          </a:solidFill>
          <a:ln>
            <a:noFill/>
          </a:ln>
          <a:effectLst>
            <a:outerShdw blurRad="254000" sx="102000" sy="102000" algn="ctr" rotWithShape="0">
              <a:prstClr val="black">
                <a:alpha val="20000"/>
              </a:prstClr>
            </a:outerShdw>
          </a:effectLst>
        </c:spPr>
      </c:pivotFmt>
      <c:pivotFmt>
        <c:idx val="211"/>
        <c:spPr>
          <a:solidFill>
            <a:schemeClr val="accent1"/>
          </a:solidFill>
          <a:ln>
            <a:noFill/>
          </a:ln>
          <a:effectLst>
            <a:outerShdw blurRad="254000" sx="102000" sy="102000" algn="ctr" rotWithShape="0">
              <a:prstClr val="black">
                <a:alpha val="20000"/>
              </a:prstClr>
            </a:outerShdw>
          </a:effectLst>
        </c:spPr>
      </c:pivotFmt>
      <c:pivotFmt>
        <c:idx val="212"/>
        <c:spPr>
          <a:solidFill>
            <a:schemeClr val="accent1"/>
          </a:solidFill>
          <a:ln>
            <a:noFill/>
          </a:ln>
          <a:effectLst>
            <a:outerShdw blurRad="254000" sx="102000" sy="102000" algn="ctr" rotWithShape="0">
              <a:prstClr val="black">
                <a:alpha val="20000"/>
              </a:prstClr>
            </a:outerShdw>
          </a:effectLst>
        </c:spPr>
      </c:pivotFmt>
      <c:pivotFmt>
        <c:idx val="213"/>
        <c:spPr>
          <a:solidFill>
            <a:schemeClr val="accent1"/>
          </a:solidFill>
          <a:ln>
            <a:noFill/>
          </a:ln>
          <a:effectLst>
            <a:outerShdw blurRad="254000" sx="102000" sy="102000" algn="ctr" rotWithShape="0">
              <a:prstClr val="black">
                <a:alpha val="20000"/>
              </a:prstClr>
            </a:outerShdw>
          </a:effectLst>
        </c:spPr>
      </c:pivotFmt>
      <c:pivotFmt>
        <c:idx val="214"/>
        <c:spPr>
          <a:solidFill>
            <a:schemeClr val="accent1"/>
          </a:solidFill>
          <a:ln>
            <a:noFill/>
          </a:ln>
          <a:effectLst>
            <a:outerShdw blurRad="254000" sx="102000" sy="102000" algn="ctr" rotWithShape="0">
              <a:prstClr val="black">
                <a:alpha val="20000"/>
              </a:prstClr>
            </a:outerShdw>
          </a:effectLst>
        </c:spPr>
      </c:pivotFmt>
      <c:pivotFmt>
        <c:idx val="215"/>
        <c:spPr>
          <a:solidFill>
            <a:schemeClr val="accent1"/>
          </a:solidFill>
          <a:ln>
            <a:noFill/>
          </a:ln>
          <a:effectLst>
            <a:outerShdw blurRad="254000" sx="102000" sy="102000" algn="ctr" rotWithShape="0">
              <a:prstClr val="black">
                <a:alpha val="20000"/>
              </a:prstClr>
            </a:outerShdw>
          </a:effectLst>
        </c:spPr>
      </c:pivotFmt>
      <c:pivotFmt>
        <c:idx val="216"/>
        <c:spPr>
          <a:solidFill>
            <a:schemeClr val="accent1"/>
          </a:solidFill>
          <a:ln>
            <a:noFill/>
          </a:ln>
          <a:effectLst>
            <a:outerShdw blurRad="254000" sx="102000" sy="102000" algn="ctr" rotWithShape="0">
              <a:prstClr val="black">
                <a:alpha val="20000"/>
              </a:prstClr>
            </a:outerShdw>
          </a:effectLst>
        </c:spPr>
      </c:pivotFmt>
      <c:pivotFmt>
        <c:idx val="217"/>
        <c:spPr>
          <a:solidFill>
            <a:schemeClr val="accent1"/>
          </a:solidFill>
          <a:ln>
            <a:noFill/>
          </a:ln>
          <a:effectLst>
            <a:outerShdw blurRad="254000" sx="102000" sy="102000" algn="ctr" rotWithShape="0">
              <a:prstClr val="black">
                <a:alpha val="20000"/>
              </a:prstClr>
            </a:outerShdw>
          </a:effectLst>
        </c:spPr>
      </c:pivotFmt>
      <c:pivotFmt>
        <c:idx val="218"/>
        <c:spPr>
          <a:solidFill>
            <a:schemeClr val="accent1"/>
          </a:solidFill>
          <a:ln>
            <a:noFill/>
          </a:ln>
          <a:effectLst>
            <a:outerShdw blurRad="254000" sx="102000" sy="102000" algn="ctr" rotWithShape="0">
              <a:prstClr val="black">
                <a:alpha val="20000"/>
              </a:prstClr>
            </a:outerShdw>
          </a:effectLst>
        </c:spPr>
      </c:pivotFmt>
      <c:pivotFmt>
        <c:idx val="219"/>
        <c:spPr>
          <a:solidFill>
            <a:schemeClr val="accent1"/>
          </a:solidFill>
          <a:ln>
            <a:noFill/>
          </a:ln>
          <a:effectLst>
            <a:outerShdw blurRad="254000" sx="102000" sy="102000" algn="ctr" rotWithShape="0">
              <a:prstClr val="black">
                <a:alpha val="20000"/>
              </a:prstClr>
            </a:outerShdw>
          </a:effectLst>
        </c:spPr>
      </c:pivotFmt>
      <c:pivotFmt>
        <c:idx val="220"/>
        <c:spPr>
          <a:solidFill>
            <a:schemeClr val="accent1"/>
          </a:solidFill>
          <a:ln>
            <a:noFill/>
          </a:ln>
          <a:effectLst>
            <a:outerShdw blurRad="254000" sx="102000" sy="102000" algn="ctr" rotWithShape="0">
              <a:prstClr val="black">
                <a:alpha val="20000"/>
              </a:prstClr>
            </a:outerShdw>
          </a:effectLst>
        </c:spPr>
      </c:pivotFmt>
      <c:pivotFmt>
        <c:idx val="221"/>
        <c:spPr>
          <a:solidFill>
            <a:schemeClr val="accent1"/>
          </a:solidFill>
          <a:ln>
            <a:noFill/>
          </a:ln>
          <a:effectLst>
            <a:outerShdw blurRad="254000" sx="102000" sy="102000" algn="ctr" rotWithShape="0">
              <a:prstClr val="black">
                <a:alpha val="20000"/>
              </a:prstClr>
            </a:outerShdw>
          </a:effectLst>
        </c:spPr>
      </c:pivotFmt>
      <c:pivotFmt>
        <c:idx val="222"/>
        <c:spPr>
          <a:solidFill>
            <a:schemeClr val="accent1"/>
          </a:solidFill>
          <a:ln>
            <a:noFill/>
          </a:ln>
          <a:effectLst>
            <a:outerShdw blurRad="254000" sx="102000" sy="102000" algn="ctr" rotWithShape="0">
              <a:prstClr val="black">
                <a:alpha val="20000"/>
              </a:prstClr>
            </a:outerShdw>
          </a:effectLst>
        </c:spPr>
      </c:pivotFmt>
      <c:pivotFmt>
        <c:idx val="223"/>
        <c:spPr>
          <a:solidFill>
            <a:schemeClr val="accent1"/>
          </a:solidFill>
          <a:ln>
            <a:noFill/>
          </a:ln>
          <a:effectLst>
            <a:outerShdw blurRad="254000" sx="102000" sy="102000" algn="ctr" rotWithShape="0">
              <a:prstClr val="black">
                <a:alpha val="20000"/>
              </a:prstClr>
            </a:outerShdw>
          </a:effectLst>
        </c:spPr>
      </c:pivotFmt>
      <c:pivotFmt>
        <c:idx val="224"/>
        <c:spPr>
          <a:solidFill>
            <a:schemeClr val="accent1"/>
          </a:solidFill>
          <a:ln>
            <a:noFill/>
          </a:ln>
          <a:effectLst>
            <a:outerShdw blurRad="254000" sx="102000" sy="102000" algn="ctr" rotWithShape="0">
              <a:prstClr val="black">
                <a:alpha val="20000"/>
              </a:prstClr>
            </a:outerShdw>
          </a:effectLst>
        </c:spPr>
      </c:pivotFmt>
      <c:pivotFmt>
        <c:idx val="225"/>
        <c:spPr>
          <a:solidFill>
            <a:schemeClr val="accent1"/>
          </a:solidFill>
          <a:ln>
            <a:noFill/>
          </a:ln>
          <a:effectLst>
            <a:outerShdw blurRad="254000" sx="102000" sy="102000" algn="ctr" rotWithShape="0">
              <a:prstClr val="black">
                <a:alpha val="20000"/>
              </a:prstClr>
            </a:outerShdw>
          </a:effectLst>
        </c:spPr>
      </c:pivotFmt>
      <c:pivotFmt>
        <c:idx val="226"/>
        <c:spPr>
          <a:solidFill>
            <a:schemeClr val="accent1"/>
          </a:solidFill>
          <a:ln>
            <a:noFill/>
          </a:ln>
          <a:effectLst>
            <a:outerShdw blurRad="254000" sx="102000" sy="102000" algn="ctr" rotWithShape="0">
              <a:prstClr val="black">
                <a:alpha val="20000"/>
              </a:prstClr>
            </a:outerShdw>
          </a:effectLst>
        </c:spPr>
      </c:pivotFmt>
      <c:pivotFmt>
        <c:idx val="227"/>
        <c:spPr>
          <a:solidFill>
            <a:schemeClr val="accent1"/>
          </a:solidFill>
          <a:ln>
            <a:noFill/>
          </a:ln>
          <a:effectLst>
            <a:outerShdw blurRad="254000" sx="102000" sy="102000" algn="ctr" rotWithShape="0">
              <a:prstClr val="black">
                <a:alpha val="20000"/>
              </a:prstClr>
            </a:outerShdw>
          </a:effectLst>
        </c:spPr>
      </c:pivotFmt>
      <c:pivotFmt>
        <c:idx val="228"/>
        <c:spPr>
          <a:solidFill>
            <a:schemeClr val="accent1"/>
          </a:solidFill>
          <a:ln>
            <a:noFill/>
          </a:ln>
          <a:effectLst>
            <a:outerShdw blurRad="254000" sx="102000" sy="102000" algn="ctr" rotWithShape="0">
              <a:prstClr val="black">
                <a:alpha val="20000"/>
              </a:prstClr>
            </a:outerShdw>
          </a:effectLst>
        </c:spPr>
      </c:pivotFmt>
      <c:pivotFmt>
        <c:idx val="229"/>
        <c:spPr>
          <a:solidFill>
            <a:schemeClr val="accent1"/>
          </a:solidFill>
          <a:ln>
            <a:noFill/>
          </a:ln>
          <a:effectLst>
            <a:outerShdw blurRad="254000" sx="102000" sy="102000" algn="ctr" rotWithShape="0">
              <a:prstClr val="black">
                <a:alpha val="20000"/>
              </a:prstClr>
            </a:outerShdw>
          </a:effectLst>
        </c:spPr>
      </c:pivotFmt>
      <c:pivotFmt>
        <c:idx val="230"/>
        <c:spPr>
          <a:solidFill>
            <a:schemeClr val="accent1"/>
          </a:solidFill>
          <a:ln>
            <a:noFill/>
          </a:ln>
          <a:effectLst>
            <a:outerShdw blurRad="254000" sx="102000" sy="102000" algn="ctr" rotWithShape="0">
              <a:prstClr val="black">
                <a:alpha val="20000"/>
              </a:prstClr>
            </a:outerShdw>
          </a:effectLst>
        </c:spPr>
      </c:pivotFmt>
      <c:pivotFmt>
        <c:idx val="231"/>
        <c:spPr>
          <a:solidFill>
            <a:schemeClr val="accent1"/>
          </a:solidFill>
          <a:ln>
            <a:noFill/>
          </a:ln>
          <a:effectLst>
            <a:outerShdw blurRad="254000" sx="102000" sy="102000" algn="ctr" rotWithShape="0">
              <a:prstClr val="black">
                <a:alpha val="20000"/>
              </a:prstClr>
            </a:outerShdw>
          </a:effectLst>
        </c:spPr>
      </c:pivotFmt>
      <c:pivotFmt>
        <c:idx val="232"/>
        <c:spPr>
          <a:solidFill>
            <a:schemeClr val="accent1"/>
          </a:solidFill>
          <a:ln>
            <a:noFill/>
          </a:ln>
          <a:effectLst>
            <a:outerShdw blurRad="254000" sx="102000" sy="102000" algn="ctr" rotWithShape="0">
              <a:prstClr val="black">
                <a:alpha val="20000"/>
              </a:prstClr>
            </a:outerShdw>
          </a:effectLst>
        </c:spPr>
      </c:pivotFmt>
      <c:pivotFmt>
        <c:idx val="233"/>
        <c:spPr>
          <a:solidFill>
            <a:schemeClr val="accent1"/>
          </a:solidFill>
          <a:ln>
            <a:noFill/>
          </a:ln>
          <a:effectLst>
            <a:outerShdw blurRad="254000" sx="102000" sy="102000" algn="ctr" rotWithShape="0">
              <a:prstClr val="black">
                <a:alpha val="20000"/>
              </a:prstClr>
            </a:outerShdw>
          </a:effectLst>
        </c:spPr>
      </c:pivotFmt>
      <c:pivotFmt>
        <c:idx val="234"/>
        <c:spPr>
          <a:solidFill>
            <a:schemeClr val="accent1"/>
          </a:solidFill>
          <a:ln>
            <a:noFill/>
          </a:ln>
          <a:effectLst>
            <a:outerShdw blurRad="254000" sx="102000" sy="102000" algn="ctr" rotWithShape="0">
              <a:prstClr val="black">
                <a:alpha val="20000"/>
              </a:prstClr>
            </a:outerShdw>
          </a:effectLst>
        </c:spPr>
      </c:pivotFmt>
      <c:pivotFmt>
        <c:idx val="235"/>
        <c:spPr>
          <a:solidFill>
            <a:schemeClr val="accent1"/>
          </a:solidFill>
          <a:ln>
            <a:noFill/>
          </a:ln>
          <a:effectLst>
            <a:outerShdw blurRad="254000" sx="102000" sy="102000" algn="ctr" rotWithShape="0">
              <a:prstClr val="black">
                <a:alpha val="20000"/>
              </a:prstClr>
            </a:outerShdw>
          </a:effectLst>
        </c:spPr>
      </c:pivotFmt>
      <c:pivotFmt>
        <c:idx val="236"/>
        <c:spPr>
          <a:solidFill>
            <a:schemeClr val="accent1"/>
          </a:solidFill>
          <a:ln>
            <a:noFill/>
          </a:ln>
          <a:effectLst>
            <a:outerShdw blurRad="254000" sx="102000" sy="102000" algn="ctr" rotWithShape="0">
              <a:prstClr val="black">
                <a:alpha val="20000"/>
              </a:prstClr>
            </a:outerShdw>
          </a:effectLst>
        </c:spPr>
      </c:pivotFmt>
      <c:pivotFmt>
        <c:idx val="237"/>
        <c:spPr>
          <a:solidFill>
            <a:schemeClr val="accent1"/>
          </a:solidFill>
          <a:ln>
            <a:noFill/>
          </a:ln>
          <a:effectLst>
            <a:outerShdw blurRad="254000" sx="102000" sy="102000" algn="ctr" rotWithShape="0">
              <a:prstClr val="black">
                <a:alpha val="20000"/>
              </a:prstClr>
            </a:outerShdw>
          </a:effectLst>
        </c:spPr>
      </c:pivotFmt>
      <c:pivotFmt>
        <c:idx val="238"/>
        <c:spPr>
          <a:solidFill>
            <a:schemeClr val="accent1"/>
          </a:solidFill>
          <a:ln>
            <a:noFill/>
          </a:ln>
          <a:effectLst>
            <a:outerShdw blurRad="254000" sx="102000" sy="102000" algn="ctr" rotWithShape="0">
              <a:prstClr val="black">
                <a:alpha val="20000"/>
              </a:prstClr>
            </a:outerShdw>
          </a:effectLst>
        </c:spPr>
      </c:pivotFmt>
      <c:pivotFmt>
        <c:idx val="239"/>
        <c:spPr>
          <a:solidFill>
            <a:schemeClr val="accent1"/>
          </a:solidFill>
          <a:ln>
            <a:noFill/>
          </a:ln>
          <a:effectLst>
            <a:outerShdw blurRad="254000" sx="102000" sy="102000" algn="ctr" rotWithShape="0">
              <a:prstClr val="black">
                <a:alpha val="20000"/>
              </a:prstClr>
            </a:outerShdw>
          </a:effectLst>
        </c:spPr>
      </c:pivotFmt>
      <c:pivotFmt>
        <c:idx val="240"/>
        <c:spPr>
          <a:solidFill>
            <a:schemeClr val="accent1"/>
          </a:solidFill>
          <a:ln>
            <a:noFill/>
          </a:ln>
          <a:effectLst>
            <a:outerShdw blurRad="254000" sx="102000" sy="102000" algn="ctr" rotWithShape="0">
              <a:prstClr val="black">
                <a:alpha val="20000"/>
              </a:prstClr>
            </a:outerShdw>
          </a:effectLst>
        </c:spPr>
      </c:pivotFmt>
      <c:pivotFmt>
        <c:idx val="241"/>
        <c:spPr>
          <a:solidFill>
            <a:schemeClr val="accent1"/>
          </a:solidFill>
          <a:ln>
            <a:noFill/>
          </a:ln>
          <a:effectLst>
            <a:outerShdw blurRad="254000" sx="102000" sy="102000" algn="ctr" rotWithShape="0">
              <a:prstClr val="black">
                <a:alpha val="20000"/>
              </a:prstClr>
            </a:outerShdw>
          </a:effectLst>
        </c:spPr>
      </c:pivotFmt>
      <c:pivotFmt>
        <c:idx val="242"/>
        <c:spPr>
          <a:solidFill>
            <a:schemeClr val="accent1"/>
          </a:solidFill>
          <a:ln>
            <a:noFill/>
          </a:ln>
          <a:effectLst>
            <a:outerShdw blurRad="254000" sx="102000" sy="102000" algn="ctr" rotWithShape="0">
              <a:prstClr val="black">
                <a:alpha val="20000"/>
              </a:prstClr>
            </a:outerShdw>
          </a:effectLst>
        </c:spPr>
      </c:pivotFmt>
      <c:pivotFmt>
        <c:idx val="243"/>
        <c:spPr>
          <a:solidFill>
            <a:schemeClr val="accent1"/>
          </a:solidFill>
          <a:ln>
            <a:noFill/>
          </a:ln>
          <a:effectLst>
            <a:outerShdw blurRad="254000" sx="102000" sy="102000" algn="ctr" rotWithShape="0">
              <a:prstClr val="black">
                <a:alpha val="20000"/>
              </a:prstClr>
            </a:outerShdw>
          </a:effectLst>
        </c:spPr>
      </c:pivotFmt>
      <c:pivotFmt>
        <c:idx val="244"/>
        <c:spPr>
          <a:solidFill>
            <a:schemeClr val="accent1"/>
          </a:solidFill>
          <a:ln>
            <a:noFill/>
          </a:ln>
          <a:effectLst>
            <a:outerShdw blurRad="254000" sx="102000" sy="102000" algn="ctr" rotWithShape="0">
              <a:prstClr val="black">
                <a:alpha val="20000"/>
              </a:prstClr>
            </a:outerShdw>
          </a:effectLst>
        </c:spPr>
      </c:pivotFmt>
      <c:pivotFmt>
        <c:idx val="245"/>
        <c:spPr>
          <a:solidFill>
            <a:schemeClr val="accent1"/>
          </a:solidFill>
          <a:ln>
            <a:noFill/>
          </a:ln>
          <a:effectLst>
            <a:outerShdw blurRad="254000" sx="102000" sy="102000" algn="ctr" rotWithShape="0">
              <a:prstClr val="black">
                <a:alpha val="20000"/>
              </a:prstClr>
            </a:outerShdw>
          </a:effectLst>
        </c:spPr>
      </c:pivotFmt>
      <c:pivotFmt>
        <c:idx val="246"/>
        <c:spPr>
          <a:solidFill>
            <a:schemeClr val="accent1"/>
          </a:solidFill>
          <a:ln>
            <a:noFill/>
          </a:ln>
          <a:effectLst>
            <a:outerShdw blurRad="254000" sx="102000" sy="102000" algn="ctr" rotWithShape="0">
              <a:prstClr val="black">
                <a:alpha val="20000"/>
              </a:prstClr>
            </a:outerShdw>
          </a:effectLst>
        </c:spPr>
      </c:pivotFmt>
      <c:pivotFmt>
        <c:idx val="247"/>
        <c:spPr>
          <a:solidFill>
            <a:schemeClr val="accent1"/>
          </a:solidFill>
          <a:ln>
            <a:noFill/>
          </a:ln>
          <a:effectLst>
            <a:outerShdw blurRad="254000" sx="102000" sy="102000" algn="ctr" rotWithShape="0">
              <a:prstClr val="black">
                <a:alpha val="20000"/>
              </a:prstClr>
            </a:outerShdw>
          </a:effectLst>
        </c:spPr>
      </c:pivotFmt>
      <c:pivotFmt>
        <c:idx val="248"/>
        <c:spPr>
          <a:solidFill>
            <a:schemeClr val="accent1"/>
          </a:solidFill>
          <a:ln>
            <a:noFill/>
          </a:ln>
          <a:effectLst>
            <a:outerShdw blurRad="254000" sx="102000" sy="102000" algn="ctr" rotWithShape="0">
              <a:prstClr val="black">
                <a:alpha val="20000"/>
              </a:prstClr>
            </a:outerShdw>
          </a:effectLst>
        </c:spPr>
      </c:pivotFmt>
      <c:pivotFmt>
        <c:idx val="249"/>
        <c:spPr>
          <a:solidFill>
            <a:schemeClr val="accent1"/>
          </a:solidFill>
          <a:ln>
            <a:noFill/>
          </a:ln>
          <a:effectLst>
            <a:outerShdw blurRad="254000" sx="102000" sy="102000" algn="ctr" rotWithShape="0">
              <a:prstClr val="black">
                <a:alpha val="20000"/>
              </a:prstClr>
            </a:outerShdw>
          </a:effectLst>
        </c:spPr>
      </c:pivotFmt>
      <c:pivotFmt>
        <c:idx val="250"/>
        <c:spPr>
          <a:solidFill>
            <a:schemeClr val="accent1"/>
          </a:solidFill>
          <a:ln>
            <a:noFill/>
          </a:ln>
          <a:effectLst>
            <a:outerShdw blurRad="254000" sx="102000" sy="102000" algn="ctr" rotWithShape="0">
              <a:prstClr val="black">
                <a:alpha val="20000"/>
              </a:prstClr>
            </a:outerShdw>
          </a:effectLst>
        </c:spPr>
      </c:pivotFmt>
      <c:pivotFmt>
        <c:idx val="251"/>
        <c:spPr>
          <a:solidFill>
            <a:schemeClr val="accent1"/>
          </a:solidFill>
          <a:ln>
            <a:noFill/>
          </a:ln>
          <a:effectLst>
            <a:outerShdw blurRad="254000" sx="102000" sy="102000" algn="ctr" rotWithShape="0">
              <a:prstClr val="black">
                <a:alpha val="20000"/>
              </a:prstClr>
            </a:outerShdw>
          </a:effectLst>
        </c:spPr>
      </c:pivotFmt>
      <c:pivotFmt>
        <c:idx val="252"/>
        <c:spPr>
          <a:solidFill>
            <a:schemeClr val="accent1"/>
          </a:solidFill>
          <a:ln>
            <a:noFill/>
          </a:ln>
          <a:effectLst>
            <a:outerShdw blurRad="254000" sx="102000" sy="102000" algn="ctr" rotWithShape="0">
              <a:prstClr val="black">
                <a:alpha val="20000"/>
              </a:prstClr>
            </a:outerShdw>
          </a:effectLst>
        </c:spPr>
      </c:pivotFmt>
      <c:pivotFmt>
        <c:idx val="253"/>
        <c:spPr>
          <a:solidFill>
            <a:schemeClr val="accent1"/>
          </a:solidFill>
          <a:ln>
            <a:noFill/>
          </a:ln>
          <a:effectLst>
            <a:outerShdw blurRad="254000" sx="102000" sy="102000" algn="ctr" rotWithShape="0">
              <a:prstClr val="black">
                <a:alpha val="20000"/>
              </a:prstClr>
            </a:outerShdw>
          </a:effectLst>
        </c:spPr>
      </c:pivotFmt>
      <c:pivotFmt>
        <c:idx val="254"/>
        <c:spPr>
          <a:solidFill>
            <a:schemeClr val="accent1"/>
          </a:solidFill>
          <a:ln>
            <a:noFill/>
          </a:ln>
          <a:effectLst>
            <a:outerShdw blurRad="254000" sx="102000" sy="102000" algn="ctr" rotWithShape="0">
              <a:prstClr val="black">
                <a:alpha val="20000"/>
              </a:prstClr>
            </a:outerShdw>
          </a:effectLst>
        </c:spPr>
      </c:pivotFmt>
      <c:pivotFmt>
        <c:idx val="255"/>
        <c:spPr>
          <a:solidFill>
            <a:schemeClr val="accent1"/>
          </a:solidFill>
          <a:ln>
            <a:noFill/>
          </a:ln>
          <a:effectLst>
            <a:outerShdw blurRad="254000" sx="102000" sy="102000" algn="ctr" rotWithShape="0">
              <a:prstClr val="black">
                <a:alpha val="20000"/>
              </a:prstClr>
            </a:outerShdw>
          </a:effectLst>
        </c:spPr>
      </c:pivotFmt>
      <c:pivotFmt>
        <c:idx val="256"/>
        <c:spPr>
          <a:solidFill>
            <a:schemeClr val="accent1"/>
          </a:solidFill>
          <a:ln>
            <a:noFill/>
          </a:ln>
          <a:effectLst>
            <a:outerShdw blurRad="254000" sx="102000" sy="102000" algn="ctr" rotWithShape="0">
              <a:prstClr val="black">
                <a:alpha val="20000"/>
              </a:prstClr>
            </a:outerShdw>
          </a:effectLst>
        </c:spPr>
      </c:pivotFmt>
      <c:pivotFmt>
        <c:idx val="257"/>
        <c:spPr>
          <a:solidFill>
            <a:schemeClr val="accent1"/>
          </a:solidFill>
          <a:ln>
            <a:noFill/>
          </a:ln>
          <a:effectLst>
            <a:outerShdw blurRad="254000" sx="102000" sy="102000" algn="ctr" rotWithShape="0">
              <a:prstClr val="black">
                <a:alpha val="20000"/>
              </a:prstClr>
            </a:outerShdw>
          </a:effectLst>
        </c:spPr>
      </c:pivotFmt>
      <c:pivotFmt>
        <c:idx val="258"/>
        <c:spPr>
          <a:solidFill>
            <a:schemeClr val="accent1"/>
          </a:solidFill>
          <a:ln>
            <a:noFill/>
          </a:ln>
          <a:effectLst>
            <a:outerShdw blurRad="254000" sx="102000" sy="102000" algn="ctr" rotWithShape="0">
              <a:prstClr val="black">
                <a:alpha val="20000"/>
              </a:prstClr>
            </a:outerShdw>
          </a:effectLst>
        </c:spPr>
      </c:pivotFmt>
      <c:pivotFmt>
        <c:idx val="259"/>
        <c:spPr>
          <a:solidFill>
            <a:schemeClr val="accent1"/>
          </a:solidFill>
          <a:ln>
            <a:noFill/>
          </a:ln>
          <a:effectLst>
            <a:outerShdw blurRad="254000" sx="102000" sy="102000" algn="ctr" rotWithShape="0">
              <a:prstClr val="black">
                <a:alpha val="20000"/>
              </a:prstClr>
            </a:outerShdw>
          </a:effectLst>
        </c:spPr>
      </c:pivotFmt>
      <c:pivotFmt>
        <c:idx val="260"/>
        <c:spPr>
          <a:solidFill>
            <a:schemeClr val="accent1"/>
          </a:solidFill>
          <a:ln>
            <a:noFill/>
          </a:ln>
          <a:effectLst>
            <a:outerShdw blurRad="254000" sx="102000" sy="102000" algn="ctr" rotWithShape="0">
              <a:prstClr val="black">
                <a:alpha val="20000"/>
              </a:prstClr>
            </a:outerShdw>
          </a:effectLst>
        </c:spPr>
      </c:pivotFmt>
      <c:pivotFmt>
        <c:idx val="261"/>
        <c:spPr>
          <a:solidFill>
            <a:schemeClr val="accent1"/>
          </a:solidFill>
          <a:ln>
            <a:noFill/>
          </a:ln>
          <a:effectLst>
            <a:outerShdw blurRad="254000" sx="102000" sy="102000" algn="ctr" rotWithShape="0">
              <a:prstClr val="black">
                <a:alpha val="20000"/>
              </a:prstClr>
            </a:outerShdw>
          </a:effectLst>
        </c:spPr>
      </c:pivotFmt>
      <c:pivotFmt>
        <c:idx val="262"/>
        <c:spPr>
          <a:solidFill>
            <a:schemeClr val="accent1"/>
          </a:solidFill>
          <a:ln>
            <a:noFill/>
          </a:ln>
          <a:effectLst>
            <a:outerShdw blurRad="254000" sx="102000" sy="102000" algn="ctr" rotWithShape="0">
              <a:prstClr val="black">
                <a:alpha val="20000"/>
              </a:prstClr>
            </a:outerShdw>
          </a:effectLst>
        </c:spPr>
      </c:pivotFmt>
      <c:pivotFmt>
        <c:idx val="263"/>
        <c:spPr>
          <a:solidFill>
            <a:schemeClr val="accent1"/>
          </a:solidFill>
          <a:ln>
            <a:noFill/>
          </a:ln>
          <a:effectLst>
            <a:outerShdw blurRad="254000" sx="102000" sy="102000" algn="ctr" rotWithShape="0">
              <a:prstClr val="black">
                <a:alpha val="20000"/>
              </a:prstClr>
            </a:outerShdw>
          </a:effectLst>
        </c:spPr>
      </c:pivotFmt>
      <c:pivotFmt>
        <c:idx val="264"/>
        <c:spPr>
          <a:solidFill>
            <a:schemeClr val="accent1"/>
          </a:solidFill>
          <a:ln>
            <a:noFill/>
          </a:ln>
          <a:effectLst>
            <a:outerShdw blurRad="254000" sx="102000" sy="102000" algn="ctr" rotWithShape="0">
              <a:prstClr val="black">
                <a:alpha val="20000"/>
              </a:prstClr>
            </a:outerShdw>
          </a:effectLst>
        </c:spPr>
      </c:pivotFmt>
      <c:pivotFmt>
        <c:idx val="265"/>
        <c:spPr>
          <a:solidFill>
            <a:schemeClr val="accent1"/>
          </a:solidFill>
          <a:ln>
            <a:noFill/>
          </a:ln>
          <a:effectLst>
            <a:outerShdw blurRad="254000" sx="102000" sy="102000" algn="ctr" rotWithShape="0">
              <a:prstClr val="black">
                <a:alpha val="20000"/>
              </a:prstClr>
            </a:outerShdw>
          </a:effectLst>
        </c:spPr>
      </c:pivotFmt>
      <c:pivotFmt>
        <c:idx val="266"/>
        <c:spPr>
          <a:solidFill>
            <a:schemeClr val="accent1"/>
          </a:solidFill>
          <a:ln>
            <a:noFill/>
          </a:ln>
          <a:effectLst>
            <a:outerShdw blurRad="254000" sx="102000" sy="102000" algn="ctr" rotWithShape="0">
              <a:prstClr val="black">
                <a:alpha val="20000"/>
              </a:prstClr>
            </a:outerShdw>
          </a:effectLst>
        </c:spPr>
      </c:pivotFmt>
      <c:pivotFmt>
        <c:idx val="267"/>
        <c:spPr>
          <a:solidFill>
            <a:schemeClr val="accent1"/>
          </a:solidFill>
          <a:ln>
            <a:noFill/>
          </a:ln>
          <a:effectLst>
            <a:outerShdw blurRad="254000" sx="102000" sy="102000" algn="ctr" rotWithShape="0">
              <a:prstClr val="black">
                <a:alpha val="20000"/>
              </a:prstClr>
            </a:outerShdw>
          </a:effectLst>
        </c:spPr>
      </c:pivotFmt>
      <c:pivotFmt>
        <c:idx val="268"/>
        <c:spPr>
          <a:solidFill>
            <a:schemeClr val="accent1"/>
          </a:solidFill>
          <a:ln>
            <a:noFill/>
          </a:ln>
          <a:effectLst>
            <a:outerShdw blurRad="254000" sx="102000" sy="102000" algn="ctr" rotWithShape="0">
              <a:prstClr val="black">
                <a:alpha val="20000"/>
              </a:prstClr>
            </a:outerShdw>
          </a:effectLst>
        </c:spPr>
      </c:pivotFmt>
      <c:pivotFmt>
        <c:idx val="269"/>
        <c:spPr>
          <a:solidFill>
            <a:schemeClr val="accent1"/>
          </a:solidFill>
          <a:ln>
            <a:noFill/>
          </a:ln>
          <a:effectLst>
            <a:outerShdw blurRad="254000" sx="102000" sy="102000" algn="ctr" rotWithShape="0">
              <a:prstClr val="black">
                <a:alpha val="20000"/>
              </a:prstClr>
            </a:outerShdw>
          </a:effectLst>
        </c:spPr>
      </c:pivotFmt>
      <c:pivotFmt>
        <c:idx val="270"/>
        <c:spPr>
          <a:solidFill>
            <a:schemeClr val="accent1"/>
          </a:solidFill>
          <a:ln>
            <a:noFill/>
          </a:ln>
          <a:effectLst>
            <a:outerShdw blurRad="254000" sx="102000" sy="102000" algn="ctr" rotWithShape="0">
              <a:prstClr val="black">
                <a:alpha val="20000"/>
              </a:prstClr>
            </a:outerShdw>
          </a:effectLst>
        </c:spPr>
      </c:pivotFmt>
      <c:pivotFmt>
        <c:idx val="271"/>
        <c:spPr>
          <a:solidFill>
            <a:schemeClr val="accent1"/>
          </a:solidFill>
          <a:ln>
            <a:noFill/>
          </a:ln>
          <a:effectLst>
            <a:outerShdw blurRad="254000" sx="102000" sy="102000" algn="ctr" rotWithShape="0">
              <a:prstClr val="black">
                <a:alpha val="20000"/>
              </a:prstClr>
            </a:outerShdw>
          </a:effectLst>
        </c:spPr>
      </c:pivotFmt>
      <c:pivotFmt>
        <c:idx val="272"/>
        <c:spPr>
          <a:solidFill>
            <a:schemeClr val="accent1"/>
          </a:solidFill>
          <a:ln>
            <a:noFill/>
          </a:ln>
          <a:effectLst>
            <a:outerShdw blurRad="254000" sx="102000" sy="102000" algn="ctr" rotWithShape="0">
              <a:prstClr val="black">
                <a:alpha val="20000"/>
              </a:prstClr>
            </a:outerShdw>
          </a:effectLst>
        </c:spPr>
      </c:pivotFmt>
      <c:pivotFmt>
        <c:idx val="273"/>
        <c:spPr>
          <a:solidFill>
            <a:schemeClr val="accent1"/>
          </a:solidFill>
          <a:ln>
            <a:noFill/>
          </a:ln>
          <a:effectLst>
            <a:outerShdw blurRad="254000" sx="102000" sy="102000" algn="ctr" rotWithShape="0">
              <a:prstClr val="black">
                <a:alpha val="20000"/>
              </a:prstClr>
            </a:outerShdw>
          </a:effectLst>
        </c:spPr>
      </c:pivotFmt>
      <c:pivotFmt>
        <c:idx val="274"/>
        <c:spPr>
          <a:solidFill>
            <a:schemeClr val="accent1"/>
          </a:solidFill>
          <a:ln>
            <a:noFill/>
          </a:ln>
          <a:effectLst>
            <a:outerShdw blurRad="254000" sx="102000" sy="102000" algn="ctr" rotWithShape="0">
              <a:prstClr val="black">
                <a:alpha val="20000"/>
              </a:prstClr>
            </a:outerShdw>
          </a:effectLst>
        </c:spPr>
      </c:pivotFmt>
      <c:pivotFmt>
        <c:idx val="275"/>
        <c:spPr>
          <a:solidFill>
            <a:schemeClr val="accent1"/>
          </a:solidFill>
          <a:ln>
            <a:noFill/>
          </a:ln>
          <a:effectLst>
            <a:outerShdw blurRad="254000" sx="102000" sy="102000" algn="ctr" rotWithShape="0">
              <a:prstClr val="black">
                <a:alpha val="20000"/>
              </a:prstClr>
            </a:outerShdw>
          </a:effectLst>
        </c:spPr>
      </c:pivotFmt>
      <c:pivotFmt>
        <c:idx val="276"/>
        <c:spPr>
          <a:solidFill>
            <a:schemeClr val="accent1"/>
          </a:solidFill>
          <a:ln>
            <a:noFill/>
          </a:ln>
          <a:effectLst>
            <a:outerShdw blurRad="254000" sx="102000" sy="102000" algn="ctr" rotWithShape="0">
              <a:prstClr val="black">
                <a:alpha val="20000"/>
              </a:prstClr>
            </a:outerShdw>
          </a:effectLst>
        </c:spPr>
      </c:pivotFmt>
      <c:pivotFmt>
        <c:idx val="277"/>
        <c:spPr>
          <a:solidFill>
            <a:schemeClr val="accent1"/>
          </a:solidFill>
          <a:ln>
            <a:noFill/>
          </a:ln>
          <a:effectLst>
            <a:outerShdw blurRad="254000" sx="102000" sy="102000" algn="ctr" rotWithShape="0">
              <a:prstClr val="black">
                <a:alpha val="20000"/>
              </a:prstClr>
            </a:outerShdw>
          </a:effectLst>
        </c:spPr>
      </c:pivotFmt>
      <c:pivotFmt>
        <c:idx val="278"/>
        <c:spPr>
          <a:solidFill>
            <a:schemeClr val="accent1"/>
          </a:solidFill>
          <a:ln>
            <a:noFill/>
          </a:ln>
          <a:effectLst>
            <a:outerShdw blurRad="254000" sx="102000" sy="102000" algn="ctr" rotWithShape="0">
              <a:prstClr val="black">
                <a:alpha val="20000"/>
              </a:prstClr>
            </a:outerShdw>
          </a:effectLst>
        </c:spPr>
      </c:pivotFmt>
      <c:pivotFmt>
        <c:idx val="279"/>
        <c:spPr>
          <a:solidFill>
            <a:schemeClr val="accent1"/>
          </a:solidFill>
          <a:ln>
            <a:noFill/>
          </a:ln>
          <a:effectLst>
            <a:outerShdw blurRad="254000" sx="102000" sy="102000" algn="ctr" rotWithShape="0">
              <a:prstClr val="black">
                <a:alpha val="20000"/>
              </a:prstClr>
            </a:outerShdw>
          </a:effectLst>
        </c:spPr>
      </c:pivotFmt>
      <c:pivotFmt>
        <c:idx val="280"/>
        <c:spPr>
          <a:solidFill>
            <a:schemeClr val="accent1"/>
          </a:solidFill>
          <a:ln>
            <a:noFill/>
          </a:ln>
          <a:effectLst>
            <a:outerShdw blurRad="254000" sx="102000" sy="102000" algn="ctr" rotWithShape="0">
              <a:prstClr val="black">
                <a:alpha val="20000"/>
              </a:prstClr>
            </a:outerShdw>
          </a:effectLst>
        </c:spPr>
      </c:pivotFmt>
      <c:pivotFmt>
        <c:idx val="281"/>
        <c:spPr>
          <a:solidFill>
            <a:schemeClr val="accent1"/>
          </a:solidFill>
          <a:ln>
            <a:noFill/>
          </a:ln>
          <a:effectLst>
            <a:outerShdw blurRad="254000" sx="102000" sy="102000" algn="ctr" rotWithShape="0">
              <a:prstClr val="black">
                <a:alpha val="20000"/>
              </a:prstClr>
            </a:outerShdw>
          </a:effectLst>
        </c:spPr>
      </c:pivotFmt>
      <c:pivotFmt>
        <c:idx val="282"/>
        <c:spPr>
          <a:solidFill>
            <a:schemeClr val="accent1"/>
          </a:solidFill>
          <a:ln>
            <a:noFill/>
          </a:ln>
          <a:effectLst>
            <a:outerShdw blurRad="254000" sx="102000" sy="102000" algn="ctr" rotWithShape="0">
              <a:prstClr val="black">
                <a:alpha val="20000"/>
              </a:prstClr>
            </a:outerShdw>
          </a:effectLst>
        </c:spPr>
      </c:pivotFmt>
      <c:pivotFmt>
        <c:idx val="283"/>
        <c:spPr>
          <a:solidFill>
            <a:schemeClr val="accent1"/>
          </a:solidFill>
          <a:ln>
            <a:noFill/>
          </a:ln>
          <a:effectLst>
            <a:outerShdw blurRad="254000" sx="102000" sy="102000" algn="ctr" rotWithShape="0">
              <a:prstClr val="black">
                <a:alpha val="20000"/>
              </a:prstClr>
            </a:outerShdw>
          </a:effectLst>
        </c:spPr>
      </c:pivotFmt>
      <c:pivotFmt>
        <c:idx val="284"/>
        <c:spPr>
          <a:solidFill>
            <a:schemeClr val="accent1"/>
          </a:solidFill>
          <a:ln>
            <a:noFill/>
          </a:ln>
          <a:effectLst>
            <a:outerShdw blurRad="254000" sx="102000" sy="102000" algn="ctr" rotWithShape="0">
              <a:prstClr val="black">
                <a:alpha val="20000"/>
              </a:prstClr>
            </a:outerShdw>
          </a:effectLst>
        </c:spPr>
      </c:pivotFmt>
      <c:pivotFmt>
        <c:idx val="285"/>
        <c:spPr>
          <a:solidFill>
            <a:schemeClr val="accent1"/>
          </a:solidFill>
          <a:ln>
            <a:noFill/>
          </a:ln>
          <a:effectLst>
            <a:outerShdw blurRad="254000" sx="102000" sy="102000" algn="ctr" rotWithShape="0">
              <a:prstClr val="black">
                <a:alpha val="20000"/>
              </a:prstClr>
            </a:outerShdw>
          </a:effectLst>
        </c:spPr>
      </c:pivotFmt>
      <c:pivotFmt>
        <c:idx val="286"/>
        <c:spPr>
          <a:solidFill>
            <a:schemeClr val="accent1"/>
          </a:solidFill>
          <a:ln>
            <a:noFill/>
          </a:ln>
          <a:effectLst>
            <a:outerShdw blurRad="254000" sx="102000" sy="102000" algn="ctr" rotWithShape="0">
              <a:prstClr val="black">
                <a:alpha val="20000"/>
              </a:prstClr>
            </a:outerShdw>
          </a:effectLst>
        </c:spPr>
      </c:pivotFmt>
      <c:pivotFmt>
        <c:idx val="287"/>
        <c:spPr>
          <a:solidFill>
            <a:schemeClr val="accent1"/>
          </a:solidFill>
          <a:ln>
            <a:noFill/>
          </a:ln>
          <a:effectLst>
            <a:outerShdw blurRad="254000" sx="102000" sy="102000" algn="ctr" rotWithShape="0">
              <a:prstClr val="black">
                <a:alpha val="20000"/>
              </a:prstClr>
            </a:outerShdw>
          </a:effectLst>
        </c:spPr>
      </c:pivotFmt>
      <c:pivotFmt>
        <c:idx val="288"/>
        <c:spPr>
          <a:solidFill>
            <a:schemeClr val="accent1"/>
          </a:solidFill>
          <a:ln>
            <a:noFill/>
          </a:ln>
          <a:effectLst>
            <a:outerShdw blurRad="254000" sx="102000" sy="102000" algn="ctr" rotWithShape="0">
              <a:prstClr val="black">
                <a:alpha val="20000"/>
              </a:prstClr>
            </a:outerShdw>
          </a:effectLst>
        </c:spPr>
      </c:pivotFmt>
      <c:pivotFmt>
        <c:idx val="289"/>
        <c:spPr>
          <a:solidFill>
            <a:schemeClr val="accent1"/>
          </a:solidFill>
          <a:ln>
            <a:noFill/>
          </a:ln>
          <a:effectLst>
            <a:outerShdw blurRad="254000" sx="102000" sy="102000" algn="ctr" rotWithShape="0">
              <a:prstClr val="black">
                <a:alpha val="20000"/>
              </a:prstClr>
            </a:outerShdw>
          </a:effectLst>
        </c:spPr>
      </c:pivotFmt>
      <c:pivotFmt>
        <c:idx val="290"/>
        <c:spPr>
          <a:solidFill>
            <a:schemeClr val="accent1"/>
          </a:solidFill>
          <a:ln>
            <a:noFill/>
          </a:ln>
          <a:effectLst>
            <a:outerShdw blurRad="254000" sx="102000" sy="102000" algn="ctr" rotWithShape="0">
              <a:prstClr val="black">
                <a:alpha val="20000"/>
              </a:prstClr>
            </a:outerShdw>
          </a:effectLst>
        </c:spPr>
      </c:pivotFmt>
      <c:pivotFmt>
        <c:idx val="291"/>
        <c:spPr>
          <a:solidFill>
            <a:schemeClr val="accent1"/>
          </a:solidFill>
          <a:ln>
            <a:noFill/>
          </a:ln>
          <a:effectLst>
            <a:outerShdw blurRad="254000" sx="102000" sy="102000" algn="ctr" rotWithShape="0">
              <a:prstClr val="black">
                <a:alpha val="20000"/>
              </a:prstClr>
            </a:outerShdw>
          </a:effectLst>
        </c:spPr>
      </c:pivotFmt>
      <c:pivotFmt>
        <c:idx val="292"/>
        <c:spPr>
          <a:solidFill>
            <a:schemeClr val="accent1"/>
          </a:solidFill>
          <a:ln>
            <a:noFill/>
          </a:ln>
          <a:effectLst>
            <a:outerShdw blurRad="254000" sx="102000" sy="102000" algn="ctr" rotWithShape="0">
              <a:prstClr val="black">
                <a:alpha val="20000"/>
              </a:prstClr>
            </a:outerShdw>
          </a:effectLst>
        </c:spPr>
      </c:pivotFmt>
      <c:pivotFmt>
        <c:idx val="293"/>
        <c:spPr>
          <a:solidFill>
            <a:schemeClr val="accent1"/>
          </a:solidFill>
          <a:ln>
            <a:noFill/>
          </a:ln>
          <a:effectLst>
            <a:outerShdw blurRad="254000" sx="102000" sy="102000" algn="ctr" rotWithShape="0">
              <a:prstClr val="black">
                <a:alpha val="20000"/>
              </a:prstClr>
            </a:outerShdw>
          </a:effectLst>
        </c:spPr>
      </c:pivotFmt>
      <c:pivotFmt>
        <c:idx val="294"/>
        <c:spPr>
          <a:solidFill>
            <a:schemeClr val="accent1"/>
          </a:solidFill>
          <a:ln>
            <a:noFill/>
          </a:ln>
          <a:effectLst>
            <a:outerShdw blurRad="254000" sx="102000" sy="102000" algn="ctr" rotWithShape="0">
              <a:prstClr val="black">
                <a:alpha val="20000"/>
              </a:prstClr>
            </a:outerShdw>
          </a:effectLst>
        </c:spPr>
      </c:pivotFmt>
      <c:pivotFmt>
        <c:idx val="295"/>
        <c:spPr>
          <a:solidFill>
            <a:schemeClr val="accent1"/>
          </a:solidFill>
          <a:ln>
            <a:noFill/>
          </a:ln>
          <a:effectLst>
            <a:outerShdw blurRad="254000" sx="102000" sy="102000" algn="ctr" rotWithShape="0">
              <a:prstClr val="black">
                <a:alpha val="20000"/>
              </a:prstClr>
            </a:outerShdw>
          </a:effectLst>
        </c:spPr>
      </c:pivotFmt>
      <c:pivotFmt>
        <c:idx val="296"/>
        <c:spPr>
          <a:solidFill>
            <a:schemeClr val="accent1"/>
          </a:solidFill>
          <a:ln>
            <a:noFill/>
          </a:ln>
          <a:effectLst>
            <a:outerShdw blurRad="254000" sx="102000" sy="102000" algn="ctr" rotWithShape="0">
              <a:prstClr val="black">
                <a:alpha val="20000"/>
              </a:prstClr>
            </a:outerShdw>
          </a:effectLst>
        </c:spPr>
      </c:pivotFmt>
      <c:pivotFmt>
        <c:idx val="297"/>
        <c:spPr>
          <a:solidFill>
            <a:schemeClr val="accent1"/>
          </a:solidFill>
          <a:ln>
            <a:noFill/>
          </a:ln>
          <a:effectLst>
            <a:outerShdw blurRad="254000" sx="102000" sy="102000" algn="ctr" rotWithShape="0">
              <a:prstClr val="black">
                <a:alpha val="20000"/>
              </a:prstClr>
            </a:outerShdw>
          </a:effectLst>
        </c:spPr>
      </c:pivotFmt>
      <c:pivotFmt>
        <c:idx val="298"/>
        <c:spPr>
          <a:solidFill>
            <a:schemeClr val="accent1"/>
          </a:solidFill>
          <a:ln>
            <a:noFill/>
          </a:ln>
          <a:effectLst>
            <a:outerShdw blurRad="254000" sx="102000" sy="102000" algn="ctr" rotWithShape="0">
              <a:prstClr val="black">
                <a:alpha val="20000"/>
              </a:prstClr>
            </a:outerShdw>
          </a:effectLst>
        </c:spPr>
      </c:pivotFmt>
      <c:pivotFmt>
        <c:idx val="299"/>
        <c:spPr>
          <a:solidFill>
            <a:schemeClr val="accent1"/>
          </a:solidFill>
          <a:ln>
            <a:noFill/>
          </a:ln>
          <a:effectLst>
            <a:outerShdw blurRad="254000" sx="102000" sy="102000" algn="ctr" rotWithShape="0">
              <a:prstClr val="black">
                <a:alpha val="20000"/>
              </a:prstClr>
            </a:outerShdw>
          </a:effectLst>
        </c:spPr>
      </c:pivotFmt>
      <c:pivotFmt>
        <c:idx val="300"/>
        <c:spPr>
          <a:solidFill>
            <a:schemeClr val="accent1"/>
          </a:solidFill>
          <a:ln>
            <a:noFill/>
          </a:ln>
          <a:effectLst>
            <a:outerShdw blurRad="254000" sx="102000" sy="102000" algn="ctr" rotWithShape="0">
              <a:prstClr val="black">
                <a:alpha val="20000"/>
              </a:prstClr>
            </a:outerShdw>
          </a:effectLst>
        </c:spPr>
      </c:pivotFmt>
      <c:pivotFmt>
        <c:idx val="301"/>
        <c:spPr>
          <a:solidFill>
            <a:schemeClr val="accent1"/>
          </a:solidFill>
          <a:ln>
            <a:noFill/>
          </a:ln>
          <a:effectLst>
            <a:outerShdw blurRad="254000" sx="102000" sy="102000" algn="ctr" rotWithShape="0">
              <a:prstClr val="black">
                <a:alpha val="20000"/>
              </a:prstClr>
            </a:outerShdw>
          </a:effectLst>
        </c:spPr>
      </c:pivotFmt>
      <c:pivotFmt>
        <c:idx val="302"/>
        <c:spPr>
          <a:solidFill>
            <a:schemeClr val="accent1"/>
          </a:solidFill>
          <a:ln>
            <a:noFill/>
          </a:ln>
          <a:effectLst>
            <a:outerShdw blurRad="254000" sx="102000" sy="102000" algn="ctr" rotWithShape="0">
              <a:prstClr val="black">
                <a:alpha val="20000"/>
              </a:prstClr>
            </a:outerShdw>
          </a:effectLst>
        </c:spPr>
      </c:pivotFmt>
      <c:pivotFmt>
        <c:idx val="303"/>
        <c:spPr>
          <a:solidFill>
            <a:schemeClr val="accent1"/>
          </a:solidFill>
          <a:ln>
            <a:noFill/>
          </a:ln>
          <a:effectLst>
            <a:outerShdw blurRad="254000" sx="102000" sy="102000" algn="ctr" rotWithShape="0">
              <a:prstClr val="black">
                <a:alpha val="20000"/>
              </a:prstClr>
            </a:outerShdw>
          </a:effectLst>
        </c:spPr>
      </c:pivotFmt>
      <c:pivotFmt>
        <c:idx val="304"/>
        <c:spPr>
          <a:solidFill>
            <a:schemeClr val="accent1"/>
          </a:solidFill>
          <a:ln>
            <a:noFill/>
          </a:ln>
          <a:effectLst>
            <a:outerShdw blurRad="254000" sx="102000" sy="102000" algn="ctr" rotWithShape="0">
              <a:prstClr val="black">
                <a:alpha val="20000"/>
              </a:prstClr>
            </a:outerShdw>
          </a:effectLst>
        </c:spPr>
      </c:pivotFmt>
      <c:pivotFmt>
        <c:idx val="305"/>
        <c:spPr>
          <a:solidFill>
            <a:schemeClr val="accent1"/>
          </a:solidFill>
          <a:ln>
            <a:noFill/>
          </a:ln>
          <a:effectLst>
            <a:outerShdw blurRad="254000" sx="102000" sy="102000" algn="ctr" rotWithShape="0">
              <a:prstClr val="black">
                <a:alpha val="20000"/>
              </a:prstClr>
            </a:outerShdw>
          </a:effectLst>
        </c:spPr>
      </c:pivotFmt>
      <c:pivotFmt>
        <c:idx val="306"/>
        <c:spPr>
          <a:solidFill>
            <a:schemeClr val="accent1"/>
          </a:solidFill>
          <a:ln>
            <a:noFill/>
          </a:ln>
          <a:effectLst>
            <a:outerShdw blurRad="254000" sx="102000" sy="102000" algn="ctr" rotWithShape="0">
              <a:prstClr val="black">
                <a:alpha val="20000"/>
              </a:prstClr>
            </a:outerShdw>
          </a:effectLst>
        </c:spPr>
      </c:pivotFmt>
      <c:pivotFmt>
        <c:idx val="307"/>
        <c:spPr>
          <a:solidFill>
            <a:schemeClr val="accent1"/>
          </a:solidFill>
          <a:ln>
            <a:noFill/>
          </a:ln>
          <a:effectLst>
            <a:outerShdw blurRad="254000" sx="102000" sy="102000" algn="ctr" rotWithShape="0">
              <a:prstClr val="black">
                <a:alpha val="20000"/>
              </a:prstClr>
            </a:outerShdw>
          </a:effectLst>
        </c:spPr>
      </c:pivotFmt>
      <c:pivotFmt>
        <c:idx val="308"/>
        <c:spPr>
          <a:solidFill>
            <a:schemeClr val="accent1"/>
          </a:solidFill>
          <a:ln>
            <a:noFill/>
          </a:ln>
          <a:effectLst>
            <a:outerShdw blurRad="254000" sx="102000" sy="102000" algn="ctr" rotWithShape="0">
              <a:prstClr val="black">
                <a:alpha val="20000"/>
              </a:prstClr>
            </a:outerShdw>
          </a:effectLst>
        </c:spPr>
      </c:pivotFmt>
      <c:pivotFmt>
        <c:idx val="309"/>
        <c:spPr>
          <a:solidFill>
            <a:schemeClr val="accent1"/>
          </a:solidFill>
          <a:ln>
            <a:noFill/>
          </a:ln>
          <a:effectLst>
            <a:outerShdw blurRad="254000" sx="102000" sy="102000" algn="ctr" rotWithShape="0">
              <a:prstClr val="black">
                <a:alpha val="20000"/>
              </a:prstClr>
            </a:outerShdw>
          </a:effectLst>
        </c:spPr>
      </c:pivotFmt>
      <c:pivotFmt>
        <c:idx val="310"/>
        <c:spPr>
          <a:solidFill>
            <a:schemeClr val="accent1"/>
          </a:solidFill>
          <a:ln>
            <a:noFill/>
          </a:ln>
          <a:effectLst>
            <a:outerShdw blurRad="254000" sx="102000" sy="102000" algn="ctr" rotWithShape="0">
              <a:prstClr val="black">
                <a:alpha val="20000"/>
              </a:prstClr>
            </a:outerShdw>
          </a:effectLst>
        </c:spPr>
      </c:pivotFmt>
      <c:pivotFmt>
        <c:idx val="311"/>
        <c:spPr>
          <a:solidFill>
            <a:schemeClr val="accent1"/>
          </a:solidFill>
          <a:ln>
            <a:noFill/>
          </a:ln>
          <a:effectLst>
            <a:outerShdw blurRad="254000" sx="102000" sy="102000" algn="ctr" rotWithShape="0">
              <a:prstClr val="black">
                <a:alpha val="20000"/>
              </a:prstClr>
            </a:outerShdw>
          </a:effectLst>
        </c:spPr>
      </c:pivotFmt>
      <c:pivotFmt>
        <c:idx val="312"/>
        <c:spPr>
          <a:solidFill>
            <a:schemeClr val="accent1"/>
          </a:solidFill>
          <a:ln>
            <a:noFill/>
          </a:ln>
          <a:effectLst>
            <a:outerShdw blurRad="254000" sx="102000" sy="102000" algn="ctr" rotWithShape="0">
              <a:prstClr val="black">
                <a:alpha val="20000"/>
              </a:prstClr>
            </a:outerShdw>
          </a:effectLst>
        </c:spPr>
      </c:pivotFmt>
      <c:pivotFmt>
        <c:idx val="313"/>
        <c:spPr>
          <a:solidFill>
            <a:schemeClr val="accent1"/>
          </a:solidFill>
          <a:ln>
            <a:noFill/>
          </a:ln>
          <a:effectLst>
            <a:outerShdw blurRad="254000" sx="102000" sy="102000" algn="ctr" rotWithShape="0">
              <a:prstClr val="black">
                <a:alpha val="20000"/>
              </a:prstClr>
            </a:outerShdw>
          </a:effectLst>
        </c:spPr>
      </c:pivotFmt>
      <c:pivotFmt>
        <c:idx val="314"/>
        <c:spPr>
          <a:solidFill>
            <a:schemeClr val="accent1"/>
          </a:solidFill>
          <a:ln>
            <a:noFill/>
          </a:ln>
          <a:effectLst>
            <a:outerShdw blurRad="254000" sx="102000" sy="102000" algn="ctr" rotWithShape="0">
              <a:prstClr val="black">
                <a:alpha val="20000"/>
              </a:prstClr>
            </a:outerShdw>
          </a:effectLst>
        </c:spPr>
      </c:pivotFmt>
      <c:pivotFmt>
        <c:idx val="315"/>
        <c:spPr>
          <a:solidFill>
            <a:schemeClr val="accent1"/>
          </a:solidFill>
          <a:ln>
            <a:noFill/>
          </a:ln>
          <a:effectLst>
            <a:outerShdw blurRad="254000" sx="102000" sy="102000" algn="ctr" rotWithShape="0">
              <a:prstClr val="black">
                <a:alpha val="20000"/>
              </a:prstClr>
            </a:outerShdw>
          </a:effectLst>
        </c:spPr>
      </c:pivotFmt>
      <c:pivotFmt>
        <c:idx val="316"/>
        <c:spPr>
          <a:solidFill>
            <a:schemeClr val="accent1"/>
          </a:solidFill>
          <a:ln>
            <a:noFill/>
          </a:ln>
          <a:effectLst>
            <a:outerShdw blurRad="254000" sx="102000" sy="102000" algn="ctr" rotWithShape="0">
              <a:prstClr val="black">
                <a:alpha val="20000"/>
              </a:prstClr>
            </a:outerShdw>
          </a:effectLst>
        </c:spPr>
      </c:pivotFmt>
      <c:pivotFmt>
        <c:idx val="317"/>
        <c:spPr>
          <a:solidFill>
            <a:schemeClr val="accent1"/>
          </a:solidFill>
          <a:ln>
            <a:noFill/>
          </a:ln>
          <a:effectLst>
            <a:outerShdw blurRad="254000" sx="102000" sy="102000" algn="ctr" rotWithShape="0">
              <a:prstClr val="black">
                <a:alpha val="20000"/>
              </a:prstClr>
            </a:outerShdw>
          </a:effectLst>
        </c:spPr>
      </c:pivotFmt>
      <c:pivotFmt>
        <c:idx val="318"/>
        <c:spPr>
          <a:solidFill>
            <a:schemeClr val="accent1"/>
          </a:solidFill>
          <a:ln>
            <a:noFill/>
          </a:ln>
          <a:effectLst>
            <a:outerShdw blurRad="254000" sx="102000" sy="102000" algn="ctr" rotWithShape="0">
              <a:prstClr val="black">
                <a:alpha val="20000"/>
              </a:prstClr>
            </a:outerShdw>
          </a:effectLst>
        </c:spPr>
      </c:pivotFmt>
      <c:pivotFmt>
        <c:idx val="319"/>
        <c:spPr>
          <a:solidFill>
            <a:schemeClr val="accent1"/>
          </a:solidFill>
          <a:ln>
            <a:noFill/>
          </a:ln>
          <a:effectLst>
            <a:outerShdw blurRad="254000" sx="102000" sy="102000" algn="ctr" rotWithShape="0">
              <a:prstClr val="black">
                <a:alpha val="20000"/>
              </a:prstClr>
            </a:outerShdw>
          </a:effectLst>
        </c:spPr>
      </c:pivotFmt>
      <c:pivotFmt>
        <c:idx val="320"/>
        <c:spPr>
          <a:solidFill>
            <a:schemeClr val="accent1"/>
          </a:solidFill>
          <a:ln>
            <a:noFill/>
          </a:ln>
          <a:effectLst>
            <a:outerShdw blurRad="254000" sx="102000" sy="102000" algn="ctr" rotWithShape="0">
              <a:prstClr val="black">
                <a:alpha val="20000"/>
              </a:prstClr>
            </a:outerShdw>
          </a:effectLst>
        </c:spPr>
      </c:pivotFmt>
      <c:pivotFmt>
        <c:idx val="321"/>
        <c:spPr>
          <a:solidFill>
            <a:schemeClr val="accent1"/>
          </a:solidFill>
          <a:ln>
            <a:noFill/>
          </a:ln>
          <a:effectLst>
            <a:outerShdw blurRad="254000" sx="102000" sy="102000" algn="ctr" rotWithShape="0">
              <a:prstClr val="black">
                <a:alpha val="20000"/>
              </a:prstClr>
            </a:outerShdw>
          </a:effectLst>
        </c:spPr>
      </c:pivotFmt>
      <c:pivotFmt>
        <c:idx val="322"/>
        <c:spPr>
          <a:solidFill>
            <a:schemeClr val="accent1"/>
          </a:solidFill>
          <a:ln>
            <a:noFill/>
          </a:ln>
          <a:effectLst>
            <a:outerShdw blurRad="254000" sx="102000" sy="102000" algn="ctr" rotWithShape="0">
              <a:prstClr val="black">
                <a:alpha val="20000"/>
              </a:prstClr>
            </a:outerShdw>
          </a:effectLst>
        </c:spPr>
      </c:pivotFmt>
      <c:pivotFmt>
        <c:idx val="323"/>
        <c:spPr>
          <a:solidFill>
            <a:schemeClr val="accent1"/>
          </a:solidFill>
          <a:ln>
            <a:noFill/>
          </a:ln>
          <a:effectLst>
            <a:outerShdw blurRad="254000" sx="102000" sy="102000" algn="ctr" rotWithShape="0">
              <a:prstClr val="black">
                <a:alpha val="20000"/>
              </a:prstClr>
            </a:outerShdw>
          </a:effectLst>
        </c:spPr>
      </c:pivotFmt>
      <c:pivotFmt>
        <c:idx val="324"/>
        <c:spPr>
          <a:solidFill>
            <a:schemeClr val="accent1"/>
          </a:solidFill>
          <a:ln>
            <a:noFill/>
          </a:ln>
          <a:effectLst>
            <a:outerShdw blurRad="254000" sx="102000" sy="102000" algn="ctr" rotWithShape="0">
              <a:prstClr val="black">
                <a:alpha val="20000"/>
              </a:prstClr>
            </a:outerShdw>
          </a:effectLst>
        </c:spPr>
      </c:pivotFmt>
      <c:pivotFmt>
        <c:idx val="325"/>
        <c:spPr>
          <a:solidFill>
            <a:schemeClr val="accent1"/>
          </a:solidFill>
          <a:ln>
            <a:noFill/>
          </a:ln>
          <a:effectLst>
            <a:outerShdw blurRad="254000" sx="102000" sy="102000" algn="ctr" rotWithShape="0">
              <a:prstClr val="black">
                <a:alpha val="20000"/>
              </a:prstClr>
            </a:outerShdw>
          </a:effectLst>
        </c:spPr>
      </c:pivotFmt>
      <c:pivotFmt>
        <c:idx val="326"/>
        <c:spPr>
          <a:solidFill>
            <a:schemeClr val="accent1"/>
          </a:solidFill>
          <a:ln>
            <a:noFill/>
          </a:ln>
          <a:effectLst>
            <a:outerShdw blurRad="254000" sx="102000" sy="102000" algn="ctr" rotWithShape="0">
              <a:prstClr val="black">
                <a:alpha val="20000"/>
              </a:prstClr>
            </a:outerShdw>
          </a:effectLst>
        </c:spPr>
      </c:pivotFmt>
      <c:pivotFmt>
        <c:idx val="327"/>
        <c:spPr>
          <a:solidFill>
            <a:schemeClr val="accent1"/>
          </a:solidFill>
          <a:ln>
            <a:noFill/>
          </a:ln>
          <a:effectLst>
            <a:outerShdw blurRad="254000" sx="102000" sy="102000" algn="ctr" rotWithShape="0">
              <a:prstClr val="black">
                <a:alpha val="20000"/>
              </a:prstClr>
            </a:outerShdw>
          </a:effectLst>
        </c:spPr>
      </c:pivotFmt>
      <c:pivotFmt>
        <c:idx val="328"/>
        <c:spPr>
          <a:solidFill>
            <a:schemeClr val="accent1"/>
          </a:solidFill>
          <a:ln>
            <a:noFill/>
          </a:ln>
          <a:effectLst>
            <a:outerShdw blurRad="254000" sx="102000" sy="102000" algn="ctr" rotWithShape="0">
              <a:prstClr val="black">
                <a:alpha val="20000"/>
              </a:prstClr>
            </a:outerShdw>
          </a:effectLst>
        </c:spPr>
      </c:pivotFmt>
      <c:pivotFmt>
        <c:idx val="329"/>
        <c:spPr>
          <a:solidFill>
            <a:schemeClr val="accent1"/>
          </a:solidFill>
          <a:ln>
            <a:noFill/>
          </a:ln>
          <a:effectLst>
            <a:outerShdw blurRad="254000" sx="102000" sy="102000" algn="ctr" rotWithShape="0">
              <a:prstClr val="black">
                <a:alpha val="20000"/>
              </a:prstClr>
            </a:outerShdw>
          </a:effectLst>
        </c:spPr>
      </c:pivotFmt>
      <c:pivotFmt>
        <c:idx val="330"/>
        <c:spPr>
          <a:solidFill>
            <a:schemeClr val="accent1"/>
          </a:solidFill>
          <a:ln>
            <a:noFill/>
          </a:ln>
          <a:effectLst>
            <a:outerShdw blurRad="254000" sx="102000" sy="102000" algn="ctr" rotWithShape="0">
              <a:prstClr val="black">
                <a:alpha val="20000"/>
              </a:prstClr>
            </a:outerShdw>
          </a:effectLst>
        </c:spPr>
      </c:pivotFmt>
      <c:pivotFmt>
        <c:idx val="331"/>
        <c:spPr>
          <a:solidFill>
            <a:schemeClr val="accent1"/>
          </a:solidFill>
          <a:ln>
            <a:noFill/>
          </a:ln>
          <a:effectLst>
            <a:outerShdw blurRad="254000" sx="102000" sy="102000" algn="ctr" rotWithShape="0">
              <a:prstClr val="black">
                <a:alpha val="20000"/>
              </a:prstClr>
            </a:outerShdw>
          </a:effectLst>
        </c:spPr>
      </c:pivotFmt>
      <c:pivotFmt>
        <c:idx val="332"/>
        <c:spPr>
          <a:solidFill>
            <a:schemeClr val="accent1"/>
          </a:solidFill>
          <a:ln>
            <a:noFill/>
          </a:ln>
          <a:effectLst>
            <a:outerShdw blurRad="254000" sx="102000" sy="102000" algn="ctr" rotWithShape="0">
              <a:prstClr val="black">
                <a:alpha val="20000"/>
              </a:prstClr>
            </a:outerShdw>
          </a:effectLst>
        </c:spPr>
      </c:pivotFmt>
      <c:pivotFmt>
        <c:idx val="333"/>
        <c:spPr>
          <a:solidFill>
            <a:schemeClr val="accent1"/>
          </a:solidFill>
          <a:ln>
            <a:noFill/>
          </a:ln>
          <a:effectLst>
            <a:outerShdw blurRad="254000" sx="102000" sy="102000" algn="ctr" rotWithShape="0">
              <a:prstClr val="black">
                <a:alpha val="20000"/>
              </a:prstClr>
            </a:outerShdw>
          </a:effectLst>
        </c:spPr>
      </c:pivotFmt>
      <c:pivotFmt>
        <c:idx val="334"/>
        <c:spPr>
          <a:solidFill>
            <a:schemeClr val="accent1"/>
          </a:solidFill>
          <a:ln>
            <a:noFill/>
          </a:ln>
          <a:effectLst>
            <a:outerShdw blurRad="254000" sx="102000" sy="102000" algn="ctr" rotWithShape="0">
              <a:prstClr val="black">
                <a:alpha val="20000"/>
              </a:prstClr>
            </a:outerShdw>
          </a:effectLst>
        </c:spPr>
      </c:pivotFmt>
      <c:pivotFmt>
        <c:idx val="335"/>
        <c:spPr>
          <a:solidFill>
            <a:schemeClr val="accent1"/>
          </a:solidFill>
          <a:ln>
            <a:noFill/>
          </a:ln>
          <a:effectLst>
            <a:outerShdw blurRad="254000" sx="102000" sy="102000" algn="ctr" rotWithShape="0">
              <a:prstClr val="black">
                <a:alpha val="20000"/>
              </a:prstClr>
            </a:outerShdw>
          </a:effectLst>
        </c:spPr>
      </c:pivotFmt>
      <c:pivotFmt>
        <c:idx val="336"/>
        <c:spPr>
          <a:solidFill>
            <a:schemeClr val="accent1"/>
          </a:solidFill>
          <a:ln>
            <a:noFill/>
          </a:ln>
          <a:effectLst>
            <a:outerShdw blurRad="254000" sx="102000" sy="102000" algn="ctr" rotWithShape="0">
              <a:prstClr val="black">
                <a:alpha val="20000"/>
              </a:prstClr>
            </a:outerShdw>
          </a:effectLst>
        </c:spPr>
      </c:pivotFmt>
      <c:pivotFmt>
        <c:idx val="337"/>
        <c:spPr>
          <a:solidFill>
            <a:schemeClr val="accent1"/>
          </a:solidFill>
          <a:ln>
            <a:noFill/>
          </a:ln>
          <a:effectLst>
            <a:outerShdw blurRad="254000" sx="102000" sy="102000" algn="ctr" rotWithShape="0">
              <a:prstClr val="black">
                <a:alpha val="20000"/>
              </a:prstClr>
            </a:outerShdw>
          </a:effectLst>
        </c:spPr>
      </c:pivotFmt>
      <c:pivotFmt>
        <c:idx val="338"/>
        <c:spPr>
          <a:solidFill>
            <a:schemeClr val="accent1"/>
          </a:solidFill>
          <a:ln>
            <a:noFill/>
          </a:ln>
          <a:effectLst>
            <a:outerShdw blurRad="254000" sx="102000" sy="102000" algn="ctr" rotWithShape="0">
              <a:prstClr val="black">
                <a:alpha val="20000"/>
              </a:prstClr>
            </a:outerShdw>
          </a:effectLst>
        </c:spPr>
      </c:pivotFmt>
      <c:pivotFmt>
        <c:idx val="339"/>
        <c:spPr>
          <a:solidFill>
            <a:schemeClr val="accent1"/>
          </a:solidFill>
          <a:ln>
            <a:noFill/>
          </a:ln>
          <a:effectLst>
            <a:outerShdw blurRad="254000" sx="102000" sy="102000" algn="ctr" rotWithShape="0">
              <a:prstClr val="black">
                <a:alpha val="20000"/>
              </a:prstClr>
            </a:outerShdw>
          </a:effectLst>
        </c:spPr>
      </c:pivotFmt>
      <c:pivotFmt>
        <c:idx val="340"/>
        <c:spPr>
          <a:solidFill>
            <a:schemeClr val="accent1"/>
          </a:solidFill>
          <a:ln>
            <a:noFill/>
          </a:ln>
          <a:effectLst>
            <a:outerShdw blurRad="254000" sx="102000" sy="102000" algn="ctr" rotWithShape="0">
              <a:prstClr val="black">
                <a:alpha val="20000"/>
              </a:prstClr>
            </a:outerShdw>
          </a:effectLst>
        </c:spPr>
      </c:pivotFmt>
      <c:pivotFmt>
        <c:idx val="341"/>
        <c:spPr>
          <a:solidFill>
            <a:schemeClr val="accent1"/>
          </a:solidFill>
          <a:ln>
            <a:noFill/>
          </a:ln>
          <a:effectLst>
            <a:outerShdw blurRad="254000" sx="102000" sy="102000" algn="ctr" rotWithShape="0">
              <a:prstClr val="black">
                <a:alpha val="20000"/>
              </a:prstClr>
            </a:outerShdw>
          </a:effectLst>
        </c:spPr>
      </c:pivotFmt>
      <c:pivotFmt>
        <c:idx val="342"/>
        <c:spPr>
          <a:solidFill>
            <a:schemeClr val="accent1"/>
          </a:solidFill>
          <a:ln>
            <a:noFill/>
          </a:ln>
          <a:effectLst>
            <a:outerShdw blurRad="254000" sx="102000" sy="102000" algn="ctr" rotWithShape="0">
              <a:prstClr val="black">
                <a:alpha val="20000"/>
              </a:prstClr>
            </a:outerShdw>
          </a:effectLst>
        </c:spPr>
      </c:pivotFmt>
      <c:pivotFmt>
        <c:idx val="343"/>
        <c:spPr>
          <a:solidFill>
            <a:schemeClr val="accent1"/>
          </a:solidFill>
          <a:ln>
            <a:noFill/>
          </a:ln>
          <a:effectLst>
            <a:outerShdw blurRad="254000" sx="102000" sy="102000" algn="ctr" rotWithShape="0">
              <a:prstClr val="black">
                <a:alpha val="20000"/>
              </a:prstClr>
            </a:outerShdw>
          </a:effectLst>
        </c:spPr>
      </c:pivotFmt>
      <c:pivotFmt>
        <c:idx val="344"/>
        <c:spPr>
          <a:solidFill>
            <a:schemeClr val="accent1"/>
          </a:solidFill>
          <a:ln>
            <a:noFill/>
          </a:ln>
          <a:effectLst>
            <a:outerShdw blurRad="254000" sx="102000" sy="102000" algn="ctr" rotWithShape="0">
              <a:prstClr val="black">
                <a:alpha val="20000"/>
              </a:prstClr>
            </a:outerShdw>
          </a:effectLst>
        </c:spPr>
      </c:pivotFmt>
      <c:pivotFmt>
        <c:idx val="345"/>
        <c:spPr>
          <a:solidFill>
            <a:schemeClr val="accent1"/>
          </a:solidFill>
          <a:ln>
            <a:noFill/>
          </a:ln>
          <a:effectLst>
            <a:outerShdw blurRad="254000" sx="102000" sy="102000" algn="ctr" rotWithShape="0">
              <a:prstClr val="black">
                <a:alpha val="20000"/>
              </a:prstClr>
            </a:outerShdw>
          </a:effectLst>
        </c:spPr>
      </c:pivotFmt>
      <c:pivotFmt>
        <c:idx val="346"/>
        <c:spPr>
          <a:solidFill>
            <a:schemeClr val="accent1"/>
          </a:solidFill>
          <a:ln>
            <a:noFill/>
          </a:ln>
          <a:effectLst>
            <a:outerShdw blurRad="254000" sx="102000" sy="102000" algn="ctr" rotWithShape="0">
              <a:prstClr val="black">
                <a:alpha val="20000"/>
              </a:prstClr>
            </a:outerShdw>
          </a:effectLst>
        </c:spPr>
      </c:pivotFmt>
      <c:pivotFmt>
        <c:idx val="347"/>
        <c:spPr>
          <a:solidFill>
            <a:schemeClr val="accent1"/>
          </a:solidFill>
          <a:ln>
            <a:noFill/>
          </a:ln>
          <a:effectLst>
            <a:outerShdw blurRad="254000" sx="102000" sy="102000" algn="ctr" rotWithShape="0">
              <a:prstClr val="black">
                <a:alpha val="20000"/>
              </a:prstClr>
            </a:outerShdw>
          </a:effectLst>
        </c:spPr>
      </c:pivotFmt>
      <c:pivotFmt>
        <c:idx val="348"/>
        <c:spPr>
          <a:solidFill>
            <a:schemeClr val="accent1"/>
          </a:solidFill>
          <a:ln>
            <a:noFill/>
          </a:ln>
          <a:effectLst>
            <a:outerShdw blurRad="254000" sx="102000" sy="102000" algn="ctr" rotWithShape="0">
              <a:prstClr val="black">
                <a:alpha val="20000"/>
              </a:prstClr>
            </a:outerShdw>
          </a:effectLst>
        </c:spPr>
      </c:pivotFmt>
      <c:pivotFmt>
        <c:idx val="349"/>
        <c:spPr>
          <a:solidFill>
            <a:schemeClr val="accent1"/>
          </a:solidFill>
          <a:ln>
            <a:noFill/>
          </a:ln>
          <a:effectLst>
            <a:outerShdw blurRad="254000" sx="102000" sy="102000" algn="ctr" rotWithShape="0">
              <a:prstClr val="black">
                <a:alpha val="20000"/>
              </a:prstClr>
            </a:outerShdw>
          </a:effectLst>
        </c:spPr>
      </c:pivotFmt>
      <c:pivotFmt>
        <c:idx val="350"/>
        <c:spPr>
          <a:solidFill>
            <a:schemeClr val="accent1"/>
          </a:solidFill>
          <a:ln>
            <a:noFill/>
          </a:ln>
          <a:effectLst>
            <a:outerShdw blurRad="254000" sx="102000" sy="102000" algn="ctr" rotWithShape="0">
              <a:prstClr val="black">
                <a:alpha val="20000"/>
              </a:prstClr>
            </a:outerShdw>
          </a:effectLst>
        </c:spPr>
      </c:pivotFmt>
      <c:pivotFmt>
        <c:idx val="351"/>
        <c:spPr>
          <a:solidFill>
            <a:schemeClr val="accent1"/>
          </a:solidFill>
          <a:ln>
            <a:noFill/>
          </a:ln>
          <a:effectLst>
            <a:outerShdw blurRad="254000" sx="102000" sy="102000" algn="ctr" rotWithShape="0">
              <a:prstClr val="black">
                <a:alpha val="20000"/>
              </a:prstClr>
            </a:outerShdw>
          </a:effectLst>
        </c:spPr>
      </c:pivotFmt>
      <c:pivotFmt>
        <c:idx val="352"/>
        <c:spPr>
          <a:solidFill>
            <a:schemeClr val="accent1"/>
          </a:solidFill>
          <a:ln>
            <a:noFill/>
          </a:ln>
          <a:effectLst>
            <a:outerShdw blurRad="254000" sx="102000" sy="102000" algn="ctr" rotWithShape="0">
              <a:prstClr val="black">
                <a:alpha val="20000"/>
              </a:prstClr>
            </a:outerShdw>
          </a:effectLst>
        </c:spPr>
      </c:pivotFmt>
      <c:pivotFmt>
        <c:idx val="353"/>
        <c:spPr>
          <a:solidFill>
            <a:schemeClr val="accent1"/>
          </a:solidFill>
          <a:ln>
            <a:noFill/>
          </a:ln>
          <a:effectLst>
            <a:outerShdw blurRad="254000" sx="102000" sy="102000" algn="ctr" rotWithShape="0">
              <a:prstClr val="black">
                <a:alpha val="20000"/>
              </a:prstClr>
            </a:outerShdw>
          </a:effectLst>
        </c:spPr>
      </c:pivotFmt>
      <c:pivotFmt>
        <c:idx val="354"/>
        <c:spPr>
          <a:solidFill>
            <a:schemeClr val="accent1"/>
          </a:solidFill>
          <a:ln>
            <a:noFill/>
          </a:ln>
          <a:effectLst>
            <a:outerShdw blurRad="254000" sx="102000" sy="102000" algn="ctr" rotWithShape="0">
              <a:prstClr val="black">
                <a:alpha val="20000"/>
              </a:prstClr>
            </a:outerShdw>
          </a:effectLst>
        </c:spPr>
      </c:pivotFmt>
      <c:pivotFmt>
        <c:idx val="355"/>
        <c:spPr>
          <a:solidFill>
            <a:schemeClr val="accent1"/>
          </a:solidFill>
          <a:ln>
            <a:noFill/>
          </a:ln>
          <a:effectLst>
            <a:outerShdw blurRad="254000" sx="102000" sy="102000" algn="ctr" rotWithShape="0">
              <a:prstClr val="black">
                <a:alpha val="20000"/>
              </a:prstClr>
            </a:outerShdw>
          </a:effectLst>
        </c:spPr>
      </c:pivotFmt>
      <c:pivotFmt>
        <c:idx val="356"/>
        <c:spPr>
          <a:solidFill>
            <a:schemeClr val="accent1"/>
          </a:solidFill>
          <a:ln>
            <a:noFill/>
          </a:ln>
          <a:effectLst>
            <a:outerShdw blurRad="254000" sx="102000" sy="102000" algn="ctr" rotWithShape="0">
              <a:prstClr val="black">
                <a:alpha val="20000"/>
              </a:prstClr>
            </a:outerShdw>
          </a:effectLst>
        </c:spPr>
      </c:pivotFmt>
      <c:pivotFmt>
        <c:idx val="357"/>
        <c:spPr>
          <a:solidFill>
            <a:schemeClr val="accent1"/>
          </a:solidFill>
          <a:ln>
            <a:noFill/>
          </a:ln>
          <a:effectLst>
            <a:outerShdw blurRad="254000" sx="102000" sy="102000" algn="ctr" rotWithShape="0">
              <a:prstClr val="black">
                <a:alpha val="20000"/>
              </a:prstClr>
            </a:outerShdw>
          </a:effectLst>
        </c:spPr>
      </c:pivotFmt>
      <c:pivotFmt>
        <c:idx val="358"/>
        <c:spPr>
          <a:solidFill>
            <a:schemeClr val="accent1"/>
          </a:solidFill>
          <a:ln>
            <a:noFill/>
          </a:ln>
          <a:effectLst>
            <a:outerShdw blurRad="254000" sx="102000" sy="102000" algn="ctr" rotWithShape="0">
              <a:prstClr val="black">
                <a:alpha val="20000"/>
              </a:prstClr>
            </a:outerShdw>
          </a:effectLst>
        </c:spPr>
      </c:pivotFmt>
      <c:pivotFmt>
        <c:idx val="359"/>
        <c:spPr>
          <a:solidFill>
            <a:schemeClr val="accent1"/>
          </a:solidFill>
          <a:ln>
            <a:noFill/>
          </a:ln>
          <a:effectLst>
            <a:outerShdw blurRad="254000" sx="102000" sy="102000" algn="ctr" rotWithShape="0">
              <a:prstClr val="black">
                <a:alpha val="20000"/>
              </a:prstClr>
            </a:outerShdw>
          </a:effectLst>
        </c:spPr>
      </c:pivotFmt>
      <c:pivotFmt>
        <c:idx val="360"/>
        <c:spPr>
          <a:solidFill>
            <a:schemeClr val="accent1"/>
          </a:solidFill>
          <a:ln>
            <a:noFill/>
          </a:ln>
          <a:effectLst>
            <a:outerShdw blurRad="254000" sx="102000" sy="102000" algn="ctr" rotWithShape="0">
              <a:prstClr val="black">
                <a:alpha val="20000"/>
              </a:prstClr>
            </a:outerShdw>
          </a:effectLst>
        </c:spPr>
      </c:pivotFmt>
      <c:pivotFmt>
        <c:idx val="361"/>
        <c:spPr>
          <a:solidFill>
            <a:schemeClr val="accent1"/>
          </a:solidFill>
          <a:ln>
            <a:noFill/>
          </a:ln>
          <a:effectLst>
            <a:outerShdw blurRad="254000" sx="102000" sy="102000" algn="ctr" rotWithShape="0">
              <a:prstClr val="black">
                <a:alpha val="20000"/>
              </a:prstClr>
            </a:outerShdw>
          </a:effectLst>
        </c:spPr>
      </c:pivotFmt>
      <c:pivotFmt>
        <c:idx val="362"/>
        <c:spPr>
          <a:solidFill>
            <a:schemeClr val="accent1"/>
          </a:solidFill>
          <a:ln>
            <a:noFill/>
          </a:ln>
          <a:effectLst>
            <a:outerShdw blurRad="254000" sx="102000" sy="102000" algn="ctr" rotWithShape="0">
              <a:prstClr val="black">
                <a:alpha val="20000"/>
              </a:prstClr>
            </a:outerShdw>
          </a:effectLst>
        </c:spPr>
      </c:pivotFmt>
      <c:pivotFmt>
        <c:idx val="363"/>
        <c:spPr>
          <a:solidFill>
            <a:schemeClr val="accent1"/>
          </a:solidFill>
          <a:ln>
            <a:noFill/>
          </a:ln>
          <a:effectLst>
            <a:outerShdw blurRad="254000" sx="102000" sy="102000" algn="ctr" rotWithShape="0">
              <a:prstClr val="black">
                <a:alpha val="20000"/>
              </a:prstClr>
            </a:outerShdw>
          </a:effectLst>
        </c:spPr>
      </c:pivotFmt>
      <c:pivotFmt>
        <c:idx val="364"/>
        <c:spPr>
          <a:solidFill>
            <a:schemeClr val="accent1"/>
          </a:solidFill>
          <a:ln>
            <a:noFill/>
          </a:ln>
          <a:effectLst>
            <a:outerShdw blurRad="254000" sx="102000" sy="102000" algn="ctr" rotWithShape="0">
              <a:prstClr val="black">
                <a:alpha val="20000"/>
              </a:prstClr>
            </a:outerShdw>
          </a:effectLst>
        </c:spPr>
      </c:pivotFmt>
      <c:pivotFmt>
        <c:idx val="365"/>
        <c:spPr>
          <a:solidFill>
            <a:schemeClr val="accent1"/>
          </a:solidFill>
          <a:ln>
            <a:noFill/>
          </a:ln>
          <a:effectLst>
            <a:outerShdw blurRad="254000" sx="102000" sy="102000" algn="ctr" rotWithShape="0">
              <a:prstClr val="black">
                <a:alpha val="20000"/>
              </a:prstClr>
            </a:outerShdw>
          </a:effectLst>
        </c:spPr>
      </c:pivotFmt>
      <c:pivotFmt>
        <c:idx val="366"/>
        <c:spPr>
          <a:solidFill>
            <a:schemeClr val="accent1"/>
          </a:solidFill>
          <a:ln>
            <a:noFill/>
          </a:ln>
          <a:effectLst>
            <a:outerShdw blurRad="254000" sx="102000" sy="102000" algn="ctr" rotWithShape="0">
              <a:prstClr val="black">
                <a:alpha val="20000"/>
              </a:prstClr>
            </a:outerShdw>
          </a:effectLst>
        </c:spPr>
      </c:pivotFmt>
      <c:pivotFmt>
        <c:idx val="367"/>
        <c:spPr>
          <a:solidFill>
            <a:schemeClr val="accent1"/>
          </a:solidFill>
          <a:ln>
            <a:noFill/>
          </a:ln>
          <a:effectLst>
            <a:outerShdw blurRad="254000" sx="102000" sy="102000" algn="ctr" rotWithShape="0">
              <a:prstClr val="black">
                <a:alpha val="20000"/>
              </a:prstClr>
            </a:outerShdw>
          </a:effectLst>
        </c:spPr>
      </c:pivotFmt>
      <c:pivotFmt>
        <c:idx val="368"/>
        <c:spPr>
          <a:solidFill>
            <a:schemeClr val="accent1"/>
          </a:solidFill>
          <a:ln>
            <a:noFill/>
          </a:ln>
          <a:effectLst>
            <a:outerShdw blurRad="254000" sx="102000" sy="102000" algn="ctr" rotWithShape="0">
              <a:prstClr val="black">
                <a:alpha val="20000"/>
              </a:prstClr>
            </a:outerShdw>
          </a:effectLst>
        </c:spPr>
      </c:pivotFmt>
      <c:pivotFmt>
        <c:idx val="369"/>
        <c:spPr>
          <a:solidFill>
            <a:schemeClr val="accent1"/>
          </a:solidFill>
          <a:ln>
            <a:noFill/>
          </a:ln>
          <a:effectLst>
            <a:outerShdw blurRad="254000" sx="102000" sy="102000" algn="ctr" rotWithShape="0">
              <a:prstClr val="black">
                <a:alpha val="20000"/>
              </a:prstClr>
            </a:outerShdw>
          </a:effectLst>
        </c:spPr>
      </c:pivotFmt>
      <c:pivotFmt>
        <c:idx val="370"/>
        <c:spPr>
          <a:solidFill>
            <a:schemeClr val="accent1"/>
          </a:solidFill>
          <a:ln>
            <a:noFill/>
          </a:ln>
          <a:effectLst>
            <a:outerShdw blurRad="254000" sx="102000" sy="102000" algn="ctr" rotWithShape="0">
              <a:prstClr val="black">
                <a:alpha val="20000"/>
              </a:prstClr>
            </a:outerShdw>
          </a:effectLst>
        </c:spPr>
      </c:pivotFmt>
      <c:pivotFmt>
        <c:idx val="371"/>
        <c:spPr>
          <a:solidFill>
            <a:schemeClr val="accent1"/>
          </a:solidFill>
          <a:ln>
            <a:noFill/>
          </a:ln>
          <a:effectLst>
            <a:outerShdw blurRad="254000" sx="102000" sy="102000" algn="ctr" rotWithShape="0">
              <a:prstClr val="black">
                <a:alpha val="20000"/>
              </a:prstClr>
            </a:outerShdw>
          </a:effectLst>
        </c:spPr>
      </c:pivotFmt>
      <c:pivotFmt>
        <c:idx val="372"/>
        <c:spPr>
          <a:solidFill>
            <a:schemeClr val="accent1"/>
          </a:solidFill>
          <a:ln>
            <a:noFill/>
          </a:ln>
          <a:effectLst>
            <a:outerShdw blurRad="254000" sx="102000" sy="102000" algn="ctr" rotWithShape="0">
              <a:prstClr val="black">
                <a:alpha val="20000"/>
              </a:prstClr>
            </a:outerShdw>
          </a:effectLst>
        </c:spPr>
      </c:pivotFmt>
      <c:pivotFmt>
        <c:idx val="373"/>
        <c:spPr>
          <a:solidFill>
            <a:schemeClr val="accent1"/>
          </a:solidFill>
          <a:ln>
            <a:noFill/>
          </a:ln>
          <a:effectLst>
            <a:outerShdw blurRad="254000" sx="102000" sy="102000" algn="ctr" rotWithShape="0">
              <a:prstClr val="black">
                <a:alpha val="20000"/>
              </a:prstClr>
            </a:outerShdw>
          </a:effectLst>
        </c:spPr>
      </c:pivotFmt>
      <c:pivotFmt>
        <c:idx val="374"/>
        <c:spPr>
          <a:solidFill>
            <a:schemeClr val="accent1"/>
          </a:solidFill>
          <a:ln>
            <a:noFill/>
          </a:ln>
          <a:effectLst>
            <a:outerShdw blurRad="254000" sx="102000" sy="102000" algn="ctr" rotWithShape="0">
              <a:prstClr val="black">
                <a:alpha val="20000"/>
              </a:prstClr>
            </a:outerShdw>
          </a:effectLst>
        </c:spPr>
      </c:pivotFmt>
      <c:pivotFmt>
        <c:idx val="375"/>
        <c:spPr>
          <a:solidFill>
            <a:schemeClr val="accent1"/>
          </a:solidFill>
          <a:ln>
            <a:noFill/>
          </a:ln>
          <a:effectLst>
            <a:outerShdw blurRad="254000" sx="102000" sy="102000" algn="ctr" rotWithShape="0">
              <a:prstClr val="black">
                <a:alpha val="20000"/>
              </a:prstClr>
            </a:outerShdw>
          </a:effectLst>
        </c:spPr>
      </c:pivotFmt>
      <c:pivotFmt>
        <c:idx val="376"/>
        <c:spPr>
          <a:solidFill>
            <a:schemeClr val="accent1"/>
          </a:solidFill>
          <a:ln>
            <a:noFill/>
          </a:ln>
          <a:effectLst>
            <a:outerShdw blurRad="254000" sx="102000" sy="102000" algn="ctr" rotWithShape="0">
              <a:prstClr val="black">
                <a:alpha val="20000"/>
              </a:prstClr>
            </a:outerShdw>
          </a:effectLst>
        </c:spPr>
      </c:pivotFmt>
      <c:pivotFmt>
        <c:idx val="377"/>
        <c:spPr>
          <a:solidFill>
            <a:schemeClr val="accent1"/>
          </a:solidFill>
          <a:ln>
            <a:noFill/>
          </a:ln>
          <a:effectLst>
            <a:outerShdw blurRad="254000" sx="102000" sy="102000" algn="ctr" rotWithShape="0">
              <a:prstClr val="black">
                <a:alpha val="20000"/>
              </a:prstClr>
            </a:outerShdw>
          </a:effectLst>
        </c:spPr>
      </c:pivotFmt>
      <c:pivotFmt>
        <c:idx val="378"/>
        <c:spPr>
          <a:solidFill>
            <a:schemeClr val="accent1"/>
          </a:solidFill>
          <a:ln>
            <a:noFill/>
          </a:ln>
          <a:effectLst>
            <a:outerShdw blurRad="254000" sx="102000" sy="102000" algn="ctr" rotWithShape="0">
              <a:prstClr val="black">
                <a:alpha val="20000"/>
              </a:prstClr>
            </a:outerShdw>
          </a:effectLst>
        </c:spPr>
      </c:pivotFmt>
      <c:pivotFmt>
        <c:idx val="379"/>
        <c:spPr>
          <a:solidFill>
            <a:schemeClr val="accent1"/>
          </a:solidFill>
          <a:ln>
            <a:noFill/>
          </a:ln>
          <a:effectLst>
            <a:outerShdw blurRad="254000" sx="102000" sy="102000" algn="ctr" rotWithShape="0">
              <a:prstClr val="black">
                <a:alpha val="20000"/>
              </a:prstClr>
            </a:outerShdw>
          </a:effectLst>
        </c:spPr>
      </c:pivotFmt>
      <c:pivotFmt>
        <c:idx val="380"/>
        <c:spPr>
          <a:solidFill>
            <a:schemeClr val="accent1"/>
          </a:solidFill>
          <a:ln>
            <a:noFill/>
          </a:ln>
          <a:effectLst>
            <a:outerShdw blurRad="254000" sx="102000" sy="102000" algn="ctr" rotWithShape="0">
              <a:prstClr val="black">
                <a:alpha val="20000"/>
              </a:prstClr>
            </a:outerShdw>
          </a:effectLst>
        </c:spPr>
      </c:pivotFmt>
      <c:pivotFmt>
        <c:idx val="381"/>
        <c:spPr>
          <a:solidFill>
            <a:schemeClr val="accent1"/>
          </a:solidFill>
          <a:ln>
            <a:noFill/>
          </a:ln>
          <a:effectLst>
            <a:outerShdw blurRad="254000" sx="102000" sy="102000" algn="ctr" rotWithShape="0">
              <a:prstClr val="black">
                <a:alpha val="20000"/>
              </a:prstClr>
            </a:outerShdw>
          </a:effectLst>
        </c:spPr>
      </c:pivotFmt>
      <c:pivotFmt>
        <c:idx val="382"/>
        <c:spPr>
          <a:solidFill>
            <a:schemeClr val="accent1"/>
          </a:solidFill>
          <a:ln>
            <a:noFill/>
          </a:ln>
          <a:effectLst>
            <a:outerShdw blurRad="254000" sx="102000" sy="102000" algn="ctr" rotWithShape="0">
              <a:prstClr val="black">
                <a:alpha val="20000"/>
              </a:prstClr>
            </a:outerShdw>
          </a:effectLst>
        </c:spPr>
      </c:pivotFmt>
      <c:pivotFmt>
        <c:idx val="383"/>
        <c:spPr>
          <a:solidFill>
            <a:schemeClr val="accent1"/>
          </a:solidFill>
          <a:ln>
            <a:noFill/>
          </a:ln>
          <a:effectLst>
            <a:outerShdw blurRad="254000" sx="102000" sy="102000" algn="ctr" rotWithShape="0">
              <a:prstClr val="black">
                <a:alpha val="20000"/>
              </a:prstClr>
            </a:outerShdw>
          </a:effectLst>
        </c:spPr>
      </c:pivotFmt>
      <c:pivotFmt>
        <c:idx val="384"/>
        <c:spPr>
          <a:solidFill>
            <a:schemeClr val="accent1"/>
          </a:solidFill>
          <a:ln>
            <a:noFill/>
          </a:ln>
          <a:effectLst>
            <a:outerShdw blurRad="254000" sx="102000" sy="102000" algn="ctr" rotWithShape="0">
              <a:prstClr val="black">
                <a:alpha val="20000"/>
              </a:prstClr>
            </a:outerShdw>
          </a:effectLst>
        </c:spPr>
      </c:pivotFmt>
      <c:pivotFmt>
        <c:idx val="385"/>
        <c:spPr>
          <a:solidFill>
            <a:schemeClr val="accent1"/>
          </a:solidFill>
          <a:ln>
            <a:noFill/>
          </a:ln>
          <a:effectLst>
            <a:outerShdw blurRad="254000" sx="102000" sy="102000" algn="ctr" rotWithShape="0">
              <a:prstClr val="black">
                <a:alpha val="20000"/>
              </a:prstClr>
            </a:outerShdw>
          </a:effectLst>
        </c:spPr>
      </c:pivotFmt>
      <c:pivotFmt>
        <c:idx val="386"/>
        <c:spPr>
          <a:solidFill>
            <a:schemeClr val="accent1"/>
          </a:solidFill>
          <a:ln>
            <a:noFill/>
          </a:ln>
          <a:effectLst>
            <a:outerShdw blurRad="254000" sx="102000" sy="102000" algn="ctr" rotWithShape="0">
              <a:prstClr val="black">
                <a:alpha val="20000"/>
              </a:prstClr>
            </a:outerShdw>
          </a:effectLst>
        </c:spPr>
      </c:pivotFmt>
      <c:pivotFmt>
        <c:idx val="387"/>
        <c:spPr>
          <a:solidFill>
            <a:schemeClr val="accent1"/>
          </a:solidFill>
          <a:ln>
            <a:noFill/>
          </a:ln>
          <a:effectLst>
            <a:outerShdw blurRad="254000" sx="102000" sy="102000" algn="ctr" rotWithShape="0">
              <a:prstClr val="black">
                <a:alpha val="20000"/>
              </a:prstClr>
            </a:outerShdw>
          </a:effectLst>
        </c:spPr>
      </c:pivotFmt>
      <c:pivotFmt>
        <c:idx val="388"/>
        <c:spPr>
          <a:solidFill>
            <a:schemeClr val="accent1"/>
          </a:solidFill>
          <a:ln>
            <a:noFill/>
          </a:ln>
          <a:effectLst>
            <a:outerShdw blurRad="254000" sx="102000" sy="102000" algn="ctr" rotWithShape="0">
              <a:prstClr val="black">
                <a:alpha val="20000"/>
              </a:prstClr>
            </a:outerShdw>
          </a:effectLst>
        </c:spPr>
      </c:pivotFmt>
      <c:pivotFmt>
        <c:idx val="389"/>
        <c:spPr>
          <a:solidFill>
            <a:schemeClr val="accent1"/>
          </a:solidFill>
          <a:ln>
            <a:noFill/>
          </a:ln>
          <a:effectLst>
            <a:outerShdw blurRad="254000" sx="102000" sy="102000" algn="ctr" rotWithShape="0">
              <a:prstClr val="black">
                <a:alpha val="20000"/>
              </a:prstClr>
            </a:outerShdw>
          </a:effectLst>
        </c:spPr>
      </c:pivotFmt>
      <c:pivotFmt>
        <c:idx val="390"/>
        <c:spPr>
          <a:solidFill>
            <a:schemeClr val="accent1"/>
          </a:solidFill>
          <a:ln>
            <a:noFill/>
          </a:ln>
          <a:effectLst>
            <a:outerShdw blurRad="254000" sx="102000" sy="102000" algn="ctr" rotWithShape="0">
              <a:prstClr val="black">
                <a:alpha val="20000"/>
              </a:prstClr>
            </a:outerShdw>
          </a:effectLst>
        </c:spPr>
      </c:pivotFmt>
      <c:pivotFmt>
        <c:idx val="391"/>
        <c:spPr>
          <a:solidFill>
            <a:schemeClr val="accent1"/>
          </a:solidFill>
          <a:ln>
            <a:noFill/>
          </a:ln>
          <a:effectLst>
            <a:outerShdw blurRad="254000" sx="102000" sy="102000" algn="ctr" rotWithShape="0">
              <a:prstClr val="black">
                <a:alpha val="20000"/>
              </a:prstClr>
            </a:outerShdw>
          </a:effectLst>
        </c:spPr>
      </c:pivotFmt>
      <c:pivotFmt>
        <c:idx val="392"/>
        <c:spPr>
          <a:solidFill>
            <a:schemeClr val="accent1"/>
          </a:solidFill>
          <a:ln>
            <a:noFill/>
          </a:ln>
          <a:effectLst>
            <a:outerShdw blurRad="254000" sx="102000" sy="102000" algn="ctr" rotWithShape="0">
              <a:prstClr val="black">
                <a:alpha val="20000"/>
              </a:prstClr>
            </a:outerShdw>
          </a:effectLst>
        </c:spPr>
      </c:pivotFmt>
      <c:pivotFmt>
        <c:idx val="393"/>
        <c:spPr>
          <a:solidFill>
            <a:schemeClr val="accent1"/>
          </a:solidFill>
          <a:ln>
            <a:noFill/>
          </a:ln>
          <a:effectLst>
            <a:outerShdw blurRad="254000" sx="102000" sy="102000" algn="ctr" rotWithShape="0">
              <a:prstClr val="black">
                <a:alpha val="20000"/>
              </a:prstClr>
            </a:outerShdw>
          </a:effectLst>
        </c:spPr>
      </c:pivotFmt>
      <c:pivotFmt>
        <c:idx val="394"/>
        <c:spPr>
          <a:solidFill>
            <a:schemeClr val="accent1"/>
          </a:solidFill>
          <a:ln>
            <a:noFill/>
          </a:ln>
          <a:effectLst>
            <a:outerShdw blurRad="254000" sx="102000" sy="102000" algn="ctr" rotWithShape="0">
              <a:prstClr val="black">
                <a:alpha val="20000"/>
              </a:prstClr>
            </a:outerShdw>
          </a:effectLst>
        </c:spPr>
      </c:pivotFmt>
      <c:pivotFmt>
        <c:idx val="395"/>
        <c:spPr>
          <a:solidFill>
            <a:schemeClr val="accent1"/>
          </a:solidFill>
          <a:ln>
            <a:noFill/>
          </a:ln>
          <a:effectLst>
            <a:outerShdw blurRad="254000" sx="102000" sy="102000" algn="ctr" rotWithShape="0">
              <a:prstClr val="black">
                <a:alpha val="20000"/>
              </a:prstClr>
            </a:outerShdw>
          </a:effectLst>
        </c:spPr>
      </c:pivotFmt>
      <c:pivotFmt>
        <c:idx val="396"/>
        <c:spPr>
          <a:solidFill>
            <a:schemeClr val="accent1"/>
          </a:solidFill>
          <a:ln>
            <a:noFill/>
          </a:ln>
          <a:effectLst>
            <a:outerShdw blurRad="254000" sx="102000" sy="102000" algn="ctr" rotWithShape="0">
              <a:prstClr val="black">
                <a:alpha val="20000"/>
              </a:prstClr>
            </a:outerShdw>
          </a:effectLst>
        </c:spPr>
      </c:pivotFmt>
      <c:pivotFmt>
        <c:idx val="397"/>
        <c:spPr>
          <a:solidFill>
            <a:schemeClr val="accent1"/>
          </a:solidFill>
          <a:ln>
            <a:noFill/>
          </a:ln>
          <a:effectLst>
            <a:outerShdw blurRad="254000" sx="102000" sy="102000" algn="ctr" rotWithShape="0">
              <a:prstClr val="black">
                <a:alpha val="20000"/>
              </a:prstClr>
            </a:outerShdw>
          </a:effectLst>
        </c:spPr>
      </c:pivotFmt>
      <c:pivotFmt>
        <c:idx val="398"/>
        <c:spPr>
          <a:solidFill>
            <a:schemeClr val="accent1"/>
          </a:solidFill>
          <a:ln>
            <a:noFill/>
          </a:ln>
          <a:effectLst>
            <a:outerShdw blurRad="254000" sx="102000" sy="102000" algn="ctr" rotWithShape="0">
              <a:prstClr val="black">
                <a:alpha val="20000"/>
              </a:prstClr>
            </a:outerShdw>
          </a:effectLst>
        </c:spPr>
      </c:pivotFmt>
      <c:pivotFmt>
        <c:idx val="399"/>
        <c:spPr>
          <a:solidFill>
            <a:schemeClr val="accent1"/>
          </a:solidFill>
          <a:ln>
            <a:noFill/>
          </a:ln>
          <a:effectLst>
            <a:outerShdw blurRad="254000" sx="102000" sy="102000" algn="ctr" rotWithShape="0">
              <a:prstClr val="black">
                <a:alpha val="20000"/>
              </a:prstClr>
            </a:outerShdw>
          </a:effectLst>
        </c:spPr>
      </c:pivotFmt>
      <c:pivotFmt>
        <c:idx val="400"/>
        <c:spPr>
          <a:solidFill>
            <a:schemeClr val="accent1"/>
          </a:solidFill>
          <a:ln>
            <a:noFill/>
          </a:ln>
          <a:effectLst>
            <a:outerShdw blurRad="254000" sx="102000" sy="102000" algn="ctr" rotWithShape="0">
              <a:prstClr val="black">
                <a:alpha val="20000"/>
              </a:prstClr>
            </a:outerShdw>
          </a:effectLst>
        </c:spPr>
      </c:pivotFmt>
      <c:pivotFmt>
        <c:idx val="401"/>
        <c:spPr>
          <a:solidFill>
            <a:schemeClr val="accent1"/>
          </a:solidFill>
          <a:ln>
            <a:noFill/>
          </a:ln>
          <a:effectLst>
            <a:outerShdw blurRad="254000" sx="102000" sy="102000" algn="ctr" rotWithShape="0">
              <a:prstClr val="black">
                <a:alpha val="20000"/>
              </a:prstClr>
            </a:outerShdw>
          </a:effectLst>
        </c:spPr>
      </c:pivotFmt>
      <c:pivotFmt>
        <c:idx val="402"/>
        <c:spPr>
          <a:solidFill>
            <a:schemeClr val="accent1"/>
          </a:solidFill>
          <a:ln>
            <a:noFill/>
          </a:ln>
          <a:effectLst>
            <a:outerShdw blurRad="254000" sx="102000" sy="102000" algn="ctr" rotWithShape="0">
              <a:prstClr val="black">
                <a:alpha val="20000"/>
              </a:prstClr>
            </a:outerShdw>
          </a:effectLst>
        </c:spPr>
      </c:pivotFmt>
      <c:pivotFmt>
        <c:idx val="403"/>
        <c:spPr>
          <a:solidFill>
            <a:schemeClr val="accent1"/>
          </a:solidFill>
          <a:ln>
            <a:noFill/>
          </a:ln>
          <a:effectLst>
            <a:outerShdw blurRad="254000" sx="102000" sy="102000" algn="ctr" rotWithShape="0">
              <a:prstClr val="black">
                <a:alpha val="20000"/>
              </a:prstClr>
            </a:outerShdw>
          </a:effectLst>
        </c:spPr>
      </c:pivotFmt>
      <c:pivotFmt>
        <c:idx val="404"/>
        <c:spPr>
          <a:solidFill>
            <a:schemeClr val="accent1"/>
          </a:solidFill>
          <a:ln>
            <a:noFill/>
          </a:ln>
          <a:effectLst>
            <a:outerShdw blurRad="254000" sx="102000" sy="102000" algn="ctr" rotWithShape="0">
              <a:prstClr val="black">
                <a:alpha val="20000"/>
              </a:prstClr>
            </a:outerShdw>
          </a:effectLst>
        </c:spPr>
      </c:pivotFmt>
      <c:pivotFmt>
        <c:idx val="405"/>
        <c:spPr>
          <a:solidFill>
            <a:schemeClr val="accent1"/>
          </a:solidFill>
          <a:ln>
            <a:noFill/>
          </a:ln>
          <a:effectLst>
            <a:outerShdw blurRad="254000" sx="102000" sy="102000" algn="ctr" rotWithShape="0">
              <a:prstClr val="black">
                <a:alpha val="20000"/>
              </a:prstClr>
            </a:outerShdw>
          </a:effectLst>
        </c:spPr>
      </c:pivotFmt>
      <c:pivotFmt>
        <c:idx val="406"/>
        <c:spPr>
          <a:solidFill>
            <a:schemeClr val="accent1"/>
          </a:solidFill>
          <a:ln>
            <a:noFill/>
          </a:ln>
          <a:effectLst>
            <a:outerShdw blurRad="254000" sx="102000" sy="102000" algn="ctr" rotWithShape="0">
              <a:prstClr val="black">
                <a:alpha val="20000"/>
              </a:prstClr>
            </a:outerShdw>
          </a:effectLst>
        </c:spPr>
      </c:pivotFmt>
      <c:pivotFmt>
        <c:idx val="407"/>
        <c:spPr>
          <a:solidFill>
            <a:schemeClr val="accent1"/>
          </a:solidFill>
          <a:ln>
            <a:noFill/>
          </a:ln>
          <a:effectLst>
            <a:outerShdw blurRad="254000" sx="102000" sy="102000" algn="ctr" rotWithShape="0">
              <a:prstClr val="black">
                <a:alpha val="20000"/>
              </a:prstClr>
            </a:outerShdw>
          </a:effectLst>
        </c:spPr>
      </c:pivotFmt>
      <c:pivotFmt>
        <c:idx val="408"/>
        <c:spPr>
          <a:solidFill>
            <a:schemeClr val="accent1"/>
          </a:solidFill>
          <a:ln>
            <a:noFill/>
          </a:ln>
          <a:effectLst>
            <a:outerShdw blurRad="254000" sx="102000" sy="102000" algn="ctr" rotWithShape="0">
              <a:prstClr val="black">
                <a:alpha val="20000"/>
              </a:prstClr>
            </a:outerShdw>
          </a:effectLst>
        </c:spPr>
      </c:pivotFmt>
      <c:pivotFmt>
        <c:idx val="409"/>
        <c:spPr>
          <a:solidFill>
            <a:schemeClr val="accent1"/>
          </a:solidFill>
          <a:ln>
            <a:noFill/>
          </a:ln>
          <a:effectLst>
            <a:outerShdw blurRad="254000" sx="102000" sy="102000" algn="ctr" rotWithShape="0">
              <a:prstClr val="black">
                <a:alpha val="20000"/>
              </a:prstClr>
            </a:outerShdw>
          </a:effectLst>
        </c:spPr>
      </c:pivotFmt>
      <c:pivotFmt>
        <c:idx val="410"/>
        <c:spPr>
          <a:solidFill>
            <a:schemeClr val="accent1"/>
          </a:solidFill>
          <a:ln>
            <a:noFill/>
          </a:ln>
          <a:effectLst>
            <a:outerShdw blurRad="254000" sx="102000" sy="102000" algn="ctr" rotWithShape="0">
              <a:prstClr val="black">
                <a:alpha val="20000"/>
              </a:prstClr>
            </a:outerShdw>
          </a:effectLst>
        </c:spPr>
      </c:pivotFmt>
      <c:pivotFmt>
        <c:idx val="411"/>
        <c:spPr>
          <a:solidFill>
            <a:schemeClr val="accent1"/>
          </a:solidFill>
          <a:ln>
            <a:noFill/>
          </a:ln>
          <a:effectLst>
            <a:outerShdw blurRad="254000" sx="102000" sy="102000" algn="ctr" rotWithShape="0">
              <a:prstClr val="black">
                <a:alpha val="20000"/>
              </a:prstClr>
            </a:outerShdw>
          </a:effectLst>
        </c:spPr>
      </c:pivotFmt>
      <c:pivotFmt>
        <c:idx val="412"/>
        <c:spPr>
          <a:solidFill>
            <a:schemeClr val="accent1"/>
          </a:solidFill>
          <a:ln>
            <a:noFill/>
          </a:ln>
          <a:effectLst>
            <a:outerShdw blurRad="254000" sx="102000" sy="102000" algn="ctr" rotWithShape="0">
              <a:prstClr val="black">
                <a:alpha val="20000"/>
              </a:prstClr>
            </a:outerShdw>
          </a:effectLst>
        </c:spPr>
      </c:pivotFmt>
      <c:pivotFmt>
        <c:idx val="413"/>
        <c:spPr>
          <a:solidFill>
            <a:schemeClr val="accent1"/>
          </a:solidFill>
          <a:ln>
            <a:noFill/>
          </a:ln>
          <a:effectLst>
            <a:outerShdw blurRad="254000" sx="102000" sy="102000" algn="ctr" rotWithShape="0">
              <a:prstClr val="black">
                <a:alpha val="20000"/>
              </a:prstClr>
            </a:outerShdw>
          </a:effectLst>
        </c:spPr>
      </c:pivotFmt>
      <c:pivotFmt>
        <c:idx val="414"/>
        <c:spPr>
          <a:solidFill>
            <a:schemeClr val="accent1"/>
          </a:solidFill>
          <a:ln>
            <a:noFill/>
          </a:ln>
          <a:effectLst>
            <a:outerShdw blurRad="254000" sx="102000" sy="102000" algn="ctr" rotWithShape="0">
              <a:prstClr val="black">
                <a:alpha val="20000"/>
              </a:prstClr>
            </a:outerShdw>
          </a:effectLst>
        </c:spPr>
      </c:pivotFmt>
      <c:pivotFmt>
        <c:idx val="415"/>
        <c:spPr>
          <a:solidFill>
            <a:schemeClr val="accent1"/>
          </a:solidFill>
          <a:ln>
            <a:noFill/>
          </a:ln>
          <a:effectLst>
            <a:outerShdw blurRad="254000" sx="102000" sy="102000" algn="ctr" rotWithShape="0">
              <a:prstClr val="black">
                <a:alpha val="20000"/>
              </a:prstClr>
            </a:outerShdw>
          </a:effectLst>
        </c:spPr>
      </c:pivotFmt>
      <c:pivotFmt>
        <c:idx val="416"/>
        <c:spPr>
          <a:solidFill>
            <a:schemeClr val="accent1"/>
          </a:solidFill>
          <a:ln>
            <a:noFill/>
          </a:ln>
          <a:effectLst>
            <a:outerShdw blurRad="254000" sx="102000" sy="102000" algn="ctr" rotWithShape="0">
              <a:prstClr val="black">
                <a:alpha val="20000"/>
              </a:prstClr>
            </a:outerShdw>
          </a:effectLst>
        </c:spPr>
      </c:pivotFmt>
      <c:pivotFmt>
        <c:idx val="417"/>
        <c:spPr>
          <a:solidFill>
            <a:schemeClr val="accent1"/>
          </a:solidFill>
          <a:ln>
            <a:noFill/>
          </a:ln>
          <a:effectLst>
            <a:outerShdw blurRad="254000" sx="102000" sy="102000" algn="ctr" rotWithShape="0">
              <a:prstClr val="black">
                <a:alpha val="20000"/>
              </a:prstClr>
            </a:outerShdw>
          </a:effectLst>
        </c:spPr>
      </c:pivotFmt>
      <c:pivotFmt>
        <c:idx val="418"/>
        <c:spPr>
          <a:solidFill>
            <a:schemeClr val="accent1"/>
          </a:solidFill>
          <a:ln>
            <a:noFill/>
          </a:ln>
          <a:effectLst>
            <a:outerShdw blurRad="254000" sx="102000" sy="102000" algn="ctr" rotWithShape="0">
              <a:prstClr val="black">
                <a:alpha val="20000"/>
              </a:prstClr>
            </a:outerShdw>
          </a:effectLst>
        </c:spPr>
      </c:pivotFmt>
      <c:pivotFmt>
        <c:idx val="419"/>
        <c:spPr>
          <a:solidFill>
            <a:schemeClr val="accent1"/>
          </a:solidFill>
          <a:ln>
            <a:noFill/>
          </a:ln>
          <a:effectLst>
            <a:outerShdw blurRad="254000" sx="102000" sy="102000" algn="ctr" rotWithShape="0">
              <a:prstClr val="black">
                <a:alpha val="20000"/>
              </a:prstClr>
            </a:outerShdw>
          </a:effectLst>
        </c:spPr>
      </c:pivotFmt>
      <c:pivotFmt>
        <c:idx val="420"/>
        <c:spPr>
          <a:solidFill>
            <a:schemeClr val="accent1"/>
          </a:solidFill>
          <a:ln>
            <a:noFill/>
          </a:ln>
          <a:effectLst>
            <a:outerShdw blurRad="254000" sx="102000" sy="102000" algn="ctr" rotWithShape="0">
              <a:prstClr val="black">
                <a:alpha val="20000"/>
              </a:prstClr>
            </a:outerShdw>
          </a:effectLst>
        </c:spPr>
      </c:pivotFmt>
      <c:pivotFmt>
        <c:idx val="421"/>
        <c:spPr>
          <a:solidFill>
            <a:schemeClr val="accent1"/>
          </a:solidFill>
          <a:ln>
            <a:noFill/>
          </a:ln>
          <a:effectLst>
            <a:outerShdw blurRad="254000" sx="102000" sy="102000" algn="ctr" rotWithShape="0">
              <a:prstClr val="black">
                <a:alpha val="20000"/>
              </a:prstClr>
            </a:outerShdw>
          </a:effectLst>
        </c:spPr>
      </c:pivotFmt>
      <c:pivotFmt>
        <c:idx val="422"/>
        <c:spPr>
          <a:solidFill>
            <a:schemeClr val="accent1"/>
          </a:solidFill>
          <a:ln>
            <a:noFill/>
          </a:ln>
          <a:effectLst>
            <a:outerShdw blurRad="254000" sx="102000" sy="102000" algn="ctr" rotWithShape="0">
              <a:prstClr val="black">
                <a:alpha val="20000"/>
              </a:prstClr>
            </a:outerShdw>
          </a:effectLst>
        </c:spPr>
      </c:pivotFmt>
      <c:pivotFmt>
        <c:idx val="423"/>
        <c:spPr>
          <a:solidFill>
            <a:schemeClr val="accent1"/>
          </a:solidFill>
          <a:ln>
            <a:noFill/>
          </a:ln>
          <a:effectLst>
            <a:outerShdw blurRad="254000" sx="102000" sy="102000" algn="ctr" rotWithShape="0">
              <a:prstClr val="black">
                <a:alpha val="20000"/>
              </a:prstClr>
            </a:outerShdw>
          </a:effectLst>
        </c:spPr>
      </c:pivotFmt>
      <c:pivotFmt>
        <c:idx val="424"/>
        <c:spPr>
          <a:solidFill>
            <a:schemeClr val="accent1"/>
          </a:solidFill>
          <a:ln>
            <a:noFill/>
          </a:ln>
          <a:effectLst>
            <a:outerShdw blurRad="254000" sx="102000" sy="102000" algn="ctr" rotWithShape="0">
              <a:prstClr val="black">
                <a:alpha val="20000"/>
              </a:prstClr>
            </a:outerShdw>
          </a:effectLst>
        </c:spPr>
      </c:pivotFmt>
      <c:pivotFmt>
        <c:idx val="425"/>
        <c:spPr>
          <a:solidFill>
            <a:schemeClr val="accent1"/>
          </a:solidFill>
          <a:ln>
            <a:noFill/>
          </a:ln>
          <a:effectLst>
            <a:outerShdw blurRad="254000" sx="102000" sy="102000" algn="ctr" rotWithShape="0">
              <a:prstClr val="black">
                <a:alpha val="20000"/>
              </a:prstClr>
            </a:outerShdw>
          </a:effectLst>
        </c:spPr>
      </c:pivotFmt>
      <c:pivotFmt>
        <c:idx val="426"/>
        <c:spPr>
          <a:solidFill>
            <a:schemeClr val="accent1"/>
          </a:solidFill>
          <a:ln>
            <a:noFill/>
          </a:ln>
          <a:effectLst>
            <a:outerShdw blurRad="254000" sx="102000" sy="102000" algn="ctr" rotWithShape="0">
              <a:prstClr val="black">
                <a:alpha val="20000"/>
              </a:prstClr>
            </a:outerShdw>
          </a:effectLst>
        </c:spPr>
      </c:pivotFmt>
      <c:pivotFmt>
        <c:idx val="427"/>
        <c:spPr>
          <a:solidFill>
            <a:schemeClr val="accent1"/>
          </a:solidFill>
          <a:ln>
            <a:noFill/>
          </a:ln>
          <a:effectLst>
            <a:outerShdw blurRad="254000" sx="102000" sy="102000" algn="ctr" rotWithShape="0">
              <a:prstClr val="black">
                <a:alpha val="20000"/>
              </a:prstClr>
            </a:outerShdw>
          </a:effectLst>
        </c:spPr>
      </c:pivotFmt>
      <c:pivotFmt>
        <c:idx val="428"/>
        <c:spPr>
          <a:solidFill>
            <a:schemeClr val="accent1"/>
          </a:solidFill>
          <a:ln>
            <a:noFill/>
          </a:ln>
          <a:effectLst>
            <a:outerShdw blurRad="254000" sx="102000" sy="102000" algn="ctr" rotWithShape="0">
              <a:prstClr val="black">
                <a:alpha val="20000"/>
              </a:prstClr>
            </a:outerShdw>
          </a:effectLst>
        </c:spPr>
      </c:pivotFmt>
      <c:pivotFmt>
        <c:idx val="429"/>
        <c:spPr>
          <a:solidFill>
            <a:schemeClr val="accent1"/>
          </a:solidFill>
          <a:ln>
            <a:noFill/>
          </a:ln>
          <a:effectLst>
            <a:outerShdw blurRad="254000" sx="102000" sy="102000" algn="ctr" rotWithShape="0">
              <a:prstClr val="black">
                <a:alpha val="20000"/>
              </a:prstClr>
            </a:outerShdw>
          </a:effectLst>
        </c:spPr>
      </c:pivotFmt>
      <c:pivotFmt>
        <c:idx val="430"/>
        <c:spPr>
          <a:solidFill>
            <a:schemeClr val="accent1"/>
          </a:solidFill>
          <a:ln>
            <a:noFill/>
          </a:ln>
          <a:effectLst>
            <a:outerShdw blurRad="254000" sx="102000" sy="102000" algn="ctr" rotWithShape="0">
              <a:prstClr val="black">
                <a:alpha val="20000"/>
              </a:prstClr>
            </a:outerShdw>
          </a:effectLst>
        </c:spPr>
      </c:pivotFmt>
      <c:pivotFmt>
        <c:idx val="431"/>
        <c:spPr>
          <a:solidFill>
            <a:schemeClr val="accent1"/>
          </a:solidFill>
          <a:ln>
            <a:noFill/>
          </a:ln>
          <a:effectLst>
            <a:outerShdw blurRad="254000" sx="102000" sy="102000" algn="ctr" rotWithShape="0">
              <a:prstClr val="black">
                <a:alpha val="20000"/>
              </a:prstClr>
            </a:outerShdw>
          </a:effectLst>
        </c:spPr>
      </c:pivotFmt>
      <c:pivotFmt>
        <c:idx val="432"/>
        <c:spPr>
          <a:solidFill>
            <a:schemeClr val="accent1"/>
          </a:solidFill>
          <a:ln>
            <a:noFill/>
          </a:ln>
          <a:effectLst>
            <a:outerShdw blurRad="254000" sx="102000" sy="102000" algn="ctr" rotWithShape="0">
              <a:prstClr val="black">
                <a:alpha val="20000"/>
              </a:prstClr>
            </a:outerShdw>
          </a:effectLst>
        </c:spPr>
      </c:pivotFmt>
      <c:pivotFmt>
        <c:idx val="433"/>
        <c:spPr>
          <a:solidFill>
            <a:schemeClr val="accent1"/>
          </a:solidFill>
          <a:ln>
            <a:noFill/>
          </a:ln>
          <a:effectLst>
            <a:outerShdw blurRad="254000" sx="102000" sy="102000" algn="ctr" rotWithShape="0">
              <a:prstClr val="black">
                <a:alpha val="20000"/>
              </a:prstClr>
            </a:outerShdw>
          </a:effectLst>
        </c:spPr>
      </c:pivotFmt>
      <c:pivotFmt>
        <c:idx val="434"/>
        <c:spPr>
          <a:solidFill>
            <a:schemeClr val="accent1"/>
          </a:solidFill>
          <a:ln>
            <a:noFill/>
          </a:ln>
          <a:effectLst>
            <a:outerShdw blurRad="254000" sx="102000" sy="102000" algn="ctr" rotWithShape="0">
              <a:prstClr val="black">
                <a:alpha val="20000"/>
              </a:prstClr>
            </a:outerShdw>
          </a:effectLst>
        </c:spPr>
      </c:pivotFmt>
      <c:pivotFmt>
        <c:idx val="435"/>
        <c:spPr>
          <a:solidFill>
            <a:schemeClr val="accent1"/>
          </a:solidFill>
          <a:ln>
            <a:noFill/>
          </a:ln>
          <a:effectLst>
            <a:outerShdw blurRad="254000" sx="102000" sy="102000" algn="ctr" rotWithShape="0">
              <a:prstClr val="black">
                <a:alpha val="20000"/>
              </a:prstClr>
            </a:outerShdw>
          </a:effectLst>
        </c:spPr>
      </c:pivotFmt>
      <c:pivotFmt>
        <c:idx val="436"/>
        <c:spPr>
          <a:solidFill>
            <a:schemeClr val="accent1"/>
          </a:solidFill>
          <a:ln>
            <a:noFill/>
          </a:ln>
          <a:effectLst>
            <a:outerShdw blurRad="254000" sx="102000" sy="102000" algn="ctr" rotWithShape="0">
              <a:prstClr val="black">
                <a:alpha val="20000"/>
              </a:prstClr>
            </a:outerShdw>
          </a:effectLst>
        </c:spPr>
      </c:pivotFmt>
      <c:pivotFmt>
        <c:idx val="437"/>
        <c:spPr>
          <a:solidFill>
            <a:schemeClr val="accent1"/>
          </a:solidFill>
          <a:ln>
            <a:noFill/>
          </a:ln>
          <a:effectLst>
            <a:outerShdw blurRad="254000" sx="102000" sy="102000" algn="ctr" rotWithShape="0">
              <a:prstClr val="black">
                <a:alpha val="20000"/>
              </a:prstClr>
            </a:outerShdw>
          </a:effectLst>
        </c:spPr>
      </c:pivotFmt>
      <c:pivotFmt>
        <c:idx val="438"/>
        <c:spPr>
          <a:solidFill>
            <a:schemeClr val="accent1"/>
          </a:solidFill>
          <a:ln>
            <a:noFill/>
          </a:ln>
          <a:effectLst>
            <a:outerShdw blurRad="254000" sx="102000" sy="102000" algn="ctr" rotWithShape="0">
              <a:prstClr val="black">
                <a:alpha val="20000"/>
              </a:prstClr>
            </a:outerShdw>
          </a:effectLst>
        </c:spPr>
      </c:pivotFmt>
      <c:pivotFmt>
        <c:idx val="439"/>
        <c:spPr>
          <a:solidFill>
            <a:schemeClr val="accent1"/>
          </a:solidFill>
          <a:ln>
            <a:noFill/>
          </a:ln>
          <a:effectLst>
            <a:outerShdw blurRad="254000" sx="102000" sy="102000" algn="ctr" rotWithShape="0">
              <a:prstClr val="black">
                <a:alpha val="20000"/>
              </a:prstClr>
            </a:outerShdw>
          </a:effectLst>
        </c:spPr>
      </c:pivotFmt>
      <c:pivotFmt>
        <c:idx val="440"/>
        <c:spPr>
          <a:solidFill>
            <a:schemeClr val="accent1"/>
          </a:solidFill>
          <a:ln>
            <a:noFill/>
          </a:ln>
          <a:effectLst>
            <a:outerShdw blurRad="254000" sx="102000" sy="102000" algn="ctr" rotWithShape="0">
              <a:prstClr val="black">
                <a:alpha val="20000"/>
              </a:prstClr>
            </a:outerShdw>
          </a:effectLst>
        </c:spPr>
      </c:pivotFmt>
      <c:pivotFmt>
        <c:idx val="441"/>
        <c:spPr>
          <a:solidFill>
            <a:schemeClr val="accent1"/>
          </a:solidFill>
          <a:ln>
            <a:noFill/>
          </a:ln>
          <a:effectLst>
            <a:outerShdw blurRad="254000" sx="102000" sy="102000" algn="ctr" rotWithShape="0">
              <a:prstClr val="black">
                <a:alpha val="20000"/>
              </a:prstClr>
            </a:outerShdw>
          </a:effectLst>
        </c:spPr>
      </c:pivotFmt>
      <c:pivotFmt>
        <c:idx val="442"/>
        <c:spPr>
          <a:solidFill>
            <a:schemeClr val="accent1"/>
          </a:solidFill>
          <a:ln>
            <a:noFill/>
          </a:ln>
          <a:effectLst>
            <a:outerShdw blurRad="254000" sx="102000" sy="102000" algn="ctr" rotWithShape="0">
              <a:prstClr val="black">
                <a:alpha val="20000"/>
              </a:prstClr>
            </a:outerShdw>
          </a:effectLst>
        </c:spPr>
      </c:pivotFmt>
      <c:pivotFmt>
        <c:idx val="443"/>
        <c:spPr>
          <a:solidFill>
            <a:schemeClr val="accent1"/>
          </a:solidFill>
          <a:ln>
            <a:noFill/>
          </a:ln>
          <a:effectLst>
            <a:outerShdw blurRad="254000" sx="102000" sy="102000" algn="ctr" rotWithShape="0">
              <a:prstClr val="black">
                <a:alpha val="20000"/>
              </a:prstClr>
            </a:outerShdw>
          </a:effectLst>
        </c:spPr>
      </c:pivotFmt>
      <c:pivotFmt>
        <c:idx val="444"/>
        <c:spPr>
          <a:solidFill>
            <a:schemeClr val="accent1"/>
          </a:solidFill>
          <a:ln>
            <a:noFill/>
          </a:ln>
          <a:effectLst>
            <a:outerShdw blurRad="254000" sx="102000" sy="102000" algn="ctr" rotWithShape="0">
              <a:prstClr val="black">
                <a:alpha val="20000"/>
              </a:prstClr>
            </a:outerShdw>
          </a:effectLst>
        </c:spPr>
      </c:pivotFmt>
      <c:pivotFmt>
        <c:idx val="445"/>
        <c:spPr>
          <a:solidFill>
            <a:schemeClr val="accent1"/>
          </a:solidFill>
          <a:ln>
            <a:noFill/>
          </a:ln>
          <a:effectLst>
            <a:outerShdw blurRad="254000" sx="102000" sy="102000" algn="ctr" rotWithShape="0">
              <a:prstClr val="black">
                <a:alpha val="20000"/>
              </a:prstClr>
            </a:outerShdw>
          </a:effectLst>
        </c:spPr>
      </c:pivotFmt>
      <c:pivotFmt>
        <c:idx val="446"/>
        <c:spPr>
          <a:solidFill>
            <a:schemeClr val="accent1"/>
          </a:solidFill>
          <a:ln>
            <a:noFill/>
          </a:ln>
          <a:effectLst>
            <a:outerShdw blurRad="254000" sx="102000" sy="102000" algn="ctr" rotWithShape="0">
              <a:prstClr val="black">
                <a:alpha val="20000"/>
              </a:prstClr>
            </a:outerShdw>
          </a:effectLst>
        </c:spPr>
      </c:pivotFmt>
      <c:pivotFmt>
        <c:idx val="447"/>
        <c:spPr>
          <a:solidFill>
            <a:schemeClr val="accent1"/>
          </a:solidFill>
          <a:ln>
            <a:noFill/>
          </a:ln>
          <a:effectLst>
            <a:outerShdw blurRad="254000" sx="102000" sy="102000" algn="ctr" rotWithShape="0">
              <a:prstClr val="black">
                <a:alpha val="20000"/>
              </a:prstClr>
            </a:outerShdw>
          </a:effectLst>
        </c:spPr>
      </c:pivotFmt>
      <c:pivotFmt>
        <c:idx val="448"/>
        <c:spPr>
          <a:solidFill>
            <a:schemeClr val="accent1"/>
          </a:solidFill>
          <a:ln>
            <a:noFill/>
          </a:ln>
          <a:effectLst>
            <a:outerShdw blurRad="254000" sx="102000" sy="102000" algn="ctr" rotWithShape="0">
              <a:prstClr val="black">
                <a:alpha val="20000"/>
              </a:prstClr>
            </a:outerShdw>
          </a:effectLst>
        </c:spPr>
      </c:pivotFmt>
      <c:pivotFmt>
        <c:idx val="449"/>
        <c:spPr>
          <a:solidFill>
            <a:schemeClr val="accent1"/>
          </a:solidFill>
          <a:ln>
            <a:noFill/>
          </a:ln>
          <a:effectLst>
            <a:outerShdw blurRad="254000" sx="102000" sy="102000" algn="ctr" rotWithShape="0">
              <a:prstClr val="black">
                <a:alpha val="20000"/>
              </a:prstClr>
            </a:outerShdw>
          </a:effectLst>
        </c:spPr>
      </c:pivotFmt>
      <c:pivotFmt>
        <c:idx val="450"/>
        <c:spPr>
          <a:solidFill>
            <a:schemeClr val="accent1"/>
          </a:solidFill>
          <a:ln>
            <a:noFill/>
          </a:ln>
          <a:effectLst>
            <a:outerShdw blurRad="254000" sx="102000" sy="102000" algn="ctr" rotWithShape="0">
              <a:prstClr val="black">
                <a:alpha val="20000"/>
              </a:prstClr>
            </a:outerShdw>
          </a:effectLst>
        </c:spPr>
      </c:pivotFmt>
      <c:pivotFmt>
        <c:idx val="451"/>
        <c:spPr>
          <a:solidFill>
            <a:schemeClr val="accent1"/>
          </a:solidFill>
          <a:ln>
            <a:noFill/>
          </a:ln>
          <a:effectLst>
            <a:outerShdw blurRad="254000" sx="102000" sy="102000" algn="ctr" rotWithShape="0">
              <a:prstClr val="black">
                <a:alpha val="20000"/>
              </a:prstClr>
            </a:outerShdw>
          </a:effectLst>
        </c:spPr>
      </c:pivotFmt>
      <c:pivotFmt>
        <c:idx val="452"/>
        <c:spPr>
          <a:solidFill>
            <a:schemeClr val="accent1"/>
          </a:solidFill>
          <a:ln>
            <a:noFill/>
          </a:ln>
          <a:effectLst>
            <a:outerShdw blurRad="254000" sx="102000" sy="102000" algn="ctr" rotWithShape="0">
              <a:prstClr val="black">
                <a:alpha val="20000"/>
              </a:prstClr>
            </a:outerShdw>
          </a:effectLst>
        </c:spPr>
      </c:pivotFmt>
      <c:pivotFmt>
        <c:idx val="453"/>
        <c:spPr>
          <a:solidFill>
            <a:schemeClr val="accent1"/>
          </a:solidFill>
          <a:ln>
            <a:noFill/>
          </a:ln>
          <a:effectLst>
            <a:outerShdw blurRad="254000" sx="102000" sy="102000" algn="ctr" rotWithShape="0">
              <a:prstClr val="black">
                <a:alpha val="20000"/>
              </a:prstClr>
            </a:outerShdw>
          </a:effectLst>
        </c:spPr>
      </c:pivotFmt>
      <c:pivotFmt>
        <c:idx val="454"/>
        <c:spPr>
          <a:solidFill>
            <a:schemeClr val="accent1"/>
          </a:solidFill>
          <a:ln>
            <a:noFill/>
          </a:ln>
          <a:effectLst>
            <a:outerShdw blurRad="254000" sx="102000" sy="102000" algn="ctr" rotWithShape="0">
              <a:prstClr val="black">
                <a:alpha val="20000"/>
              </a:prstClr>
            </a:outerShdw>
          </a:effectLst>
        </c:spPr>
      </c:pivotFmt>
      <c:pivotFmt>
        <c:idx val="455"/>
        <c:spPr>
          <a:solidFill>
            <a:schemeClr val="accent1"/>
          </a:solidFill>
          <a:ln>
            <a:noFill/>
          </a:ln>
          <a:effectLst>
            <a:outerShdw blurRad="254000" sx="102000" sy="102000" algn="ctr" rotWithShape="0">
              <a:prstClr val="black">
                <a:alpha val="20000"/>
              </a:prstClr>
            </a:outerShdw>
          </a:effectLst>
        </c:spPr>
      </c:pivotFmt>
      <c:pivotFmt>
        <c:idx val="456"/>
        <c:spPr>
          <a:solidFill>
            <a:schemeClr val="accent1"/>
          </a:solidFill>
          <a:ln>
            <a:noFill/>
          </a:ln>
          <a:effectLst>
            <a:outerShdw blurRad="254000" sx="102000" sy="102000" algn="ctr" rotWithShape="0">
              <a:prstClr val="black">
                <a:alpha val="20000"/>
              </a:prstClr>
            </a:outerShdw>
          </a:effectLst>
        </c:spPr>
      </c:pivotFmt>
      <c:pivotFmt>
        <c:idx val="457"/>
        <c:spPr>
          <a:solidFill>
            <a:schemeClr val="accent1"/>
          </a:solidFill>
          <a:ln>
            <a:noFill/>
          </a:ln>
          <a:effectLst>
            <a:outerShdw blurRad="254000" sx="102000" sy="102000" algn="ctr" rotWithShape="0">
              <a:prstClr val="black">
                <a:alpha val="20000"/>
              </a:prstClr>
            </a:outerShdw>
          </a:effectLst>
        </c:spPr>
      </c:pivotFmt>
      <c:pivotFmt>
        <c:idx val="458"/>
        <c:spPr>
          <a:solidFill>
            <a:schemeClr val="accent1"/>
          </a:solidFill>
          <a:ln>
            <a:noFill/>
          </a:ln>
          <a:effectLst>
            <a:outerShdw blurRad="254000" sx="102000" sy="102000" algn="ctr" rotWithShape="0">
              <a:prstClr val="black">
                <a:alpha val="20000"/>
              </a:prstClr>
            </a:outerShdw>
          </a:effectLst>
        </c:spPr>
      </c:pivotFmt>
      <c:pivotFmt>
        <c:idx val="459"/>
        <c:spPr>
          <a:solidFill>
            <a:schemeClr val="accent1"/>
          </a:solidFill>
          <a:ln>
            <a:noFill/>
          </a:ln>
          <a:effectLst>
            <a:outerShdw blurRad="254000" sx="102000" sy="102000" algn="ctr" rotWithShape="0">
              <a:prstClr val="black">
                <a:alpha val="20000"/>
              </a:prstClr>
            </a:outerShdw>
          </a:effectLst>
        </c:spPr>
      </c:pivotFmt>
      <c:pivotFmt>
        <c:idx val="460"/>
        <c:spPr>
          <a:solidFill>
            <a:schemeClr val="accent1"/>
          </a:solidFill>
          <a:ln>
            <a:noFill/>
          </a:ln>
          <a:effectLst>
            <a:outerShdw blurRad="254000" sx="102000" sy="102000" algn="ctr" rotWithShape="0">
              <a:prstClr val="black">
                <a:alpha val="20000"/>
              </a:prstClr>
            </a:outerShdw>
          </a:effectLst>
        </c:spPr>
      </c:pivotFmt>
      <c:pivotFmt>
        <c:idx val="461"/>
        <c:spPr>
          <a:solidFill>
            <a:schemeClr val="accent1"/>
          </a:solidFill>
          <a:ln>
            <a:noFill/>
          </a:ln>
          <a:effectLst>
            <a:outerShdw blurRad="254000" sx="102000" sy="102000" algn="ctr" rotWithShape="0">
              <a:prstClr val="black">
                <a:alpha val="20000"/>
              </a:prstClr>
            </a:outerShdw>
          </a:effectLst>
        </c:spPr>
      </c:pivotFmt>
      <c:pivotFmt>
        <c:idx val="462"/>
        <c:spPr>
          <a:solidFill>
            <a:schemeClr val="accent1"/>
          </a:solidFill>
          <a:ln>
            <a:noFill/>
          </a:ln>
          <a:effectLst>
            <a:outerShdw blurRad="254000" sx="102000" sy="102000" algn="ctr" rotWithShape="0">
              <a:prstClr val="black">
                <a:alpha val="20000"/>
              </a:prstClr>
            </a:outerShdw>
          </a:effectLst>
        </c:spPr>
      </c:pivotFmt>
      <c:pivotFmt>
        <c:idx val="463"/>
        <c:spPr>
          <a:solidFill>
            <a:schemeClr val="accent1"/>
          </a:solidFill>
          <a:ln>
            <a:noFill/>
          </a:ln>
          <a:effectLst>
            <a:outerShdw blurRad="254000" sx="102000" sy="102000" algn="ctr" rotWithShape="0">
              <a:prstClr val="black">
                <a:alpha val="20000"/>
              </a:prstClr>
            </a:outerShdw>
          </a:effectLst>
        </c:spPr>
      </c:pivotFmt>
      <c:pivotFmt>
        <c:idx val="464"/>
        <c:spPr>
          <a:solidFill>
            <a:schemeClr val="accent1"/>
          </a:solidFill>
          <a:ln>
            <a:noFill/>
          </a:ln>
          <a:effectLst>
            <a:outerShdw blurRad="254000" sx="102000" sy="102000" algn="ctr" rotWithShape="0">
              <a:prstClr val="black">
                <a:alpha val="20000"/>
              </a:prstClr>
            </a:outerShdw>
          </a:effectLst>
        </c:spPr>
      </c:pivotFmt>
      <c:pivotFmt>
        <c:idx val="465"/>
        <c:spPr>
          <a:solidFill>
            <a:schemeClr val="accent1"/>
          </a:solidFill>
          <a:ln>
            <a:noFill/>
          </a:ln>
          <a:effectLst>
            <a:outerShdw blurRad="254000" sx="102000" sy="102000" algn="ctr" rotWithShape="0">
              <a:prstClr val="black">
                <a:alpha val="20000"/>
              </a:prstClr>
            </a:outerShdw>
          </a:effectLst>
        </c:spPr>
      </c:pivotFmt>
      <c:pivotFmt>
        <c:idx val="466"/>
        <c:spPr>
          <a:solidFill>
            <a:schemeClr val="accent1"/>
          </a:solidFill>
          <a:ln>
            <a:noFill/>
          </a:ln>
          <a:effectLst>
            <a:outerShdw blurRad="254000" sx="102000" sy="102000" algn="ctr" rotWithShape="0">
              <a:prstClr val="black">
                <a:alpha val="20000"/>
              </a:prstClr>
            </a:outerShdw>
          </a:effectLst>
        </c:spPr>
      </c:pivotFmt>
      <c:pivotFmt>
        <c:idx val="467"/>
        <c:spPr>
          <a:solidFill>
            <a:schemeClr val="accent1"/>
          </a:solidFill>
          <a:ln>
            <a:noFill/>
          </a:ln>
          <a:effectLst>
            <a:outerShdw blurRad="254000" sx="102000" sy="102000" algn="ctr" rotWithShape="0">
              <a:prstClr val="black">
                <a:alpha val="20000"/>
              </a:prstClr>
            </a:outerShdw>
          </a:effectLst>
        </c:spPr>
      </c:pivotFmt>
      <c:pivotFmt>
        <c:idx val="468"/>
        <c:spPr>
          <a:solidFill>
            <a:schemeClr val="accent1"/>
          </a:solidFill>
          <a:ln>
            <a:noFill/>
          </a:ln>
          <a:effectLst>
            <a:outerShdw blurRad="254000" sx="102000" sy="102000" algn="ctr" rotWithShape="0">
              <a:prstClr val="black">
                <a:alpha val="20000"/>
              </a:prstClr>
            </a:outerShdw>
          </a:effectLst>
        </c:spPr>
      </c:pivotFmt>
      <c:pivotFmt>
        <c:idx val="469"/>
        <c:spPr>
          <a:solidFill>
            <a:schemeClr val="accent1"/>
          </a:solidFill>
          <a:ln>
            <a:noFill/>
          </a:ln>
          <a:effectLst>
            <a:outerShdw blurRad="254000" sx="102000" sy="102000" algn="ctr" rotWithShape="0">
              <a:prstClr val="black">
                <a:alpha val="20000"/>
              </a:prstClr>
            </a:outerShdw>
          </a:effectLst>
        </c:spPr>
      </c:pivotFmt>
      <c:pivotFmt>
        <c:idx val="470"/>
        <c:spPr>
          <a:solidFill>
            <a:schemeClr val="accent1"/>
          </a:solidFill>
          <a:ln>
            <a:noFill/>
          </a:ln>
          <a:effectLst>
            <a:outerShdw blurRad="254000" sx="102000" sy="102000" algn="ctr" rotWithShape="0">
              <a:prstClr val="black">
                <a:alpha val="20000"/>
              </a:prstClr>
            </a:outerShdw>
          </a:effectLst>
        </c:spPr>
      </c:pivotFmt>
      <c:pivotFmt>
        <c:idx val="471"/>
        <c:spPr>
          <a:solidFill>
            <a:schemeClr val="accent1"/>
          </a:solidFill>
          <a:ln>
            <a:noFill/>
          </a:ln>
          <a:effectLst>
            <a:outerShdw blurRad="254000" sx="102000" sy="102000" algn="ctr" rotWithShape="0">
              <a:prstClr val="black">
                <a:alpha val="20000"/>
              </a:prstClr>
            </a:outerShdw>
          </a:effectLst>
        </c:spPr>
      </c:pivotFmt>
      <c:pivotFmt>
        <c:idx val="472"/>
        <c:spPr>
          <a:solidFill>
            <a:schemeClr val="accent1"/>
          </a:solidFill>
          <a:ln>
            <a:noFill/>
          </a:ln>
          <a:effectLst>
            <a:outerShdw blurRad="254000" sx="102000" sy="102000" algn="ctr" rotWithShape="0">
              <a:prstClr val="black">
                <a:alpha val="20000"/>
              </a:prstClr>
            </a:outerShdw>
          </a:effectLst>
        </c:spPr>
      </c:pivotFmt>
      <c:pivotFmt>
        <c:idx val="473"/>
        <c:spPr>
          <a:solidFill>
            <a:schemeClr val="accent1"/>
          </a:solidFill>
          <a:ln>
            <a:noFill/>
          </a:ln>
          <a:effectLst>
            <a:outerShdw blurRad="254000" sx="102000" sy="102000" algn="ctr" rotWithShape="0">
              <a:prstClr val="black">
                <a:alpha val="20000"/>
              </a:prstClr>
            </a:outerShdw>
          </a:effectLst>
        </c:spPr>
      </c:pivotFmt>
      <c:pivotFmt>
        <c:idx val="474"/>
        <c:spPr>
          <a:solidFill>
            <a:schemeClr val="accent1"/>
          </a:solidFill>
          <a:ln>
            <a:noFill/>
          </a:ln>
          <a:effectLst>
            <a:outerShdw blurRad="254000" sx="102000" sy="102000" algn="ctr" rotWithShape="0">
              <a:prstClr val="black">
                <a:alpha val="20000"/>
              </a:prstClr>
            </a:outerShdw>
          </a:effectLst>
        </c:spPr>
      </c:pivotFmt>
      <c:pivotFmt>
        <c:idx val="475"/>
        <c:spPr>
          <a:solidFill>
            <a:schemeClr val="accent1"/>
          </a:solidFill>
          <a:ln>
            <a:noFill/>
          </a:ln>
          <a:effectLst>
            <a:outerShdw blurRad="254000" sx="102000" sy="102000" algn="ctr" rotWithShape="0">
              <a:prstClr val="black">
                <a:alpha val="20000"/>
              </a:prstClr>
            </a:outerShdw>
          </a:effectLst>
        </c:spPr>
      </c:pivotFmt>
      <c:pivotFmt>
        <c:idx val="476"/>
        <c:spPr>
          <a:solidFill>
            <a:schemeClr val="accent1"/>
          </a:solidFill>
          <a:ln>
            <a:noFill/>
          </a:ln>
          <a:effectLst>
            <a:outerShdw blurRad="254000" sx="102000" sy="102000" algn="ctr" rotWithShape="0">
              <a:prstClr val="black">
                <a:alpha val="20000"/>
              </a:prstClr>
            </a:outerShdw>
          </a:effectLst>
        </c:spPr>
      </c:pivotFmt>
      <c:pivotFmt>
        <c:idx val="477"/>
        <c:spPr>
          <a:solidFill>
            <a:schemeClr val="accent1"/>
          </a:solidFill>
          <a:ln>
            <a:noFill/>
          </a:ln>
          <a:effectLst>
            <a:outerShdw blurRad="254000" sx="102000" sy="102000" algn="ctr" rotWithShape="0">
              <a:prstClr val="black">
                <a:alpha val="20000"/>
              </a:prstClr>
            </a:outerShdw>
          </a:effectLst>
        </c:spPr>
      </c:pivotFmt>
      <c:pivotFmt>
        <c:idx val="478"/>
        <c:spPr>
          <a:solidFill>
            <a:schemeClr val="accent1"/>
          </a:solidFill>
          <a:ln>
            <a:noFill/>
          </a:ln>
          <a:effectLst>
            <a:outerShdw blurRad="254000" sx="102000" sy="102000" algn="ctr" rotWithShape="0">
              <a:prstClr val="black">
                <a:alpha val="20000"/>
              </a:prstClr>
            </a:outerShdw>
          </a:effectLst>
        </c:spPr>
      </c:pivotFmt>
      <c:pivotFmt>
        <c:idx val="479"/>
        <c:spPr>
          <a:solidFill>
            <a:schemeClr val="accent1"/>
          </a:solidFill>
          <a:ln>
            <a:noFill/>
          </a:ln>
          <a:effectLst>
            <a:outerShdw blurRad="254000" sx="102000" sy="102000" algn="ctr" rotWithShape="0">
              <a:prstClr val="black">
                <a:alpha val="20000"/>
              </a:prstClr>
            </a:outerShdw>
          </a:effectLst>
        </c:spPr>
      </c:pivotFmt>
      <c:pivotFmt>
        <c:idx val="480"/>
        <c:spPr>
          <a:solidFill>
            <a:schemeClr val="accent1"/>
          </a:solidFill>
          <a:ln>
            <a:noFill/>
          </a:ln>
          <a:effectLst>
            <a:outerShdw blurRad="254000" sx="102000" sy="102000" algn="ctr" rotWithShape="0">
              <a:prstClr val="black">
                <a:alpha val="20000"/>
              </a:prstClr>
            </a:outerShdw>
          </a:effectLst>
        </c:spPr>
      </c:pivotFmt>
      <c:pivotFmt>
        <c:idx val="481"/>
        <c:spPr>
          <a:solidFill>
            <a:schemeClr val="accent1"/>
          </a:solidFill>
          <a:ln>
            <a:noFill/>
          </a:ln>
          <a:effectLst>
            <a:outerShdw blurRad="254000" sx="102000" sy="102000" algn="ctr" rotWithShape="0">
              <a:prstClr val="black">
                <a:alpha val="20000"/>
              </a:prstClr>
            </a:outerShdw>
          </a:effectLst>
        </c:spPr>
      </c:pivotFmt>
      <c:pivotFmt>
        <c:idx val="482"/>
        <c:spPr>
          <a:solidFill>
            <a:schemeClr val="accent1"/>
          </a:solidFill>
          <a:ln>
            <a:noFill/>
          </a:ln>
          <a:effectLst>
            <a:outerShdw blurRad="254000" sx="102000" sy="102000" algn="ctr" rotWithShape="0">
              <a:prstClr val="black">
                <a:alpha val="20000"/>
              </a:prstClr>
            </a:outerShdw>
          </a:effectLst>
        </c:spPr>
      </c:pivotFmt>
      <c:pivotFmt>
        <c:idx val="483"/>
        <c:spPr>
          <a:solidFill>
            <a:schemeClr val="accent1"/>
          </a:solidFill>
          <a:ln>
            <a:noFill/>
          </a:ln>
          <a:effectLst>
            <a:outerShdw blurRad="254000" sx="102000" sy="102000" algn="ctr" rotWithShape="0">
              <a:prstClr val="black">
                <a:alpha val="20000"/>
              </a:prstClr>
            </a:outerShdw>
          </a:effectLst>
        </c:spPr>
      </c:pivotFmt>
      <c:pivotFmt>
        <c:idx val="484"/>
        <c:spPr>
          <a:solidFill>
            <a:schemeClr val="accent1"/>
          </a:solidFill>
          <a:ln>
            <a:noFill/>
          </a:ln>
          <a:effectLst>
            <a:outerShdw blurRad="254000" sx="102000" sy="102000" algn="ctr" rotWithShape="0">
              <a:prstClr val="black">
                <a:alpha val="20000"/>
              </a:prstClr>
            </a:outerShdw>
          </a:effectLst>
        </c:spPr>
      </c:pivotFmt>
      <c:pivotFmt>
        <c:idx val="485"/>
        <c:spPr>
          <a:solidFill>
            <a:schemeClr val="accent1"/>
          </a:solidFill>
          <a:ln>
            <a:noFill/>
          </a:ln>
          <a:effectLst>
            <a:outerShdw blurRad="254000" sx="102000" sy="102000" algn="ctr" rotWithShape="0">
              <a:prstClr val="black">
                <a:alpha val="20000"/>
              </a:prstClr>
            </a:outerShdw>
          </a:effectLst>
        </c:spPr>
      </c:pivotFmt>
      <c:pivotFmt>
        <c:idx val="486"/>
        <c:spPr>
          <a:solidFill>
            <a:schemeClr val="accent1"/>
          </a:solidFill>
          <a:ln>
            <a:noFill/>
          </a:ln>
          <a:effectLst>
            <a:outerShdw blurRad="254000" sx="102000" sy="102000" algn="ctr" rotWithShape="0">
              <a:prstClr val="black">
                <a:alpha val="20000"/>
              </a:prstClr>
            </a:outerShdw>
          </a:effectLst>
        </c:spPr>
      </c:pivotFmt>
      <c:pivotFmt>
        <c:idx val="487"/>
        <c:spPr>
          <a:solidFill>
            <a:schemeClr val="accent1"/>
          </a:solidFill>
          <a:ln>
            <a:noFill/>
          </a:ln>
          <a:effectLst>
            <a:outerShdw blurRad="254000" sx="102000" sy="102000" algn="ctr" rotWithShape="0">
              <a:prstClr val="black">
                <a:alpha val="20000"/>
              </a:prstClr>
            </a:outerShdw>
          </a:effectLst>
        </c:spPr>
      </c:pivotFmt>
      <c:pivotFmt>
        <c:idx val="488"/>
        <c:spPr>
          <a:solidFill>
            <a:schemeClr val="accent1"/>
          </a:solidFill>
          <a:ln>
            <a:noFill/>
          </a:ln>
          <a:effectLst>
            <a:outerShdw blurRad="254000" sx="102000" sy="102000" algn="ctr" rotWithShape="0">
              <a:prstClr val="black">
                <a:alpha val="20000"/>
              </a:prstClr>
            </a:outerShdw>
          </a:effectLst>
        </c:spPr>
      </c:pivotFmt>
      <c:pivotFmt>
        <c:idx val="489"/>
        <c:spPr>
          <a:solidFill>
            <a:schemeClr val="accent1"/>
          </a:solidFill>
          <a:ln>
            <a:noFill/>
          </a:ln>
          <a:effectLst>
            <a:outerShdw blurRad="254000" sx="102000" sy="102000" algn="ctr" rotWithShape="0">
              <a:prstClr val="black">
                <a:alpha val="20000"/>
              </a:prstClr>
            </a:outerShdw>
          </a:effectLst>
        </c:spPr>
      </c:pivotFmt>
      <c:pivotFmt>
        <c:idx val="490"/>
        <c:spPr>
          <a:solidFill>
            <a:schemeClr val="accent1"/>
          </a:solidFill>
          <a:ln>
            <a:noFill/>
          </a:ln>
          <a:effectLst>
            <a:outerShdw blurRad="254000" sx="102000" sy="102000" algn="ctr" rotWithShape="0">
              <a:prstClr val="black">
                <a:alpha val="20000"/>
              </a:prstClr>
            </a:outerShdw>
          </a:effectLst>
        </c:spPr>
      </c:pivotFmt>
      <c:pivotFmt>
        <c:idx val="491"/>
        <c:spPr>
          <a:solidFill>
            <a:schemeClr val="accent1"/>
          </a:solidFill>
          <a:ln>
            <a:noFill/>
          </a:ln>
          <a:effectLst>
            <a:outerShdw blurRad="254000" sx="102000" sy="102000" algn="ctr" rotWithShape="0">
              <a:prstClr val="black">
                <a:alpha val="20000"/>
              </a:prstClr>
            </a:outerShdw>
          </a:effectLst>
        </c:spPr>
      </c:pivotFmt>
      <c:pivotFmt>
        <c:idx val="492"/>
        <c:spPr>
          <a:solidFill>
            <a:schemeClr val="accent1"/>
          </a:solidFill>
          <a:ln>
            <a:noFill/>
          </a:ln>
          <a:effectLst>
            <a:outerShdw blurRad="254000" sx="102000" sy="102000" algn="ctr" rotWithShape="0">
              <a:prstClr val="black">
                <a:alpha val="20000"/>
              </a:prstClr>
            </a:outerShdw>
          </a:effectLst>
        </c:spPr>
      </c:pivotFmt>
      <c:pivotFmt>
        <c:idx val="493"/>
        <c:spPr>
          <a:solidFill>
            <a:schemeClr val="accent1"/>
          </a:solidFill>
          <a:ln>
            <a:noFill/>
          </a:ln>
          <a:effectLst>
            <a:outerShdw blurRad="254000" sx="102000" sy="102000" algn="ctr" rotWithShape="0">
              <a:prstClr val="black">
                <a:alpha val="20000"/>
              </a:prstClr>
            </a:outerShdw>
          </a:effectLst>
        </c:spPr>
      </c:pivotFmt>
      <c:pivotFmt>
        <c:idx val="494"/>
        <c:spPr>
          <a:solidFill>
            <a:schemeClr val="accent1"/>
          </a:solidFill>
          <a:ln>
            <a:noFill/>
          </a:ln>
          <a:effectLst>
            <a:outerShdw blurRad="254000" sx="102000" sy="102000" algn="ctr" rotWithShape="0">
              <a:prstClr val="black">
                <a:alpha val="20000"/>
              </a:prstClr>
            </a:outerShdw>
          </a:effectLst>
        </c:spPr>
      </c:pivotFmt>
      <c:pivotFmt>
        <c:idx val="495"/>
        <c:spPr>
          <a:solidFill>
            <a:schemeClr val="accent1"/>
          </a:solidFill>
          <a:ln>
            <a:noFill/>
          </a:ln>
          <a:effectLst>
            <a:outerShdw blurRad="254000" sx="102000" sy="102000" algn="ctr" rotWithShape="0">
              <a:prstClr val="black">
                <a:alpha val="20000"/>
              </a:prstClr>
            </a:outerShdw>
          </a:effectLst>
        </c:spPr>
      </c:pivotFmt>
      <c:pivotFmt>
        <c:idx val="496"/>
        <c:spPr>
          <a:solidFill>
            <a:schemeClr val="accent1"/>
          </a:solidFill>
          <a:ln>
            <a:noFill/>
          </a:ln>
          <a:effectLst>
            <a:outerShdw blurRad="254000" sx="102000" sy="102000" algn="ctr" rotWithShape="0">
              <a:prstClr val="black">
                <a:alpha val="20000"/>
              </a:prstClr>
            </a:outerShdw>
          </a:effectLst>
        </c:spPr>
      </c:pivotFmt>
      <c:pivotFmt>
        <c:idx val="497"/>
        <c:spPr>
          <a:solidFill>
            <a:schemeClr val="accent1"/>
          </a:solidFill>
          <a:ln>
            <a:noFill/>
          </a:ln>
          <a:effectLst>
            <a:outerShdw blurRad="254000" sx="102000" sy="102000" algn="ctr" rotWithShape="0">
              <a:prstClr val="black">
                <a:alpha val="20000"/>
              </a:prstClr>
            </a:outerShdw>
          </a:effectLst>
        </c:spPr>
      </c:pivotFmt>
      <c:pivotFmt>
        <c:idx val="498"/>
        <c:spPr>
          <a:solidFill>
            <a:schemeClr val="accent1"/>
          </a:solidFill>
          <a:ln>
            <a:noFill/>
          </a:ln>
          <a:effectLst>
            <a:outerShdw blurRad="254000" sx="102000" sy="102000" algn="ctr" rotWithShape="0">
              <a:prstClr val="black">
                <a:alpha val="20000"/>
              </a:prstClr>
            </a:outerShdw>
          </a:effectLst>
        </c:spPr>
      </c:pivotFmt>
      <c:pivotFmt>
        <c:idx val="499"/>
        <c:spPr>
          <a:solidFill>
            <a:schemeClr val="accent1"/>
          </a:solidFill>
          <a:ln>
            <a:noFill/>
          </a:ln>
          <a:effectLst>
            <a:outerShdw blurRad="254000" sx="102000" sy="102000" algn="ctr" rotWithShape="0">
              <a:prstClr val="black">
                <a:alpha val="20000"/>
              </a:prstClr>
            </a:outerShdw>
          </a:effectLst>
        </c:spPr>
      </c:pivotFmt>
      <c:pivotFmt>
        <c:idx val="500"/>
        <c:spPr>
          <a:solidFill>
            <a:schemeClr val="accent1"/>
          </a:solidFill>
          <a:ln>
            <a:noFill/>
          </a:ln>
          <a:effectLst>
            <a:outerShdw blurRad="254000" sx="102000" sy="102000" algn="ctr" rotWithShape="0">
              <a:prstClr val="black">
                <a:alpha val="20000"/>
              </a:prstClr>
            </a:outerShdw>
          </a:effectLst>
        </c:spPr>
      </c:pivotFmt>
      <c:pivotFmt>
        <c:idx val="501"/>
        <c:spPr>
          <a:solidFill>
            <a:schemeClr val="accent1"/>
          </a:solidFill>
          <a:ln>
            <a:noFill/>
          </a:ln>
          <a:effectLst>
            <a:outerShdw blurRad="254000" sx="102000" sy="102000" algn="ctr" rotWithShape="0">
              <a:prstClr val="black">
                <a:alpha val="20000"/>
              </a:prstClr>
            </a:outerShdw>
          </a:effectLst>
        </c:spPr>
      </c:pivotFmt>
      <c:pivotFmt>
        <c:idx val="502"/>
        <c:spPr>
          <a:solidFill>
            <a:schemeClr val="accent1"/>
          </a:solidFill>
          <a:ln>
            <a:noFill/>
          </a:ln>
          <a:effectLst>
            <a:outerShdw blurRad="254000" sx="102000" sy="102000" algn="ctr" rotWithShape="0">
              <a:prstClr val="black">
                <a:alpha val="20000"/>
              </a:prstClr>
            </a:outerShdw>
          </a:effectLst>
        </c:spPr>
      </c:pivotFmt>
      <c:pivotFmt>
        <c:idx val="503"/>
        <c:spPr>
          <a:solidFill>
            <a:schemeClr val="accent1"/>
          </a:solidFill>
          <a:ln>
            <a:noFill/>
          </a:ln>
          <a:effectLst>
            <a:outerShdw blurRad="254000" sx="102000" sy="102000" algn="ctr" rotWithShape="0">
              <a:prstClr val="black">
                <a:alpha val="20000"/>
              </a:prstClr>
            </a:outerShdw>
          </a:effectLst>
        </c:spPr>
      </c:pivotFmt>
      <c:pivotFmt>
        <c:idx val="504"/>
        <c:spPr>
          <a:solidFill>
            <a:schemeClr val="accent1"/>
          </a:solidFill>
          <a:ln>
            <a:noFill/>
          </a:ln>
          <a:effectLst>
            <a:outerShdw blurRad="254000" sx="102000" sy="102000" algn="ctr" rotWithShape="0">
              <a:prstClr val="black">
                <a:alpha val="20000"/>
              </a:prstClr>
            </a:outerShdw>
          </a:effectLst>
        </c:spPr>
      </c:pivotFmt>
      <c:pivotFmt>
        <c:idx val="505"/>
        <c:spPr>
          <a:solidFill>
            <a:schemeClr val="accent1"/>
          </a:solidFill>
          <a:ln>
            <a:noFill/>
          </a:ln>
          <a:effectLst>
            <a:outerShdw blurRad="254000" sx="102000" sy="102000" algn="ctr" rotWithShape="0">
              <a:prstClr val="black">
                <a:alpha val="20000"/>
              </a:prstClr>
            </a:outerShdw>
          </a:effectLst>
        </c:spPr>
      </c:pivotFmt>
      <c:pivotFmt>
        <c:idx val="506"/>
        <c:spPr>
          <a:solidFill>
            <a:schemeClr val="accent1"/>
          </a:solidFill>
          <a:ln>
            <a:noFill/>
          </a:ln>
          <a:effectLst>
            <a:outerShdw blurRad="254000" sx="102000" sy="102000" algn="ctr" rotWithShape="0">
              <a:prstClr val="black">
                <a:alpha val="20000"/>
              </a:prstClr>
            </a:outerShdw>
          </a:effectLst>
        </c:spPr>
      </c:pivotFmt>
      <c:pivotFmt>
        <c:idx val="507"/>
        <c:spPr>
          <a:solidFill>
            <a:schemeClr val="accent1"/>
          </a:solidFill>
          <a:ln>
            <a:noFill/>
          </a:ln>
          <a:effectLst>
            <a:outerShdw blurRad="254000" sx="102000" sy="102000" algn="ctr" rotWithShape="0">
              <a:prstClr val="black">
                <a:alpha val="20000"/>
              </a:prstClr>
            </a:outerShdw>
          </a:effectLst>
        </c:spPr>
      </c:pivotFmt>
      <c:pivotFmt>
        <c:idx val="508"/>
        <c:spPr>
          <a:solidFill>
            <a:schemeClr val="accent1"/>
          </a:solidFill>
          <a:ln>
            <a:noFill/>
          </a:ln>
          <a:effectLst>
            <a:outerShdw blurRad="254000" sx="102000" sy="102000" algn="ctr" rotWithShape="0">
              <a:prstClr val="black">
                <a:alpha val="20000"/>
              </a:prstClr>
            </a:outerShdw>
          </a:effectLst>
        </c:spPr>
      </c:pivotFmt>
      <c:pivotFmt>
        <c:idx val="509"/>
        <c:spPr>
          <a:solidFill>
            <a:schemeClr val="accent1"/>
          </a:solidFill>
          <a:ln>
            <a:noFill/>
          </a:ln>
          <a:effectLst>
            <a:outerShdw blurRad="254000" sx="102000" sy="102000" algn="ctr" rotWithShape="0">
              <a:prstClr val="black">
                <a:alpha val="20000"/>
              </a:prstClr>
            </a:outerShdw>
          </a:effectLst>
        </c:spPr>
      </c:pivotFmt>
      <c:pivotFmt>
        <c:idx val="510"/>
        <c:spPr>
          <a:solidFill>
            <a:schemeClr val="accent1"/>
          </a:solidFill>
          <a:ln>
            <a:noFill/>
          </a:ln>
          <a:effectLst>
            <a:outerShdw blurRad="254000" sx="102000" sy="102000" algn="ctr" rotWithShape="0">
              <a:prstClr val="black">
                <a:alpha val="20000"/>
              </a:prstClr>
            </a:outerShdw>
          </a:effectLst>
        </c:spPr>
      </c:pivotFmt>
      <c:pivotFmt>
        <c:idx val="511"/>
        <c:spPr>
          <a:solidFill>
            <a:schemeClr val="accent1"/>
          </a:solidFill>
          <a:ln>
            <a:noFill/>
          </a:ln>
          <a:effectLst>
            <a:outerShdw blurRad="254000" sx="102000" sy="102000" algn="ctr" rotWithShape="0">
              <a:prstClr val="black">
                <a:alpha val="20000"/>
              </a:prstClr>
            </a:outerShdw>
          </a:effectLst>
        </c:spPr>
      </c:pivotFmt>
      <c:pivotFmt>
        <c:idx val="512"/>
        <c:spPr>
          <a:solidFill>
            <a:schemeClr val="accent1"/>
          </a:solidFill>
          <a:ln>
            <a:noFill/>
          </a:ln>
          <a:effectLst>
            <a:outerShdw blurRad="254000" sx="102000" sy="102000" algn="ctr" rotWithShape="0">
              <a:prstClr val="black">
                <a:alpha val="20000"/>
              </a:prstClr>
            </a:outerShdw>
          </a:effectLst>
        </c:spPr>
      </c:pivotFmt>
      <c:pivotFmt>
        <c:idx val="513"/>
        <c:spPr>
          <a:solidFill>
            <a:schemeClr val="accent1"/>
          </a:solidFill>
          <a:ln>
            <a:noFill/>
          </a:ln>
          <a:effectLst>
            <a:outerShdw blurRad="254000" sx="102000" sy="102000" algn="ctr" rotWithShape="0">
              <a:prstClr val="black">
                <a:alpha val="20000"/>
              </a:prstClr>
            </a:outerShdw>
          </a:effectLst>
        </c:spPr>
      </c:pivotFmt>
      <c:pivotFmt>
        <c:idx val="514"/>
        <c:spPr>
          <a:solidFill>
            <a:schemeClr val="accent1"/>
          </a:solidFill>
          <a:ln>
            <a:noFill/>
          </a:ln>
          <a:effectLst>
            <a:outerShdw blurRad="254000" sx="102000" sy="102000" algn="ctr" rotWithShape="0">
              <a:prstClr val="black">
                <a:alpha val="20000"/>
              </a:prstClr>
            </a:outerShdw>
          </a:effectLst>
        </c:spPr>
      </c:pivotFmt>
      <c:pivotFmt>
        <c:idx val="515"/>
        <c:spPr>
          <a:solidFill>
            <a:schemeClr val="accent1"/>
          </a:solidFill>
          <a:ln>
            <a:noFill/>
          </a:ln>
          <a:effectLst>
            <a:outerShdw blurRad="254000" sx="102000" sy="102000" algn="ctr" rotWithShape="0">
              <a:prstClr val="black">
                <a:alpha val="20000"/>
              </a:prstClr>
            </a:outerShdw>
          </a:effectLst>
        </c:spPr>
      </c:pivotFmt>
      <c:pivotFmt>
        <c:idx val="516"/>
        <c:spPr>
          <a:solidFill>
            <a:schemeClr val="accent1"/>
          </a:solidFill>
          <a:ln>
            <a:noFill/>
          </a:ln>
          <a:effectLst>
            <a:outerShdw blurRad="254000" sx="102000" sy="102000" algn="ctr" rotWithShape="0">
              <a:prstClr val="black">
                <a:alpha val="20000"/>
              </a:prstClr>
            </a:outerShdw>
          </a:effectLst>
        </c:spPr>
      </c:pivotFmt>
      <c:pivotFmt>
        <c:idx val="517"/>
        <c:spPr>
          <a:solidFill>
            <a:schemeClr val="accent1"/>
          </a:solidFill>
          <a:ln>
            <a:noFill/>
          </a:ln>
          <a:effectLst>
            <a:outerShdw blurRad="254000" sx="102000" sy="102000" algn="ctr" rotWithShape="0">
              <a:prstClr val="black">
                <a:alpha val="20000"/>
              </a:prstClr>
            </a:outerShdw>
          </a:effectLst>
        </c:spPr>
      </c:pivotFmt>
      <c:pivotFmt>
        <c:idx val="518"/>
        <c:spPr>
          <a:solidFill>
            <a:schemeClr val="accent1"/>
          </a:solidFill>
          <a:ln>
            <a:noFill/>
          </a:ln>
          <a:effectLst>
            <a:outerShdw blurRad="254000" sx="102000" sy="102000" algn="ctr" rotWithShape="0">
              <a:prstClr val="black">
                <a:alpha val="20000"/>
              </a:prstClr>
            </a:outerShdw>
          </a:effectLst>
        </c:spPr>
      </c:pivotFmt>
      <c:pivotFmt>
        <c:idx val="519"/>
        <c:spPr>
          <a:solidFill>
            <a:schemeClr val="accent1"/>
          </a:solidFill>
          <a:ln>
            <a:noFill/>
          </a:ln>
          <a:effectLst>
            <a:outerShdw blurRad="254000" sx="102000" sy="102000" algn="ctr" rotWithShape="0">
              <a:prstClr val="black">
                <a:alpha val="20000"/>
              </a:prstClr>
            </a:outerShdw>
          </a:effectLst>
        </c:spPr>
      </c:pivotFmt>
      <c:pivotFmt>
        <c:idx val="520"/>
        <c:spPr>
          <a:solidFill>
            <a:schemeClr val="accent1"/>
          </a:solidFill>
          <a:ln>
            <a:noFill/>
          </a:ln>
          <a:effectLst>
            <a:outerShdw blurRad="254000" sx="102000" sy="102000" algn="ctr" rotWithShape="0">
              <a:prstClr val="black">
                <a:alpha val="20000"/>
              </a:prstClr>
            </a:outerShdw>
          </a:effectLst>
        </c:spPr>
      </c:pivotFmt>
      <c:pivotFmt>
        <c:idx val="521"/>
        <c:spPr>
          <a:solidFill>
            <a:schemeClr val="accent1"/>
          </a:solidFill>
          <a:ln>
            <a:noFill/>
          </a:ln>
          <a:effectLst>
            <a:outerShdw blurRad="254000" sx="102000" sy="102000" algn="ctr" rotWithShape="0">
              <a:prstClr val="black">
                <a:alpha val="20000"/>
              </a:prstClr>
            </a:outerShdw>
          </a:effectLst>
        </c:spPr>
      </c:pivotFmt>
      <c:pivotFmt>
        <c:idx val="522"/>
        <c:spPr>
          <a:solidFill>
            <a:schemeClr val="accent1"/>
          </a:solidFill>
          <a:ln>
            <a:noFill/>
          </a:ln>
          <a:effectLst>
            <a:outerShdw blurRad="254000" sx="102000" sy="102000" algn="ctr" rotWithShape="0">
              <a:prstClr val="black">
                <a:alpha val="20000"/>
              </a:prstClr>
            </a:outerShdw>
          </a:effectLst>
        </c:spPr>
      </c:pivotFmt>
      <c:pivotFmt>
        <c:idx val="523"/>
        <c:spPr>
          <a:solidFill>
            <a:schemeClr val="accent1"/>
          </a:solidFill>
          <a:ln>
            <a:noFill/>
          </a:ln>
          <a:effectLst>
            <a:outerShdw blurRad="254000" sx="102000" sy="102000" algn="ctr" rotWithShape="0">
              <a:prstClr val="black">
                <a:alpha val="20000"/>
              </a:prstClr>
            </a:outerShdw>
          </a:effectLst>
        </c:spPr>
      </c:pivotFmt>
      <c:pivotFmt>
        <c:idx val="524"/>
        <c:spPr>
          <a:solidFill>
            <a:schemeClr val="accent1"/>
          </a:solidFill>
          <a:ln>
            <a:noFill/>
          </a:ln>
          <a:effectLst>
            <a:outerShdw blurRad="254000" sx="102000" sy="102000" algn="ctr" rotWithShape="0">
              <a:prstClr val="black">
                <a:alpha val="20000"/>
              </a:prstClr>
            </a:outerShdw>
          </a:effectLst>
        </c:spPr>
      </c:pivotFmt>
      <c:pivotFmt>
        <c:idx val="525"/>
        <c:spPr>
          <a:solidFill>
            <a:schemeClr val="accent1"/>
          </a:solidFill>
          <a:ln>
            <a:noFill/>
          </a:ln>
          <a:effectLst>
            <a:outerShdw blurRad="254000" sx="102000" sy="102000" algn="ctr" rotWithShape="0">
              <a:prstClr val="black">
                <a:alpha val="20000"/>
              </a:prstClr>
            </a:outerShdw>
          </a:effectLst>
        </c:spPr>
      </c:pivotFmt>
      <c:pivotFmt>
        <c:idx val="526"/>
        <c:spPr>
          <a:solidFill>
            <a:schemeClr val="accent1"/>
          </a:solidFill>
          <a:ln>
            <a:noFill/>
          </a:ln>
          <a:effectLst>
            <a:outerShdw blurRad="254000" sx="102000" sy="102000" algn="ctr" rotWithShape="0">
              <a:prstClr val="black">
                <a:alpha val="20000"/>
              </a:prstClr>
            </a:outerShdw>
          </a:effectLst>
        </c:spPr>
      </c:pivotFmt>
      <c:pivotFmt>
        <c:idx val="527"/>
        <c:spPr>
          <a:solidFill>
            <a:schemeClr val="accent1"/>
          </a:solidFill>
          <a:ln>
            <a:noFill/>
          </a:ln>
          <a:effectLst>
            <a:outerShdw blurRad="254000" sx="102000" sy="102000" algn="ctr" rotWithShape="0">
              <a:prstClr val="black">
                <a:alpha val="20000"/>
              </a:prstClr>
            </a:outerShdw>
          </a:effectLst>
        </c:spPr>
      </c:pivotFmt>
      <c:pivotFmt>
        <c:idx val="528"/>
        <c:spPr>
          <a:solidFill>
            <a:schemeClr val="accent1"/>
          </a:solidFill>
          <a:ln>
            <a:noFill/>
          </a:ln>
          <a:effectLst>
            <a:outerShdw blurRad="254000" sx="102000" sy="102000" algn="ctr" rotWithShape="0">
              <a:prstClr val="black">
                <a:alpha val="20000"/>
              </a:prstClr>
            </a:outerShdw>
          </a:effectLst>
        </c:spPr>
      </c:pivotFmt>
      <c:pivotFmt>
        <c:idx val="529"/>
        <c:spPr>
          <a:solidFill>
            <a:schemeClr val="accent1"/>
          </a:solidFill>
          <a:ln>
            <a:noFill/>
          </a:ln>
          <a:effectLst>
            <a:outerShdw blurRad="254000" sx="102000" sy="102000" algn="ctr" rotWithShape="0">
              <a:prstClr val="black">
                <a:alpha val="20000"/>
              </a:prstClr>
            </a:outerShdw>
          </a:effectLst>
        </c:spPr>
      </c:pivotFmt>
      <c:pivotFmt>
        <c:idx val="530"/>
        <c:spPr>
          <a:solidFill>
            <a:schemeClr val="accent1"/>
          </a:solidFill>
          <a:ln>
            <a:noFill/>
          </a:ln>
          <a:effectLst>
            <a:outerShdw blurRad="254000" sx="102000" sy="102000" algn="ctr" rotWithShape="0">
              <a:prstClr val="black">
                <a:alpha val="20000"/>
              </a:prstClr>
            </a:outerShdw>
          </a:effectLst>
        </c:spPr>
      </c:pivotFmt>
      <c:pivotFmt>
        <c:idx val="531"/>
        <c:spPr>
          <a:solidFill>
            <a:schemeClr val="accent1"/>
          </a:solidFill>
          <a:ln>
            <a:noFill/>
          </a:ln>
          <a:effectLst>
            <a:outerShdw blurRad="254000" sx="102000" sy="102000" algn="ctr" rotWithShape="0">
              <a:prstClr val="black">
                <a:alpha val="20000"/>
              </a:prstClr>
            </a:outerShdw>
          </a:effectLst>
        </c:spPr>
      </c:pivotFmt>
      <c:pivotFmt>
        <c:idx val="532"/>
        <c:spPr>
          <a:solidFill>
            <a:schemeClr val="accent1"/>
          </a:solidFill>
          <a:ln>
            <a:noFill/>
          </a:ln>
          <a:effectLst>
            <a:outerShdw blurRad="254000" sx="102000" sy="102000" algn="ctr" rotWithShape="0">
              <a:prstClr val="black">
                <a:alpha val="20000"/>
              </a:prstClr>
            </a:outerShdw>
          </a:effectLst>
        </c:spPr>
      </c:pivotFmt>
      <c:pivotFmt>
        <c:idx val="533"/>
        <c:spPr>
          <a:solidFill>
            <a:schemeClr val="accent1"/>
          </a:solidFill>
          <a:ln>
            <a:noFill/>
          </a:ln>
          <a:effectLst>
            <a:outerShdw blurRad="254000" sx="102000" sy="102000" algn="ctr" rotWithShape="0">
              <a:prstClr val="black">
                <a:alpha val="20000"/>
              </a:prstClr>
            </a:outerShdw>
          </a:effectLst>
        </c:spPr>
      </c:pivotFmt>
      <c:pivotFmt>
        <c:idx val="534"/>
        <c:spPr>
          <a:solidFill>
            <a:schemeClr val="accent1"/>
          </a:solidFill>
          <a:ln>
            <a:noFill/>
          </a:ln>
          <a:effectLst>
            <a:outerShdw blurRad="254000" sx="102000" sy="102000" algn="ctr" rotWithShape="0">
              <a:prstClr val="black">
                <a:alpha val="20000"/>
              </a:prstClr>
            </a:outerShdw>
          </a:effectLst>
        </c:spPr>
      </c:pivotFmt>
      <c:pivotFmt>
        <c:idx val="535"/>
        <c:spPr>
          <a:solidFill>
            <a:schemeClr val="accent1"/>
          </a:solidFill>
          <a:ln>
            <a:noFill/>
          </a:ln>
          <a:effectLst>
            <a:outerShdw blurRad="254000" sx="102000" sy="102000" algn="ctr" rotWithShape="0">
              <a:prstClr val="black">
                <a:alpha val="20000"/>
              </a:prstClr>
            </a:outerShdw>
          </a:effectLst>
        </c:spPr>
      </c:pivotFmt>
      <c:pivotFmt>
        <c:idx val="536"/>
        <c:spPr>
          <a:solidFill>
            <a:schemeClr val="accent1"/>
          </a:solidFill>
          <a:ln>
            <a:noFill/>
          </a:ln>
          <a:effectLst>
            <a:outerShdw blurRad="254000" sx="102000" sy="102000" algn="ctr" rotWithShape="0">
              <a:prstClr val="black">
                <a:alpha val="20000"/>
              </a:prstClr>
            </a:outerShdw>
          </a:effectLst>
        </c:spPr>
      </c:pivotFmt>
      <c:pivotFmt>
        <c:idx val="537"/>
        <c:spPr>
          <a:solidFill>
            <a:schemeClr val="accent1"/>
          </a:solidFill>
          <a:ln>
            <a:noFill/>
          </a:ln>
          <a:effectLst>
            <a:outerShdw blurRad="254000" sx="102000" sy="102000" algn="ctr" rotWithShape="0">
              <a:prstClr val="black">
                <a:alpha val="20000"/>
              </a:prstClr>
            </a:outerShdw>
          </a:effectLst>
        </c:spPr>
      </c:pivotFmt>
      <c:pivotFmt>
        <c:idx val="538"/>
        <c:spPr>
          <a:solidFill>
            <a:schemeClr val="accent1"/>
          </a:solidFill>
          <a:ln>
            <a:noFill/>
          </a:ln>
          <a:effectLst>
            <a:outerShdw blurRad="254000" sx="102000" sy="102000" algn="ctr" rotWithShape="0">
              <a:prstClr val="black">
                <a:alpha val="20000"/>
              </a:prstClr>
            </a:outerShdw>
          </a:effectLst>
        </c:spPr>
      </c:pivotFmt>
      <c:pivotFmt>
        <c:idx val="539"/>
        <c:spPr>
          <a:solidFill>
            <a:schemeClr val="accent1"/>
          </a:solidFill>
          <a:ln>
            <a:noFill/>
          </a:ln>
          <a:effectLst>
            <a:outerShdw blurRad="254000" sx="102000" sy="102000" algn="ctr" rotWithShape="0">
              <a:prstClr val="black">
                <a:alpha val="20000"/>
              </a:prstClr>
            </a:outerShdw>
          </a:effectLst>
        </c:spPr>
      </c:pivotFmt>
      <c:pivotFmt>
        <c:idx val="540"/>
        <c:spPr>
          <a:solidFill>
            <a:schemeClr val="accent1"/>
          </a:solidFill>
          <a:ln>
            <a:noFill/>
          </a:ln>
          <a:effectLst>
            <a:outerShdw blurRad="254000" sx="102000" sy="102000" algn="ctr" rotWithShape="0">
              <a:prstClr val="black">
                <a:alpha val="20000"/>
              </a:prstClr>
            </a:outerShdw>
          </a:effectLst>
        </c:spPr>
      </c:pivotFmt>
      <c:pivotFmt>
        <c:idx val="541"/>
        <c:spPr>
          <a:solidFill>
            <a:schemeClr val="accent1"/>
          </a:solidFill>
          <a:ln>
            <a:noFill/>
          </a:ln>
          <a:effectLst>
            <a:outerShdw blurRad="254000" sx="102000" sy="102000" algn="ctr" rotWithShape="0">
              <a:prstClr val="black">
                <a:alpha val="20000"/>
              </a:prstClr>
            </a:outerShdw>
          </a:effectLst>
        </c:spPr>
      </c:pivotFmt>
      <c:pivotFmt>
        <c:idx val="542"/>
        <c:spPr>
          <a:solidFill>
            <a:schemeClr val="accent1"/>
          </a:solidFill>
          <a:ln>
            <a:noFill/>
          </a:ln>
          <a:effectLst>
            <a:outerShdw blurRad="254000" sx="102000" sy="102000" algn="ctr" rotWithShape="0">
              <a:prstClr val="black">
                <a:alpha val="20000"/>
              </a:prstClr>
            </a:outerShdw>
          </a:effectLst>
        </c:spPr>
      </c:pivotFmt>
      <c:pivotFmt>
        <c:idx val="543"/>
        <c:spPr>
          <a:solidFill>
            <a:schemeClr val="accent1"/>
          </a:solidFill>
          <a:ln>
            <a:noFill/>
          </a:ln>
          <a:effectLst>
            <a:outerShdw blurRad="254000" sx="102000" sy="102000" algn="ctr" rotWithShape="0">
              <a:prstClr val="black">
                <a:alpha val="20000"/>
              </a:prstClr>
            </a:outerShdw>
          </a:effectLst>
        </c:spPr>
      </c:pivotFmt>
      <c:pivotFmt>
        <c:idx val="544"/>
        <c:spPr>
          <a:solidFill>
            <a:schemeClr val="accent1"/>
          </a:solidFill>
          <a:ln>
            <a:noFill/>
          </a:ln>
          <a:effectLst>
            <a:outerShdw blurRad="254000" sx="102000" sy="102000" algn="ctr" rotWithShape="0">
              <a:prstClr val="black">
                <a:alpha val="20000"/>
              </a:prstClr>
            </a:outerShdw>
          </a:effectLst>
        </c:spPr>
      </c:pivotFmt>
      <c:pivotFmt>
        <c:idx val="545"/>
        <c:spPr>
          <a:solidFill>
            <a:schemeClr val="accent1"/>
          </a:solidFill>
          <a:ln>
            <a:noFill/>
          </a:ln>
          <a:effectLst>
            <a:outerShdw blurRad="254000" sx="102000" sy="102000" algn="ctr" rotWithShape="0">
              <a:prstClr val="black">
                <a:alpha val="20000"/>
              </a:prstClr>
            </a:outerShdw>
          </a:effectLst>
        </c:spPr>
      </c:pivotFmt>
      <c:pivotFmt>
        <c:idx val="546"/>
        <c:spPr>
          <a:solidFill>
            <a:schemeClr val="accent1"/>
          </a:solidFill>
          <a:ln>
            <a:noFill/>
          </a:ln>
          <a:effectLst>
            <a:outerShdw blurRad="254000" sx="102000" sy="102000" algn="ctr" rotWithShape="0">
              <a:prstClr val="black">
                <a:alpha val="20000"/>
              </a:prstClr>
            </a:outerShdw>
          </a:effectLst>
        </c:spPr>
      </c:pivotFmt>
      <c:pivotFmt>
        <c:idx val="547"/>
        <c:spPr>
          <a:solidFill>
            <a:schemeClr val="accent1"/>
          </a:solidFill>
          <a:ln>
            <a:noFill/>
          </a:ln>
          <a:effectLst>
            <a:outerShdw blurRad="254000" sx="102000" sy="102000" algn="ctr" rotWithShape="0">
              <a:prstClr val="black">
                <a:alpha val="20000"/>
              </a:prstClr>
            </a:outerShdw>
          </a:effectLst>
        </c:spPr>
      </c:pivotFmt>
      <c:pivotFmt>
        <c:idx val="548"/>
        <c:spPr>
          <a:solidFill>
            <a:schemeClr val="accent1"/>
          </a:solidFill>
          <a:ln>
            <a:noFill/>
          </a:ln>
          <a:effectLst>
            <a:outerShdw blurRad="254000" sx="102000" sy="102000" algn="ctr" rotWithShape="0">
              <a:prstClr val="black">
                <a:alpha val="20000"/>
              </a:prstClr>
            </a:outerShdw>
          </a:effectLst>
        </c:spPr>
      </c:pivotFmt>
      <c:pivotFmt>
        <c:idx val="549"/>
        <c:spPr>
          <a:solidFill>
            <a:schemeClr val="accent1"/>
          </a:solidFill>
          <a:ln>
            <a:noFill/>
          </a:ln>
          <a:effectLst>
            <a:outerShdw blurRad="254000" sx="102000" sy="102000" algn="ctr" rotWithShape="0">
              <a:prstClr val="black">
                <a:alpha val="20000"/>
              </a:prstClr>
            </a:outerShdw>
          </a:effectLst>
        </c:spPr>
      </c:pivotFmt>
      <c:pivotFmt>
        <c:idx val="550"/>
        <c:spPr>
          <a:solidFill>
            <a:schemeClr val="accent1"/>
          </a:solidFill>
          <a:ln>
            <a:noFill/>
          </a:ln>
          <a:effectLst>
            <a:outerShdw blurRad="254000" sx="102000" sy="102000" algn="ctr" rotWithShape="0">
              <a:prstClr val="black">
                <a:alpha val="20000"/>
              </a:prstClr>
            </a:outerShdw>
          </a:effectLst>
        </c:spPr>
      </c:pivotFmt>
      <c:pivotFmt>
        <c:idx val="551"/>
        <c:spPr>
          <a:solidFill>
            <a:schemeClr val="accent1"/>
          </a:solidFill>
          <a:ln>
            <a:noFill/>
          </a:ln>
          <a:effectLst>
            <a:outerShdw blurRad="254000" sx="102000" sy="102000" algn="ctr" rotWithShape="0">
              <a:prstClr val="black">
                <a:alpha val="20000"/>
              </a:prstClr>
            </a:outerShdw>
          </a:effectLst>
        </c:spPr>
      </c:pivotFmt>
      <c:pivotFmt>
        <c:idx val="552"/>
        <c:spPr>
          <a:solidFill>
            <a:schemeClr val="accent1"/>
          </a:solidFill>
          <a:ln>
            <a:noFill/>
          </a:ln>
          <a:effectLst>
            <a:outerShdw blurRad="254000" sx="102000" sy="102000" algn="ctr" rotWithShape="0">
              <a:prstClr val="black">
                <a:alpha val="20000"/>
              </a:prstClr>
            </a:outerShdw>
          </a:effectLst>
        </c:spPr>
      </c:pivotFmt>
      <c:pivotFmt>
        <c:idx val="553"/>
        <c:spPr>
          <a:solidFill>
            <a:schemeClr val="accent1"/>
          </a:solidFill>
          <a:ln>
            <a:noFill/>
          </a:ln>
          <a:effectLst>
            <a:outerShdw blurRad="254000" sx="102000" sy="102000" algn="ctr" rotWithShape="0">
              <a:prstClr val="black">
                <a:alpha val="20000"/>
              </a:prstClr>
            </a:outerShdw>
          </a:effectLst>
        </c:spPr>
      </c:pivotFmt>
      <c:pivotFmt>
        <c:idx val="554"/>
        <c:spPr>
          <a:solidFill>
            <a:schemeClr val="accent1"/>
          </a:solidFill>
          <a:ln>
            <a:noFill/>
          </a:ln>
          <a:effectLst>
            <a:outerShdw blurRad="254000" sx="102000" sy="102000" algn="ctr" rotWithShape="0">
              <a:prstClr val="black">
                <a:alpha val="20000"/>
              </a:prstClr>
            </a:outerShdw>
          </a:effectLst>
        </c:spPr>
      </c:pivotFmt>
      <c:pivotFmt>
        <c:idx val="555"/>
        <c:spPr>
          <a:solidFill>
            <a:schemeClr val="accent1"/>
          </a:solidFill>
          <a:ln>
            <a:noFill/>
          </a:ln>
          <a:effectLst>
            <a:outerShdw blurRad="254000" sx="102000" sy="102000" algn="ctr" rotWithShape="0">
              <a:prstClr val="black">
                <a:alpha val="20000"/>
              </a:prstClr>
            </a:outerShdw>
          </a:effectLst>
        </c:spPr>
      </c:pivotFmt>
      <c:pivotFmt>
        <c:idx val="556"/>
        <c:spPr>
          <a:solidFill>
            <a:schemeClr val="accent1"/>
          </a:solidFill>
          <a:ln>
            <a:noFill/>
          </a:ln>
          <a:effectLst>
            <a:outerShdw blurRad="254000" sx="102000" sy="102000" algn="ctr" rotWithShape="0">
              <a:prstClr val="black">
                <a:alpha val="20000"/>
              </a:prstClr>
            </a:outerShdw>
          </a:effectLst>
        </c:spPr>
      </c:pivotFmt>
      <c:pivotFmt>
        <c:idx val="557"/>
        <c:spPr>
          <a:solidFill>
            <a:schemeClr val="accent1"/>
          </a:solidFill>
          <a:ln>
            <a:noFill/>
          </a:ln>
          <a:effectLst>
            <a:outerShdw blurRad="254000" sx="102000" sy="102000" algn="ctr" rotWithShape="0">
              <a:prstClr val="black">
                <a:alpha val="20000"/>
              </a:prstClr>
            </a:outerShdw>
          </a:effectLst>
        </c:spPr>
      </c:pivotFmt>
      <c:pivotFmt>
        <c:idx val="558"/>
        <c:spPr>
          <a:solidFill>
            <a:schemeClr val="accent1"/>
          </a:solidFill>
          <a:ln>
            <a:noFill/>
          </a:ln>
          <a:effectLst>
            <a:outerShdw blurRad="254000" sx="102000" sy="102000" algn="ctr" rotWithShape="0">
              <a:prstClr val="black">
                <a:alpha val="20000"/>
              </a:prstClr>
            </a:outerShdw>
          </a:effectLst>
        </c:spPr>
      </c:pivotFmt>
      <c:pivotFmt>
        <c:idx val="559"/>
        <c:spPr>
          <a:solidFill>
            <a:schemeClr val="accent1"/>
          </a:solidFill>
          <a:ln>
            <a:noFill/>
          </a:ln>
          <a:effectLst>
            <a:outerShdw blurRad="254000" sx="102000" sy="102000" algn="ctr" rotWithShape="0">
              <a:prstClr val="black">
                <a:alpha val="20000"/>
              </a:prstClr>
            </a:outerShdw>
          </a:effectLst>
        </c:spPr>
      </c:pivotFmt>
      <c:pivotFmt>
        <c:idx val="560"/>
        <c:spPr>
          <a:solidFill>
            <a:schemeClr val="accent1"/>
          </a:solidFill>
          <a:ln>
            <a:noFill/>
          </a:ln>
          <a:effectLst>
            <a:outerShdw blurRad="254000" sx="102000" sy="102000" algn="ctr" rotWithShape="0">
              <a:prstClr val="black">
                <a:alpha val="20000"/>
              </a:prstClr>
            </a:outerShdw>
          </a:effectLst>
        </c:spPr>
      </c:pivotFmt>
      <c:pivotFmt>
        <c:idx val="561"/>
        <c:spPr>
          <a:solidFill>
            <a:schemeClr val="accent1"/>
          </a:solidFill>
          <a:ln>
            <a:noFill/>
          </a:ln>
          <a:effectLst>
            <a:outerShdw blurRad="254000" sx="102000" sy="102000" algn="ctr" rotWithShape="0">
              <a:prstClr val="black">
                <a:alpha val="20000"/>
              </a:prstClr>
            </a:outerShdw>
          </a:effectLst>
        </c:spPr>
      </c:pivotFmt>
      <c:pivotFmt>
        <c:idx val="562"/>
        <c:spPr>
          <a:solidFill>
            <a:schemeClr val="accent1"/>
          </a:solidFill>
          <a:ln>
            <a:noFill/>
          </a:ln>
          <a:effectLst>
            <a:outerShdw blurRad="254000" sx="102000" sy="102000" algn="ctr" rotWithShape="0">
              <a:prstClr val="black">
                <a:alpha val="20000"/>
              </a:prstClr>
            </a:outerShdw>
          </a:effectLst>
        </c:spPr>
      </c:pivotFmt>
      <c:pivotFmt>
        <c:idx val="563"/>
        <c:spPr>
          <a:solidFill>
            <a:schemeClr val="accent1"/>
          </a:solidFill>
          <a:ln>
            <a:noFill/>
          </a:ln>
          <a:effectLst>
            <a:outerShdw blurRad="254000" sx="102000" sy="102000" algn="ctr" rotWithShape="0">
              <a:prstClr val="black">
                <a:alpha val="20000"/>
              </a:prstClr>
            </a:outerShdw>
          </a:effectLst>
        </c:spPr>
      </c:pivotFmt>
      <c:pivotFmt>
        <c:idx val="564"/>
        <c:spPr>
          <a:solidFill>
            <a:schemeClr val="accent1"/>
          </a:solidFill>
          <a:ln>
            <a:noFill/>
          </a:ln>
          <a:effectLst>
            <a:outerShdw blurRad="254000" sx="102000" sy="102000" algn="ctr" rotWithShape="0">
              <a:prstClr val="black">
                <a:alpha val="20000"/>
              </a:prstClr>
            </a:outerShdw>
          </a:effectLst>
        </c:spPr>
      </c:pivotFmt>
      <c:pivotFmt>
        <c:idx val="565"/>
        <c:spPr>
          <a:solidFill>
            <a:schemeClr val="accent1"/>
          </a:solidFill>
          <a:ln>
            <a:noFill/>
          </a:ln>
          <a:effectLst>
            <a:outerShdw blurRad="254000" sx="102000" sy="102000" algn="ctr" rotWithShape="0">
              <a:prstClr val="black">
                <a:alpha val="20000"/>
              </a:prstClr>
            </a:outerShdw>
          </a:effectLst>
        </c:spPr>
      </c:pivotFmt>
      <c:pivotFmt>
        <c:idx val="566"/>
        <c:spPr>
          <a:solidFill>
            <a:schemeClr val="accent1"/>
          </a:solidFill>
          <a:ln>
            <a:noFill/>
          </a:ln>
          <a:effectLst>
            <a:outerShdw blurRad="254000" sx="102000" sy="102000" algn="ctr" rotWithShape="0">
              <a:prstClr val="black">
                <a:alpha val="20000"/>
              </a:prstClr>
            </a:outerShdw>
          </a:effectLst>
        </c:spPr>
      </c:pivotFmt>
      <c:pivotFmt>
        <c:idx val="567"/>
        <c:spPr>
          <a:solidFill>
            <a:schemeClr val="accent1"/>
          </a:solidFill>
          <a:ln>
            <a:noFill/>
          </a:ln>
          <a:effectLst>
            <a:outerShdw blurRad="254000" sx="102000" sy="102000" algn="ctr" rotWithShape="0">
              <a:prstClr val="black">
                <a:alpha val="20000"/>
              </a:prstClr>
            </a:outerShdw>
          </a:effectLst>
        </c:spPr>
      </c:pivotFmt>
      <c:pivotFmt>
        <c:idx val="568"/>
        <c:spPr>
          <a:solidFill>
            <a:schemeClr val="accent1"/>
          </a:solidFill>
          <a:ln>
            <a:noFill/>
          </a:ln>
          <a:effectLst>
            <a:outerShdw blurRad="254000" sx="102000" sy="102000" algn="ctr" rotWithShape="0">
              <a:prstClr val="black">
                <a:alpha val="20000"/>
              </a:prstClr>
            </a:outerShdw>
          </a:effectLst>
        </c:spPr>
      </c:pivotFmt>
      <c:pivotFmt>
        <c:idx val="569"/>
        <c:spPr>
          <a:solidFill>
            <a:schemeClr val="accent1"/>
          </a:solidFill>
          <a:ln>
            <a:noFill/>
          </a:ln>
          <a:effectLst>
            <a:outerShdw blurRad="254000" sx="102000" sy="102000" algn="ctr" rotWithShape="0">
              <a:prstClr val="black">
                <a:alpha val="20000"/>
              </a:prstClr>
            </a:outerShdw>
          </a:effectLst>
        </c:spPr>
      </c:pivotFmt>
      <c:pivotFmt>
        <c:idx val="570"/>
        <c:spPr>
          <a:solidFill>
            <a:schemeClr val="accent1"/>
          </a:solidFill>
          <a:ln>
            <a:noFill/>
          </a:ln>
          <a:effectLst>
            <a:outerShdw blurRad="254000" sx="102000" sy="102000" algn="ctr" rotWithShape="0">
              <a:prstClr val="black">
                <a:alpha val="20000"/>
              </a:prstClr>
            </a:outerShdw>
          </a:effectLst>
        </c:spPr>
      </c:pivotFmt>
      <c:pivotFmt>
        <c:idx val="571"/>
        <c:spPr>
          <a:solidFill>
            <a:schemeClr val="accent1"/>
          </a:solidFill>
          <a:ln>
            <a:noFill/>
          </a:ln>
          <a:effectLst>
            <a:outerShdw blurRad="254000" sx="102000" sy="102000" algn="ctr" rotWithShape="0">
              <a:prstClr val="black">
                <a:alpha val="20000"/>
              </a:prstClr>
            </a:outerShdw>
          </a:effectLst>
        </c:spPr>
      </c:pivotFmt>
      <c:pivotFmt>
        <c:idx val="572"/>
        <c:spPr>
          <a:solidFill>
            <a:schemeClr val="accent1"/>
          </a:solidFill>
          <a:ln>
            <a:noFill/>
          </a:ln>
          <a:effectLst>
            <a:outerShdw blurRad="254000" sx="102000" sy="102000" algn="ctr" rotWithShape="0">
              <a:prstClr val="black">
                <a:alpha val="20000"/>
              </a:prstClr>
            </a:outerShdw>
          </a:effectLst>
        </c:spPr>
      </c:pivotFmt>
      <c:pivotFmt>
        <c:idx val="573"/>
        <c:spPr>
          <a:solidFill>
            <a:schemeClr val="accent1"/>
          </a:solidFill>
          <a:ln>
            <a:noFill/>
          </a:ln>
          <a:effectLst>
            <a:outerShdw blurRad="254000" sx="102000" sy="102000" algn="ctr" rotWithShape="0">
              <a:prstClr val="black">
                <a:alpha val="20000"/>
              </a:prstClr>
            </a:outerShdw>
          </a:effectLst>
        </c:spPr>
      </c:pivotFmt>
      <c:pivotFmt>
        <c:idx val="574"/>
        <c:spPr>
          <a:solidFill>
            <a:schemeClr val="accent1"/>
          </a:solidFill>
          <a:ln>
            <a:noFill/>
          </a:ln>
          <a:effectLst>
            <a:outerShdw blurRad="254000" sx="102000" sy="102000" algn="ctr" rotWithShape="0">
              <a:prstClr val="black">
                <a:alpha val="20000"/>
              </a:prstClr>
            </a:outerShdw>
          </a:effectLst>
        </c:spPr>
      </c:pivotFmt>
      <c:pivotFmt>
        <c:idx val="575"/>
        <c:spPr>
          <a:solidFill>
            <a:schemeClr val="accent1"/>
          </a:solidFill>
          <a:ln>
            <a:noFill/>
          </a:ln>
          <a:effectLst>
            <a:outerShdw blurRad="254000" sx="102000" sy="102000" algn="ctr" rotWithShape="0">
              <a:prstClr val="black">
                <a:alpha val="20000"/>
              </a:prstClr>
            </a:outerShdw>
          </a:effectLst>
        </c:spPr>
      </c:pivotFmt>
      <c:pivotFmt>
        <c:idx val="576"/>
        <c:spPr>
          <a:solidFill>
            <a:schemeClr val="accent1"/>
          </a:solidFill>
          <a:ln>
            <a:noFill/>
          </a:ln>
          <a:effectLst>
            <a:outerShdw blurRad="254000" sx="102000" sy="102000" algn="ctr" rotWithShape="0">
              <a:prstClr val="black">
                <a:alpha val="20000"/>
              </a:prstClr>
            </a:outerShdw>
          </a:effectLst>
        </c:spPr>
      </c:pivotFmt>
      <c:pivotFmt>
        <c:idx val="577"/>
        <c:spPr>
          <a:solidFill>
            <a:schemeClr val="accent1"/>
          </a:solidFill>
          <a:ln>
            <a:noFill/>
          </a:ln>
          <a:effectLst>
            <a:outerShdw blurRad="254000" sx="102000" sy="102000" algn="ctr" rotWithShape="0">
              <a:prstClr val="black">
                <a:alpha val="20000"/>
              </a:prstClr>
            </a:outerShdw>
          </a:effectLst>
        </c:spPr>
      </c:pivotFmt>
      <c:pivotFmt>
        <c:idx val="578"/>
        <c:spPr>
          <a:solidFill>
            <a:schemeClr val="accent1"/>
          </a:solidFill>
          <a:ln>
            <a:noFill/>
          </a:ln>
          <a:effectLst>
            <a:outerShdw blurRad="254000" sx="102000" sy="102000" algn="ctr" rotWithShape="0">
              <a:prstClr val="black">
                <a:alpha val="20000"/>
              </a:prstClr>
            </a:outerShdw>
          </a:effectLst>
        </c:spPr>
      </c:pivotFmt>
      <c:pivotFmt>
        <c:idx val="579"/>
        <c:spPr>
          <a:solidFill>
            <a:schemeClr val="accent1"/>
          </a:solidFill>
          <a:ln>
            <a:noFill/>
          </a:ln>
          <a:effectLst>
            <a:outerShdw blurRad="254000" sx="102000" sy="102000" algn="ctr" rotWithShape="0">
              <a:prstClr val="black">
                <a:alpha val="20000"/>
              </a:prstClr>
            </a:outerShdw>
          </a:effectLst>
        </c:spPr>
      </c:pivotFmt>
      <c:pivotFmt>
        <c:idx val="580"/>
        <c:spPr>
          <a:solidFill>
            <a:schemeClr val="accent1"/>
          </a:solidFill>
          <a:ln>
            <a:noFill/>
          </a:ln>
          <a:effectLst>
            <a:outerShdw blurRad="254000" sx="102000" sy="102000" algn="ctr" rotWithShape="0">
              <a:prstClr val="black">
                <a:alpha val="20000"/>
              </a:prstClr>
            </a:outerShdw>
          </a:effectLst>
        </c:spPr>
      </c:pivotFmt>
      <c:pivotFmt>
        <c:idx val="581"/>
        <c:spPr>
          <a:solidFill>
            <a:schemeClr val="accent1"/>
          </a:solidFill>
          <a:ln>
            <a:noFill/>
          </a:ln>
          <a:effectLst>
            <a:outerShdw blurRad="254000" sx="102000" sy="102000" algn="ctr" rotWithShape="0">
              <a:prstClr val="black">
                <a:alpha val="20000"/>
              </a:prstClr>
            </a:outerShdw>
          </a:effectLst>
        </c:spPr>
      </c:pivotFmt>
      <c:pivotFmt>
        <c:idx val="582"/>
        <c:spPr>
          <a:solidFill>
            <a:schemeClr val="accent1"/>
          </a:solidFill>
          <a:ln>
            <a:noFill/>
          </a:ln>
          <a:effectLst>
            <a:outerShdw blurRad="254000" sx="102000" sy="102000" algn="ctr" rotWithShape="0">
              <a:prstClr val="black">
                <a:alpha val="20000"/>
              </a:prstClr>
            </a:outerShdw>
          </a:effectLst>
        </c:spPr>
      </c:pivotFmt>
      <c:pivotFmt>
        <c:idx val="583"/>
        <c:spPr>
          <a:solidFill>
            <a:schemeClr val="accent1"/>
          </a:solidFill>
          <a:ln>
            <a:noFill/>
          </a:ln>
          <a:effectLst>
            <a:outerShdw blurRad="254000" sx="102000" sy="102000" algn="ctr" rotWithShape="0">
              <a:prstClr val="black">
                <a:alpha val="20000"/>
              </a:prstClr>
            </a:outerShdw>
          </a:effectLst>
        </c:spPr>
      </c:pivotFmt>
      <c:pivotFmt>
        <c:idx val="584"/>
        <c:spPr>
          <a:solidFill>
            <a:schemeClr val="accent1"/>
          </a:solidFill>
          <a:ln>
            <a:noFill/>
          </a:ln>
          <a:effectLst>
            <a:outerShdw blurRad="254000" sx="102000" sy="102000" algn="ctr" rotWithShape="0">
              <a:prstClr val="black">
                <a:alpha val="20000"/>
              </a:prstClr>
            </a:outerShdw>
          </a:effectLst>
        </c:spPr>
      </c:pivotFmt>
      <c:pivotFmt>
        <c:idx val="585"/>
        <c:spPr>
          <a:solidFill>
            <a:schemeClr val="accent1"/>
          </a:solidFill>
          <a:ln>
            <a:noFill/>
          </a:ln>
          <a:effectLst>
            <a:outerShdw blurRad="254000" sx="102000" sy="102000" algn="ctr" rotWithShape="0">
              <a:prstClr val="black">
                <a:alpha val="20000"/>
              </a:prstClr>
            </a:outerShdw>
          </a:effectLst>
        </c:spPr>
      </c:pivotFmt>
      <c:pivotFmt>
        <c:idx val="586"/>
        <c:spPr>
          <a:solidFill>
            <a:schemeClr val="accent1"/>
          </a:solidFill>
          <a:ln>
            <a:noFill/>
          </a:ln>
          <a:effectLst>
            <a:outerShdw blurRad="254000" sx="102000" sy="102000" algn="ctr" rotWithShape="0">
              <a:prstClr val="black">
                <a:alpha val="20000"/>
              </a:prstClr>
            </a:outerShdw>
          </a:effectLst>
        </c:spPr>
      </c:pivotFmt>
      <c:pivotFmt>
        <c:idx val="587"/>
        <c:spPr>
          <a:solidFill>
            <a:schemeClr val="accent1"/>
          </a:solidFill>
          <a:ln>
            <a:noFill/>
          </a:ln>
          <a:effectLst>
            <a:outerShdw blurRad="254000" sx="102000" sy="102000" algn="ctr" rotWithShape="0">
              <a:prstClr val="black">
                <a:alpha val="20000"/>
              </a:prstClr>
            </a:outerShdw>
          </a:effectLst>
        </c:spPr>
      </c:pivotFmt>
      <c:pivotFmt>
        <c:idx val="588"/>
        <c:spPr>
          <a:solidFill>
            <a:schemeClr val="accent1"/>
          </a:solidFill>
          <a:ln>
            <a:noFill/>
          </a:ln>
          <a:effectLst>
            <a:outerShdw blurRad="254000" sx="102000" sy="102000" algn="ctr" rotWithShape="0">
              <a:prstClr val="black">
                <a:alpha val="20000"/>
              </a:prstClr>
            </a:outerShdw>
          </a:effectLst>
        </c:spPr>
      </c:pivotFmt>
      <c:pivotFmt>
        <c:idx val="589"/>
        <c:spPr>
          <a:solidFill>
            <a:schemeClr val="accent1"/>
          </a:solidFill>
          <a:ln>
            <a:noFill/>
          </a:ln>
          <a:effectLst>
            <a:outerShdw blurRad="254000" sx="102000" sy="102000" algn="ctr" rotWithShape="0">
              <a:prstClr val="black">
                <a:alpha val="20000"/>
              </a:prstClr>
            </a:outerShdw>
          </a:effectLst>
        </c:spPr>
      </c:pivotFmt>
      <c:pivotFmt>
        <c:idx val="590"/>
        <c:spPr>
          <a:solidFill>
            <a:schemeClr val="accent1"/>
          </a:solidFill>
          <a:ln>
            <a:noFill/>
          </a:ln>
          <a:effectLst>
            <a:outerShdw blurRad="254000" sx="102000" sy="102000" algn="ctr" rotWithShape="0">
              <a:prstClr val="black">
                <a:alpha val="20000"/>
              </a:prstClr>
            </a:outerShdw>
          </a:effectLst>
        </c:spPr>
      </c:pivotFmt>
      <c:pivotFmt>
        <c:idx val="591"/>
        <c:spPr>
          <a:solidFill>
            <a:schemeClr val="accent1"/>
          </a:solidFill>
          <a:ln>
            <a:noFill/>
          </a:ln>
          <a:effectLst>
            <a:outerShdw blurRad="254000" sx="102000" sy="102000" algn="ctr" rotWithShape="0">
              <a:prstClr val="black">
                <a:alpha val="20000"/>
              </a:prstClr>
            </a:outerShdw>
          </a:effectLst>
        </c:spPr>
      </c:pivotFmt>
      <c:pivotFmt>
        <c:idx val="592"/>
        <c:spPr>
          <a:solidFill>
            <a:schemeClr val="accent1"/>
          </a:solidFill>
          <a:ln>
            <a:noFill/>
          </a:ln>
          <a:effectLst>
            <a:outerShdw blurRad="254000" sx="102000" sy="102000" algn="ctr" rotWithShape="0">
              <a:prstClr val="black">
                <a:alpha val="20000"/>
              </a:prstClr>
            </a:outerShdw>
          </a:effectLst>
        </c:spPr>
      </c:pivotFmt>
      <c:pivotFmt>
        <c:idx val="593"/>
        <c:spPr>
          <a:solidFill>
            <a:schemeClr val="accent1"/>
          </a:solidFill>
          <a:ln>
            <a:noFill/>
          </a:ln>
          <a:effectLst>
            <a:outerShdw blurRad="254000" sx="102000" sy="102000" algn="ctr" rotWithShape="0">
              <a:prstClr val="black">
                <a:alpha val="20000"/>
              </a:prstClr>
            </a:outerShdw>
          </a:effectLst>
        </c:spPr>
      </c:pivotFmt>
      <c:pivotFmt>
        <c:idx val="594"/>
        <c:spPr>
          <a:solidFill>
            <a:schemeClr val="accent1"/>
          </a:solidFill>
          <a:ln>
            <a:noFill/>
          </a:ln>
          <a:effectLst>
            <a:outerShdw blurRad="254000" sx="102000" sy="102000" algn="ctr" rotWithShape="0">
              <a:prstClr val="black">
                <a:alpha val="20000"/>
              </a:prstClr>
            </a:outerShdw>
          </a:effectLst>
        </c:spPr>
      </c:pivotFmt>
      <c:pivotFmt>
        <c:idx val="595"/>
        <c:spPr>
          <a:solidFill>
            <a:schemeClr val="accent1"/>
          </a:solidFill>
          <a:ln>
            <a:noFill/>
          </a:ln>
          <a:effectLst>
            <a:outerShdw blurRad="254000" sx="102000" sy="102000" algn="ctr" rotWithShape="0">
              <a:prstClr val="black">
                <a:alpha val="20000"/>
              </a:prstClr>
            </a:outerShdw>
          </a:effectLst>
        </c:spPr>
      </c:pivotFmt>
      <c:pivotFmt>
        <c:idx val="596"/>
        <c:spPr>
          <a:solidFill>
            <a:schemeClr val="accent1"/>
          </a:solidFill>
          <a:ln>
            <a:noFill/>
          </a:ln>
          <a:effectLst>
            <a:outerShdw blurRad="254000" sx="102000" sy="102000" algn="ctr" rotWithShape="0">
              <a:prstClr val="black">
                <a:alpha val="20000"/>
              </a:prstClr>
            </a:outerShdw>
          </a:effectLst>
        </c:spPr>
      </c:pivotFmt>
      <c:pivotFmt>
        <c:idx val="597"/>
        <c:spPr>
          <a:solidFill>
            <a:schemeClr val="accent1"/>
          </a:solidFill>
          <a:ln>
            <a:noFill/>
          </a:ln>
          <a:effectLst>
            <a:outerShdw blurRad="254000" sx="102000" sy="102000" algn="ctr" rotWithShape="0">
              <a:prstClr val="black">
                <a:alpha val="20000"/>
              </a:prstClr>
            </a:outerShdw>
          </a:effectLst>
        </c:spPr>
      </c:pivotFmt>
      <c:pivotFmt>
        <c:idx val="598"/>
        <c:spPr>
          <a:solidFill>
            <a:schemeClr val="accent1"/>
          </a:solidFill>
          <a:ln>
            <a:noFill/>
          </a:ln>
          <a:effectLst>
            <a:outerShdw blurRad="254000" sx="102000" sy="102000" algn="ctr" rotWithShape="0">
              <a:prstClr val="black">
                <a:alpha val="20000"/>
              </a:prstClr>
            </a:outerShdw>
          </a:effectLst>
        </c:spPr>
      </c:pivotFmt>
      <c:pivotFmt>
        <c:idx val="599"/>
        <c:spPr>
          <a:solidFill>
            <a:schemeClr val="accent1"/>
          </a:solidFill>
          <a:ln>
            <a:noFill/>
          </a:ln>
          <a:effectLst>
            <a:outerShdw blurRad="254000" sx="102000" sy="102000" algn="ctr" rotWithShape="0">
              <a:prstClr val="black">
                <a:alpha val="20000"/>
              </a:prstClr>
            </a:outerShdw>
          </a:effectLst>
        </c:spPr>
      </c:pivotFmt>
      <c:pivotFmt>
        <c:idx val="600"/>
        <c:spPr>
          <a:solidFill>
            <a:schemeClr val="accent1"/>
          </a:solidFill>
          <a:ln>
            <a:noFill/>
          </a:ln>
          <a:effectLst>
            <a:outerShdw blurRad="254000" sx="102000" sy="102000" algn="ctr" rotWithShape="0">
              <a:prstClr val="black">
                <a:alpha val="20000"/>
              </a:prstClr>
            </a:outerShdw>
          </a:effectLst>
        </c:spPr>
      </c:pivotFmt>
      <c:pivotFmt>
        <c:idx val="601"/>
        <c:spPr>
          <a:solidFill>
            <a:schemeClr val="accent1"/>
          </a:solidFill>
          <a:ln>
            <a:noFill/>
          </a:ln>
          <a:effectLst>
            <a:outerShdw blurRad="254000" sx="102000" sy="102000" algn="ctr" rotWithShape="0">
              <a:prstClr val="black">
                <a:alpha val="20000"/>
              </a:prstClr>
            </a:outerShdw>
          </a:effectLst>
        </c:spPr>
      </c:pivotFmt>
      <c:pivotFmt>
        <c:idx val="602"/>
        <c:spPr>
          <a:solidFill>
            <a:schemeClr val="accent1"/>
          </a:solidFill>
          <a:ln>
            <a:noFill/>
          </a:ln>
          <a:effectLst>
            <a:outerShdw blurRad="254000" sx="102000" sy="102000" algn="ctr" rotWithShape="0">
              <a:prstClr val="black">
                <a:alpha val="20000"/>
              </a:prstClr>
            </a:outerShdw>
          </a:effectLst>
        </c:spPr>
      </c:pivotFmt>
      <c:pivotFmt>
        <c:idx val="603"/>
        <c:spPr>
          <a:solidFill>
            <a:schemeClr val="accent1"/>
          </a:solidFill>
          <a:ln>
            <a:noFill/>
          </a:ln>
          <a:effectLst>
            <a:outerShdw blurRad="254000" sx="102000" sy="102000" algn="ctr" rotWithShape="0">
              <a:prstClr val="black">
                <a:alpha val="20000"/>
              </a:prstClr>
            </a:outerShdw>
          </a:effectLst>
        </c:spPr>
      </c:pivotFmt>
      <c:pivotFmt>
        <c:idx val="604"/>
        <c:spPr>
          <a:solidFill>
            <a:schemeClr val="accent1"/>
          </a:solidFill>
          <a:ln>
            <a:noFill/>
          </a:ln>
          <a:effectLst>
            <a:outerShdw blurRad="254000" sx="102000" sy="102000" algn="ctr" rotWithShape="0">
              <a:prstClr val="black">
                <a:alpha val="20000"/>
              </a:prstClr>
            </a:outerShdw>
          </a:effectLst>
        </c:spPr>
      </c:pivotFmt>
      <c:pivotFmt>
        <c:idx val="605"/>
        <c:spPr>
          <a:solidFill>
            <a:schemeClr val="accent1"/>
          </a:solidFill>
          <a:ln>
            <a:noFill/>
          </a:ln>
          <a:effectLst>
            <a:outerShdw blurRad="254000" sx="102000" sy="102000" algn="ctr" rotWithShape="0">
              <a:prstClr val="black">
                <a:alpha val="20000"/>
              </a:prstClr>
            </a:outerShdw>
          </a:effectLst>
        </c:spPr>
      </c:pivotFmt>
      <c:pivotFmt>
        <c:idx val="606"/>
        <c:spPr>
          <a:solidFill>
            <a:schemeClr val="accent1"/>
          </a:solidFill>
          <a:ln>
            <a:noFill/>
          </a:ln>
          <a:effectLst>
            <a:outerShdw blurRad="254000" sx="102000" sy="102000" algn="ctr" rotWithShape="0">
              <a:prstClr val="black">
                <a:alpha val="20000"/>
              </a:prstClr>
            </a:outerShdw>
          </a:effectLst>
        </c:spPr>
      </c:pivotFmt>
      <c:pivotFmt>
        <c:idx val="607"/>
        <c:spPr>
          <a:solidFill>
            <a:schemeClr val="accent1"/>
          </a:solidFill>
          <a:ln>
            <a:noFill/>
          </a:ln>
          <a:effectLst>
            <a:outerShdw blurRad="254000" sx="102000" sy="102000" algn="ctr" rotWithShape="0">
              <a:prstClr val="black">
                <a:alpha val="20000"/>
              </a:prstClr>
            </a:outerShdw>
          </a:effectLst>
        </c:spPr>
      </c:pivotFmt>
      <c:pivotFmt>
        <c:idx val="608"/>
        <c:spPr>
          <a:solidFill>
            <a:schemeClr val="accent1"/>
          </a:solidFill>
          <a:ln>
            <a:noFill/>
          </a:ln>
          <a:effectLst>
            <a:outerShdw blurRad="254000" sx="102000" sy="102000" algn="ctr" rotWithShape="0">
              <a:prstClr val="black">
                <a:alpha val="20000"/>
              </a:prstClr>
            </a:outerShdw>
          </a:effectLst>
        </c:spPr>
      </c:pivotFmt>
      <c:pivotFmt>
        <c:idx val="609"/>
        <c:spPr>
          <a:solidFill>
            <a:schemeClr val="accent1"/>
          </a:solidFill>
          <a:ln>
            <a:noFill/>
          </a:ln>
          <a:effectLst>
            <a:outerShdw blurRad="254000" sx="102000" sy="102000" algn="ctr" rotWithShape="0">
              <a:prstClr val="black">
                <a:alpha val="20000"/>
              </a:prstClr>
            </a:outerShdw>
          </a:effectLst>
        </c:spPr>
      </c:pivotFmt>
      <c:pivotFmt>
        <c:idx val="610"/>
        <c:spPr>
          <a:solidFill>
            <a:schemeClr val="accent1"/>
          </a:solidFill>
          <a:ln>
            <a:noFill/>
          </a:ln>
          <a:effectLst>
            <a:outerShdw blurRad="254000" sx="102000" sy="102000" algn="ctr" rotWithShape="0">
              <a:prstClr val="black">
                <a:alpha val="20000"/>
              </a:prstClr>
            </a:outerShdw>
          </a:effectLst>
        </c:spPr>
      </c:pivotFmt>
      <c:pivotFmt>
        <c:idx val="611"/>
        <c:spPr>
          <a:solidFill>
            <a:schemeClr val="accent1"/>
          </a:solidFill>
          <a:ln>
            <a:noFill/>
          </a:ln>
          <a:effectLst>
            <a:outerShdw blurRad="254000" sx="102000" sy="102000" algn="ctr" rotWithShape="0">
              <a:prstClr val="black">
                <a:alpha val="20000"/>
              </a:prstClr>
            </a:outerShdw>
          </a:effectLst>
        </c:spPr>
      </c:pivotFmt>
      <c:pivotFmt>
        <c:idx val="612"/>
        <c:spPr>
          <a:solidFill>
            <a:schemeClr val="accent1"/>
          </a:solidFill>
          <a:ln>
            <a:noFill/>
          </a:ln>
          <a:effectLst>
            <a:outerShdw blurRad="254000" sx="102000" sy="102000" algn="ctr" rotWithShape="0">
              <a:prstClr val="black">
                <a:alpha val="20000"/>
              </a:prstClr>
            </a:outerShdw>
          </a:effectLst>
        </c:spPr>
      </c:pivotFmt>
      <c:pivotFmt>
        <c:idx val="613"/>
        <c:spPr>
          <a:solidFill>
            <a:schemeClr val="accent1"/>
          </a:solidFill>
          <a:ln>
            <a:noFill/>
          </a:ln>
          <a:effectLst>
            <a:outerShdw blurRad="254000" sx="102000" sy="102000" algn="ctr" rotWithShape="0">
              <a:prstClr val="black">
                <a:alpha val="20000"/>
              </a:prstClr>
            </a:outerShdw>
          </a:effectLst>
        </c:spPr>
      </c:pivotFmt>
      <c:pivotFmt>
        <c:idx val="614"/>
        <c:spPr>
          <a:solidFill>
            <a:schemeClr val="accent1"/>
          </a:solidFill>
          <a:ln>
            <a:noFill/>
          </a:ln>
          <a:effectLst>
            <a:outerShdw blurRad="254000" sx="102000" sy="102000" algn="ctr" rotWithShape="0">
              <a:prstClr val="black">
                <a:alpha val="20000"/>
              </a:prstClr>
            </a:outerShdw>
          </a:effectLst>
        </c:spPr>
      </c:pivotFmt>
      <c:pivotFmt>
        <c:idx val="615"/>
        <c:spPr>
          <a:solidFill>
            <a:schemeClr val="accent1"/>
          </a:solidFill>
          <a:ln>
            <a:noFill/>
          </a:ln>
          <a:effectLst>
            <a:outerShdw blurRad="254000" sx="102000" sy="102000" algn="ctr" rotWithShape="0">
              <a:prstClr val="black">
                <a:alpha val="20000"/>
              </a:prstClr>
            </a:outerShdw>
          </a:effectLst>
        </c:spPr>
      </c:pivotFmt>
      <c:pivotFmt>
        <c:idx val="616"/>
        <c:spPr>
          <a:solidFill>
            <a:schemeClr val="accent1"/>
          </a:solidFill>
          <a:ln>
            <a:noFill/>
          </a:ln>
          <a:effectLst>
            <a:outerShdw blurRad="254000" sx="102000" sy="102000" algn="ctr" rotWithShape="0">
              <a:prstClr val="black">
                <a:alpha val="20000"/>
              </a:prstClr>
            </a:outerShdw>
          </a:effectLst>
        </c:spPr>
      </c:pivotFmt>
      <c:pivotFmt>
        <c:idx val="617"/>
        <c:spPr>
          <a:solidFill>
            <a:schemeClr val="accent1"/>
          </a:solidFill>
          <a:ln>
            <a:noFill/>
          </a:ln>
          <a:effectLst>
            <a:outerShdw blurRad="254000" sx="102000" sy="102000" algn="ctr" rotWithShape="0">
              <a:prstClr val="black">
                <a:alpha val="20000"/>
              </a:prstClr>
            </a:outerShdw>
          </a:effectLst>
        </c:spPr>
      </c:pivotFmt>
      <c:pivotFmt>
        <c:idx val="618"/>
        <c:spPr>
          <a:solidFill>
            <a:schemeClr val="accent1"/>
          </a:solidFill>
          <a:ln>
            <a:noFill/>
          </a:ln>
          <a:effectLst>
            <a:outerShdw blurRad="254000" sx="102000" sy="102000" algn="ctr" rotWithShape="0">
              <a:prstClr val="black">
                <a:alpha val="20000"/>
              </a:prstClr>
            </a:outerShdw>
          </a:effectLst>
        </c:spPr>
      </c:pivotFmt>
      <c:pivotFmt>
        <c:idx val="619"/>
        <c:spPr>
          <a:solidFill>
            <a:schemeClr val="accent1"/>
          </a:solidFill>
          <a:ln>
            <a:noFill/>
          </a:ln>
          <a:effectLst>
            <a:outerShdw blurRad="254000" sx="102000" sy="102000" algn="ctr" rotWithShape="0">
              <a:prstClr val="black">
                <a:alpha val="20000"/>
              </a:prstClr>
            </a:outerShdw>
          </a:effectLst>
        </c:spPr>
      </c:pivotFmt>
      <c:pivotFmt>
        <c:idx val="620"/>
        <c:spPr>
          <a:solidFill>
            <a:schemeClr val="accent1"/>
          </a:solidFill>
          <a:ln>
            <a:noFill/>
          </a:ln>
          <a:effectLst>
            <a:outerShdw blurRad="254000" sx="102000" sy="102000" algn="ctr" rotWithShape="0">
              <a:prstClr val="black">
                <a:alpha val="20000"/>
              </a:prstClr>
            </a:outerShdw>
          </a:effectLst>
        </c:spPr>
      </c:pivotFmt>
      <c:pivotFmt>
        <c:idx val="621"/>
        <c:spPr>
          <a:solidFill>
            <a:schemeClr val="accent1"/>
          </a:solidFill>
          <a:ln>
            <a:noFill/>
          </a:ln>
          <a:effectLst>
            <a:outerShdw blurRad="254000" sx="102000" sy="102000" algn="ctr" rotWithShape="0">
              <a:prstClr val="black">
                <a:alpha val="20000"/>
              </a:prstClr>
            </a:outerShdw>
          </a:effectLst>
        </c:spPr>
      </c:pivotFmt>
      <c:pivotFmt>
        <c:idx val="622"/>
        <c:spPr>
          <a:solidFill>
            <a:schemeClr val="accent1"/>
          </a:solidFill>
          <a:ln>
            <a:noFill/>
          </a:ln>
          <a:effectLst>
            <a:outerShdw blurRad="254000" sx="102000" sy="102000" algn="ctr" rotWithShape="0">
              <a:prstClr val="black">
                <a:alpha val="20000"/>
              </a:prstClr>
            </a:outerShdw>
          </a:effectLst>
        </c:spPr>
      </c:pivotFmt>
      <c:pivotFmt>
        <c:idx val="623"/>
        <c:spPr>
          <a:solidFill>
            <a:schemeClr val="accent1"/>
          </a:solidFill>
          <a:ln>
            <a:noFill/>
          </a:ln>
          <a:effectLst>
            <a:outerShdw blurRad="254000" sx="102000" sy="102000" algn="ctr" rotWithShape="0">
              <a:prstClr val="black">
                <a:alpha val="20000"/>
              </a:prstClr>
            </a:outerShdw>
          </a:effectLst>
        </c:spPr>
      </c:pivotFmt>
      <c:pivotFmt>
        <c:idx val="624"/>
        <c:spPr>
          <a:solidFill>
            <a:schemeClr val="accent1"/>
          </a:solidFill>
          <a:ln>
            <a:noFill/>
          </a:ln>
          <a:effectLst>
            <a:outerShdw blurRad="254000" sx="102000" sy="102000" algn="ctr" rotWithShape="0">
              <a:prstClr val="black">
                <a:alpha val="20000"/>
              </a:prstClr>
            </a:outerShdw>
          </a:effectLst>
        </c:spPr>
      </c:pivotFmt>
      <c:pivotFmt>
        <c:idx val="625"/>
        <c:spPr>
          <a:solidFill>
            <a:schemeClr val="accent1"/>
          </a:solidFill>
          <a:ln>
            <a:noFill/>
          </a:ln>
          <a:effectLst>
            <a:outerShdw blurRad="254000" sx="102000" sy="102000" algn="ctr" rotWithShape="0">
              <a:prstClr val="black">
                <a:alpha val="20000"/>
              </a:prstClr>
            </a:outerShdw>
          </a:effectLst>
        </c:spPr>
      </c:pivotFmt>
      <c:pivotFmt>
        <c:idx val="626"/>
        <c:spPr>
          <a:solidFill>
            <a:schemeClr val="accent1"/>
          </a:solidFill>
          <a:ln>
            <a:noFill/>
          </a:ln>
          <a:effectLst>
            <a:outerShdw blurRad="254000" sx="102000" sy="102000" algn="ctr" rotWithShape="0">
              <a:prstClr val="black">
                <a:alpha val="20000"/>
              </a:prstClr>
            </a:outerShdw>
          </a:effectLst>
        </c:spPr>
      </c:pivotFmt>
      <c:pivotFmt>
        <c:idx val="627"/>
        <c:spPr>
          <a:solidFill>
            <a:schemeClr val="accent1"/>
          </a:solidFill>
          <a:ln>
            <a:noFill/>
          </a:ln>
          <a:effectLst>
            <a:outerShdw blurRad="254000" sx="102000" sy="102000" algn="ctr" rotWithShape="0">
              <a:prstClr val="black">
                <a:alpha val="20000"/>
              </a:prstClr>
            </a:outerShdw>
          </a:effectLst>
        </c:spPr>
      </c:pivotFmt>
      <c:pivotFmt>
        <c:idx val="628"/>
        <c:spPr>
          <a:solidFill>
            <a:schemeClr val="accent1"/>
          </a:solidFill>
          <a:ln>
            <a:noFill/>
          </a:ln>
          <a:effectLst>
            <a:outerShdw blurRad="254000" sx="102000" sy="102000" algn="ctr" rotWithShape="0">
              <a:prstClr val="black">
                <a:alpha val="20000"/>
              </a:prstClr>
            </a:outerShdw>
          </a:effectLst>
        </c:spPr>
      </c:pivotFmt>
      <c:pivotFmt>
        <c:idx val="629"/>
        <c:spPr>
          <a:solidFill>
            <a:schemeClr val="accent1"/>
          </a:solidFill>
          <a:ln>
            <a:noFill/>
          </a:ln>
          <a:effectLst>
            <a:outerShdw blurRad="254000" sx="102000" sy="102000" algn="ctr" rotWithShape="0">
              <a:prstClr val="black">
                <a:alpha val="20000"/>
              </a:prstClr>
            </a:outerShdw>
          </a:effectLst>
        </c:spPr>
      </c:pivotFmt>
      <c:pivotFmt>
        <c:idx val="630"/>
        <c:spPr>
          <a:solidFill>
            <a:schemeClr val="accent1"/>
          </a:solidFill>
          <a:ln>
            <a:noFill/>
          </a:ln>
          <a:effectLst>
            <a:outerShdw blurRad="254000" sx="102000" sy="102000" algn="ctr" rotWithShape="0">
              <a:prstClr val="black">
                <a:alpha val="20000"/>
              </a:prstClr>
            </a:outerShdw>
          </a:effectLst>
        </c:spPr>
      </c:pivotFmt>
      <c:pivotFmt>
        <c:idx val="631"/>
        <c:spPr>
          <a:solidFill>
            <a:schemeClr val="accent1"/>
          </a:solidFill>
          <a:ln>
            <a:noFill/>
          </a:ln>
          <a:effectLst>
            <a:outerShdw blurRad="254000" sx="102000" sy="102000" algn="ctr" rotWithShape="0">
              <a:prstClr val="black">
                <a:alpha val="20000"/>
              </a:prstClr>
            </a:outerShdw>
          </a:effectLst>
        </c:spPr>
      </c:pivotFmt>
      <c:pivotFmt>
        <c:idx val="632"/>
        <c:spPr>
          <a:solidFill>
            <a:schemeClr val="accent1"/>
          </a:solidFill>
          <a:ln>
            <a:noFill/>
          </a:ln>
          <a:effectLst>
            <a:outerShdw blurRad="254000" sx="102000" sy="102000" algn="ctr" rotWithShape="0">
              <a:prstClr val="black">
                <a:alpha val="20000"/>
              </a:prstClr>
            </a:outerShdw>
          </a:effectLst>
        </c:spPr>
      </c:pivotFmt>
      <c:pivotFmt>
        <c:idx val="633"/>
        <c:spPr>
          <a:solidFill>
            <a:schemeClr val="accent1"/>
          </a:solidFill>
          <a:ln>
            <a:noFill/>
          </a:ln>
          <a:effectLst>
            <a:outerShdw blurRad="254000" sx="102000" sy="102000" algn="ctr" rotWithShape="0">
              <a:prstClr val="black">
                <a:alpha val="20000"/>
              </a:prstClr>
            </a:outerShdw>
          </a:effectLst>
        </c:spPr>
      </c:pivotFmt>
      <c:pivotFmt>
        <c:idx val="634"/>
        <c:spPr>
          <a:solidFill>
            <a:schemeClr val="accent1"/>
          </a:solidFill>
          <a:ln>
            <a:noFill/>
          </a:ln>
          <a:effectLst>
            <a:outerShdw blurRad="254000" sx="102000" sy="102000" algn="ctr" rotWithShape="0">
              <a:prstClr val="black">
                <a:alpha val="20000"/>
              </a:prstClr>
            </a:outerShdw>
          </a:effectLst>
        </c:spPr>
      </c:pivotFmt>
      <c:pivotFmt>
        <c:idx val="635"/>
        <c:spPr>
          <a:solidFill>
            <a:schemeClr val="accent1"/>
          </a:solidFill>
          <a:ln>
            <a:noFill/>
          </a:ln>
          <a:effectLst>
            <a:outerShdw blurRad="254000" sx="102000" sy="102000" algn="ctr" rotWithShape="0">
              <a:prstClr val="black">
                <a:alpha val="20000"/>
              </a:prstClr>
            </a:outerShdw>
          </a:effectLst>
        </c:spPr>
      </c:pivotFmt>
      <c:pivotFmt>
        <c:idx val="636"/>
        <c:spPr>
          <a:solidFill>
            <a:schemeClr val="accent1"/>
          </a:solidFill>
          <a:ln>
            <a:noFill/>
          </a:ln>
          <a:effectLst>
            <a:outerShdw blurRad="254000" sx="102000" sy="102000" algn="ctr" rotWithShape="0">
              <a:prstClr val="black">
                <a:alpha val="20000"/>
              </a:prstClr>
            </a:outerShdw>
          </a:effectLst>
        </c:spPr>
      </c:pivotFmt>
      <c:pivotFmt>
        <c:idx val="637"/>
        <c:spPr>
          <a:solidFill>
            <a:schemeClr val="accent1"/>
          </a:solidFill>
          <a:ln>
            <a:noFill/>
          </a:ln>
          <a:effectLst>
            <a:outerShdw blurRad="254000" sx="102000" sy="102000" algn="ctr" rotWithShape="0">
              <a:prstClr val="black">
                <a:alpha val="20000"/>
              </a:prstClr>
            </a:outerShdw>
          </a:effectLst>
        </c:spPr>
      </c:pivotFmt>
      <c:pivotFmt>
        <c:idx val="638"/>
        <c:spPr>
          <a:solidFill>
            <a:schemeClr val="accent1"/>
          </a:solidFill>
          <a:ln>
            <a:noFill/>
          </a:ln>
          <a:effectLst>
            <a:outerShdw blurRad="254000" sx="102000" sy="102000" algn="ctr" rotWithShape="0">
              <a:prstClr val="black">
                <a:alpha val="20000"/>
              </a:prstClr>
            </a:outerShdw>
          </a:effectLst>
        </c:spPr>
      </c:pivotFmt>
      <c:pivotFmt>
        <c:idx val="639"/>
        <c:spPr>
          <a:solidFill>
            <a:schemeClr val="accent1"/>
          </a:solidFill>
          <a:ln>
            <a:noFill/>
          </a:ln>
          <a:effectLst>
            <a:outerShdw blurRad="254000" sx="102000" sy="102000" algn="ctr" rotWithShape="0">
              <a:prstClr val="black">
                <a:alpha val="20000"/>
              </a:prstClr>
            </a:outerShdw>
          </a:effectLst>
        </c:spPr>
      </c:pivotFmt>
      <c:pivotFmt>
        <c:idx val="640"/>
        <c:spPr>
          <a:solidFill>
            <a:schemeClr val="accent1"/>
          </a:solidFill>
          <a:ln>
            <a:noFill/>
          </a:ln>
          <a:effectLst>
            <a:outerShdw blurRad="254000" sx="102000" sy="102000" algn="ctr" rotWithShape="0">
              <a:prstClr val="black">
                <a:alpha val="20000"/>
              </a:prstClr>
            </a:outerShdw>
          </a:effectLst>
        </c:spPr>
      </c:pivotFmt>
      <c:pivotFmt>
        <c:idx val="641"/>
        <c:spPr>
          <a:solidFill>
            <a:schemeClr val="accent1"/>
          </a:solidFill>
          <a:ln>
            <a:noFill/>
          </a:ln>
          <a:effectLst>
            <a:outerShdw blurRad="254000" sx="102000" sy="102000" algn="ctr" rotWithShape="0">
              <a:prstClr val="black">
                <a:alpha val="20000"/>
              </a:prstClr>
            </a:outerShdw>
          </a:effectLst>
        </c:spPr>
      </c:pivotFmt>
      <c:pivotFmt>
        <c:idx val="642"/>
        <c:spPr>
          <a:solidFill>
            <a:schemeClr val="accent1"/>
          </a:solidFill>
          <a:ln>
            <a:noFill/>
          </a:ln>
          <a:effectLst>
            <a:outerShdw blurRad="254000" sx="102000" sy="102000" algn="ctr" rotWithShape="0">
              <a:prstClr val="black">
                <a:alpha val="20000"/>
              </a:prstClr>
            </a:outerShdw>
          </a:effectLst>
        </c:spPr>
      </c:pivotFmt>
      <c:pivotFmt>
        <c:idx val="643"/>
        <c:spPr>
          <a:solidFill>
            <a:schemeClr val="accent1"/>
          </a:solidFill>
          <a:ln>
            <a:noFill/>
          </a:ln>
          <a:effectLst>
            <a:outerShdw blurRad="254000" sx="102000" sy="102000" algn="ctr" rotWithShape="0">
              <a:prstClr val="black">
                <a:alpha val="20000"/>
              </a:prstClr>
            </a:outerShdw>
          </a:effectLst>
        </c:spPr>
      </c:pivotFmt>
      <c:pivotFmt>
        <c:idx val="644"/>
        <c:spPr>
          <a:solidFill>
            <a:schemeClr val="accent1"/>
          </a:solidFill>
          <a:ln>
            <a:noFill/>
          </a:ln>
          <a:effectLst>
            <a:outerShdw blurRad="254000" sx="102000" sy="102000" algn="ctr" rotWithShape="0">
              <a:prstClr val="black">
                <a:alpha val="20000"/>
              </a:prstClr>
            </a:outerShdw>
          </a:effectLst>
        </c:spPr>
      </c:pivotFmt>
      <c:pivotFmt>
        <c:idx val="645"/>
        <c:spPr>
          <a:solidFill>
            <a:schemeClr val="accent1"/>
          </a:solidFill>
          <a:ln>
            <a:noFill/>
          </a:ln>
          <a:effectLst>
            <a:outerShdw blurRad="254000" sx="102000" sy="102000" algn="ctr" rotWithShape="0">
              <a:prstClr val="black">
                <a:alpha val="20000"/>
              </a:prstClr>
            </a:outerShdw>
          </a:effectLst>
        </c:spPr>
      </c:pivotFmt>
      <c:pivotFmt>
        <c:idx val="646"/>
        <c:spPr>
          <a:solidFill>
            <a:schemeClr val="accent1"/>
          </a:solidFill>
          <a:ln>
            <a:noFill/>
          </a:ln>
          <a:effectLst>
            <a:outerShdw blurRad="254000" sx="102000" sy="102000" algn="ctr" rotWithShape="0">
              <a:prstClr val="black">
                <a:alpha val="20000"/>
              </a:prstClr>
            </a:outerShdw>
          </a:effectLst>
        </c:spPr>
      </c:pivotFmt>
      <c:pivotFmt>
        <c:idx val="647"/>
        <c:spPr>
          <a:solidFill>
            <a:schemeClr val="accent1"/>
          </a:solidFill>
          <a:ln>
            <a:noFill/>
          </a:ln>
          <a:effectLst>
            <a:outerShdw blurRad="254000" sx="102000" sy="102000" algn="ctr" rotWithShape="0">
              <a:prstClr val="black">
                <a:alpha val="20000"/>
              </a:prstClr>
            </a:outerShdw>
          </a:effectLst>
        </c:spPr>
      </c:pivotFmt>
      <c:pivotFmt>
        <c:idx val="648"/>
        <c:spPr>
          <a:solidFill>
            <a:schemeClr val="accent1"/>
          </a:solidFill>
          <a:ln>
            <a:noFill/>
          </a:ln>
          <a:effectLst>
            <a:outerShdw blurRad="254000" sx="102000" sy="102000" algn="ctr" rotWithShape="0">
              <a:prstClr val="black">
                <a:alpha val="20000"/>
              </a:prstClr>
            </a:outerShdw>
          </a:effectLst>
        </c:spPr>
      </c:pivotFmt>
      <c:pivotFmt>
        <c:idx val="649"/>
        <c:spPr>
          <a:solidFill>
            <a:schemeClr val="accent1"/>
          </a:solidFill>
          <a:ln>
            <a:noFill/>
          </a:ln>
          <a:effectLst>
            <a:outerShdw blurRad="254000" sx="102000" sy="102000" algn="ctr" rotWithShape="0">
              <a:prstClr val="black">
                <a:alpha val="20000"/>
              </a:prstClr>
            </a:outerShdw>
          </a:effectLst>
        </c:spPr>
      </c:pivotFmt>
      <c:pivotFmt>
        <c:idx val="650"/>
        <c:spPr>
          <a:solidFill>
            <a:schemeClr val="accent1"/>
          </a:solidFill>
          <a:ln>
            <a:noFill/>
          </a:ln>
          <a:effectLst>
            <a:outerShdw blurRad="254000" sx="102000" sy="102000" algn="ctr" rotWithShape="0">
              <a:prstClr val="black">
                <a:alpha val="20000"/>
              </a:prstClr>
            </a:outerShdw>
          </a:effectLst>
        </c:spPr>
      </c:pivotFmt>
      <c:pivotFmt>
        <c:idx val="651"/>
        <c:spPr>
          <a:solidFill>
            <a:schemeClr val="accent1"/>
          </a:solidFill>
          <a:ln>
            <a:noFill/>
          </a:ln>
          <a:effectLst>
            <a:outerShdw blurRad="254000" sx="102000" sy="102000" algn="ctr" rotWithShape="0">
              <a:prstClr val="black">
                <a:alpha val="20000"/>
              </a:prstClr>
            </a:outerShdw>
          </a:effectLst>
        </c:spPr>
      </c:pivotFmt>
      <c:pivotFmt>
        <c:idx val="652"/>
        <c:spPr>
          <a:solidFill>
            <a:schemeClr val="accent1"/>
          </a:solidFill>
          <a:ln>
            <a:noFill/>
          </a:ln>
          <a:effectLst>
            <a:outerShdw blurRad="254000" sx="102000" sy="102000" algn="ctr" rotWithShape="0">
              <a:prstClr val="black">
                <a:alpha val="20000"/>
              </a:prstClr>
            </a:outerShdw>
          </a:effectLst>
        </c:spPr>
      </c:pivotFmt>
      <c:pivotFmt>
        <c:idx val="653"/>
        <c:spPr>
          <a:solidFill>
            <a:schemeClr val="accent1"/>
          </a:solidFill>
          <a:ln>
            <a:noFill/>
          </a:ln>
          <a:effectLst>
            <a:outerShdw blurRad="254000" sx="102000" sy="102000" algn="ctr" rotWithShape="0">
              <a:prstClr val="black">
                <a:alpha val="20000"/>
              </a:prstClr>
            </a:outerShdw>
          </a:effectLst>
        </c:spPr>
      </c:pivotFmt>
      <c:pivotFmt>
        <c:idx val="654"/>
        <c:spPr>
          <a:solidFill>
            <a:schemeClr val="accent1"/>
          </a:solidFill>
          <a:ln>
            <a:noFill/>
          </a:ln>
          <a:effectLst>
            <a:outerShdw blurRad="254000" sx="102000" sy="102000" algn="ctr" rotWithShape="0">
              <a:prstClr val="black">
                <a:alpha val="20000"/>
              </a:prstClr>
            </a:outerShdw>
          </a:effectLst>
        </c:spPr>
      </c:pivotFmt>
      <c:pivotFmt>
        <c:idx val="655"/>
        <c:spPr>
          <a:solidFill>
            <a:schemeClr val="accent1"/>
          </a:solidFill>
          <a:ln>
            <a:noFill/>
          </a:ln>
          <a:effectLst>
            <a:outerShdw blurRad="254000" sx="102000" sy="102000" algn="ctr" rotWithShape="0">
              <a:prstClr val="black">
                <a:alpha val="20000"/>
              </a:prstClr>
            </a:outerShdw>
          </a:effectLst>
        </c:spPr>
      </c:pivotFmt>
      <c:pivotFmt>
        <c:idx val="656"/>
        <c:spPr>
          <a:solidFill>
            <a:schemeClr val="accent1"/>
          </a:solidFill>
          <a:ln>
            <a:noFill/>
          </a:ln>
          <a:effectLst>
            <a:outerShdw blurRad="254000" sx="102000" sy="102000" algn="ctr" rotWithShape="0">
              <a:prstClr val="black">
                <a:alpha val="20000"/>
              </a:prstClr>
            </a:outerShdw>
          </a:effectLst>
        </c:spPr>
      </c:pivotFmt>
      <c:pivotFmt>
        <c:idx val="657"/>
        <c:spPr>
          <a:solidFill>
            <a:schemeClr val="accent1"/>
          </a:solidFill>
          <a:ln>
            <a:noFill/>
          </a:ln>
          <a:effectLst>
            <a:outerShdw blurRad="254000" sx="102000" sy="102000" algn="ctr" rotWithShape="0">
              <a:prstClr val="black">
                <a:alpha val="20000"/>
              </a:prstClr>
            </a:outerShdw>
          </a:effectLst>
        </c:spPr>
      </c:pivotFmt>
      <c:pivotFmt>
        <c:idx val="658"/>
        <c:spPr>
          <a:solidFill>
            <a:schemeClr val="accent1"/>
          </a:solidFill>
          <a:ln>
            <a:noFill/>
          </a:ln>
          <a:effectLst>
            <a:outerShdw blurRad="254000" sx="102000" sy="102000" algn="ctr" rotWithShape="0">
              <a:prstClr val="black">
                <a:alpha val="20000"/>
              </a:prstClr>
            </a:outerShdw>
          </a:effectLst>
        </c:spPr>
      </c:pivotFmt>
      <c:pivotFmt>
        <c:idx val="659"/>
        <c:spPr>
          <a:solidFill>
            <a:schemeClr val="accent1"/>
          </a:solidFill>
          <a:ln>
            <a:noFill/>
          </a:ln>
          <a:effectLst>
            <a:outerShdw blurRad="254000" sx="102000" sy="102000" algn="ctr" rotWithShape="0">
              <a:prstClr val="black">
                <a:alpha val="20000"/>
              </a:prstClr>
            </a:outerShdw>
          </a:effectLst>
        </c:spPr>
      </c:pivotFmt>
      <c:pivotFmt>
        <c:idx val="660"/>
        <c:spPr>
          <a:solidFill>
            <a:schemeClr val="accent1"/>
          </a:solidFill>
          <a:ln>
            <a:noFill/>
          </a:ln>
          <a:effectLst>
            <a:outerShdw blurRad="254000" sx="102000" sy="102000" algn="ctr" rotWithShape="0">
              <a:prstClr val="black">
                <a:alpha val="20000"/>
              </a:prstClr>
            </a:outerShdw>
          </a:effectLst>
        </c:spPr>
      </c:pivotFmt>
      <c:pivotFmt>
        <c:idx val="661"/>
        <c:spPr>
          <a:solidFill>
            <a:schemeClr val="accent1"/>
          </a:solidFill>
          <a:ln>
            <a:noFill/>
          </a:ln>
          <a:effectLst>
            <a:outerShdw blurRad="254000" sx="102000" sy="102000" algn="ctr" rotWithShape="0">
              <a:prstClr val="black">
                <a:alpha val="20000"/>
              </a:prstClr>
            </a:outerShdw>
          </a:effectLst>
        </c:spPr>
      </c:pivotFmt>
      <c:pivotFmt>
        <c:idx val="662"/>
        <c:spPr>
          <a:solidFill>
            <a:schemeClr val="accent1"/>
          </a:solidFill>
          <a:ln>
            <a:noFill/>
          </a:ln>
          <a:effectLst>
            <a:outerShdw blurRad="254000" sx="102000" sy="102000" algn="ctr" rotWithShape="0">
              <a:prstClr val="black">
                <a:alpha val="20000"/>
              </a:prstClr>
            </a:outerShdw>
          </a:effectLst>
        </c:spPr>
      </c:pivotFmt>
      <c:pivotFmt>
        <c:idx val="663"/>
        <c:spPr>
          <a:solidFill>
            <a:schemeClr val="accent1"/>
          </a:solidFill>
          <a:ln>
            <a:noFill/>
          </a:ln>
          <a:effectLst>
            <a:outerShdw blurRad="254000" sx="102000" sy="102000" algn="ctr" rotWithShape="0">
              <a:prstClr val="black">
                <a:alpha val="20000"/>
              </a:prstClr>
            </a:outerShdw>
          </a:effectLst>
        </c:spPr>
      </c:pivotFmt>
      <c:pivotFmt>
        <c:idx val="664"/>
        <c:spPr>
          <a:solidFill>
            <a:schemeClr val="accent1"/>
          </a:solidFill>
          <a:ln>
            <a:noFill/>
          </a:ln>
          <a:effectLst>
            <a:outerShdw blurRad="254000" sx="102000" sy="102000" algn="ctr" rotWithShape="0">
              <a:prstClr val="black">
                <a:alpha val="20000"/>
              </a:prstClr>
            </a:outerShdw>
          </a:effectLst>
        </c:spPr>
      </c:pivotFmt>
      <c:pivotFmt>
        <c:idx val="665"/>
        <c:spPr>
          <a:solidFill>
            <a:schemeClr val="accent1"/>
          </a:solidFill>
          <a:ln>
            <a:noFill/>
          </a:ln>
          <a:effectLst>
            <a:outerShdw blurRad="254000" sx="102000" sy="102000" algn="ctr" rotWithShape="0">
              <a:prstClr val="black">
                <a:alpha val="20000"/>
              </a:prstClr>
            </a:outerShdw>
          </a:effectLst>
        </c:spPr>
      </c:pivotFmt>
      <c:pivotFmt>
        <c:idx val="666"/>
        <c:spPr>
          <a:solidFill>
            <a:schemeClr val="accent1"/>
          </a:solidFill>
          <a:ln>
            <a:noFill/>
          </a:ln>
          <a:effectLst>
            <a:outerShdw blurRad="254000" sx="102000" sy="102000" algn="ctr" rotWithShape="0">
              <a:prstClr val="black">
                <a:alpha val="20000"/>
              </a:prstClr>
            </a:outerShdw>
          </a:effectLst>
        </c:spPr>
      </c:pivotFmt>
      <c:pivotFmt>
        <c:idx val="667"/>
        <c:spPr>
          <a:solidFill>
            <a:schemeClr val="accent1"/>
          </a:solidFill>
          <a:ln>
            <a:noFill/>
          </a:ln>
          <a:effectLst>
            <a:outerShdw blurRad="254000" sx="102000" sy="102000" algn="ctr" rotWithShape="0">
              <a:prstClr val="black">
                <a:alpha val="20000"/>
              </a:prstClr>
            </a:outerShdw>
          </a:effectLst>
        </c:spPr>
      </c:pivotFmt>
      <c:pivotFmt>
        <c:idx val="668"/>
        <c:spPr>
          <a:solidFill>
            <a:schemeClr val="accent1"/>
          </a:solidFill>
          <a:ln>
            <a:noFill/>
          </a:ln>
          <a:effectLst>
            <a:outerShdw blurRad="254000" sx="102000" sy="102000" algn="ctr" rotWithShape="0">
              <a:prstClr val="black">
                <a:alpha val="20000"/>
              </a:prstClr>
            </a:outerShdw>
          </a:effectLst>
        </c:spPr>
      </c:pivotFmt>
      <c:pivotFmt>
        <c:idx val="669"/>
        <c:spPr>
          <a:solidFill>
            <a:schemeClr val="accent1"/>
          </a:solidFill>
          <a:ln>
            <a:noFill/>
          </a:ln>
          <a:effectLst>
            <a:outerShdw blurRad="254000" sx="102000" sy="102000" algn="ctr" rotWithShape="0">
              <a:prstClr val="black">
                <a:alpha val="20000"/>
              </a:prstClr>
            </a:outerShdw>
          </a:effectLst>
        </c:spPr>
      </c:pivotFmt>
      <c:pivotFmt>
        <c:idx val="670"/>
        <c:spPr>
          <a:solidFill>
            <a:schemeClr val="accent1"/>
          </a:solidFill>
          <a:ln>
            <a:noFill/>
          </a:ln>
          <a:effectLst>
            <a:outerShdw blurRad="254000" sx="102000" sy="102000" algn="ctr" rotWithShape="0">
              <a:prstClr val="black">
                <a:alpha val="20000"/>
              </a:prstClr>
            </a:outerShdw>
          </a:effectLst>
        </c:spPr>
      </c:pivotFmt>
      <c:pivotFmt>
        <c:idx val="671"/>
        <c:spPr>
          <a:solidFill>
            <a:schemeClr val="accent1"/>
          </a:solidFill>
          <a:ln>
            <a:noFill/>
          </a:ln>
          <a:effectLst>
            <a:outerShdw blurRad="254000" sx="102000" sy="102000" algn="ctr" rotWithShape="0">
              <a:prstClr val="black">
                <a:alpha val="20000"/>
              </a:prstClr>
            </a:outerShdw>
          </a:effectLst>
        </c:spPr>
      </c:pivotFmt>
      <c:pivotFmt>
        <c:idx val="672"/>
        <c:spPr>
          <a:solidFill>
            <a:schemeClr val="accent1"/>
          </a:solidFill>
          <a:ln>
            <a:noFill/>
          </a:ln>
          <a:effectLst>
            <a:outerShdw blurRad="254000" sx="102000" sy="102000" algn="ctr" rotWithShape="0">
              <a:prstClr val="black">
                <a:alpha val="20000"/>
              </a:prstClr>
            </a:outerShdw>
          </a:effectLst>
        </c:spPr>
      </c:pivotFmt>
      <c:pivotFmt>
        <c:idx val="673"/>
        <c:spPr>
          <a:solidFill>
            <a:schemeClr val="accent1"/>
          </a:solidFill>
          <a:ln>
            <a:noFill/>
          </a:ln>
          <a:effectLst>
            <a:outerShdw blurRad="254000" sx="102000" sy="102000" algn="ctr" rotWithShape="0">
              <a:prstClr val="black">
                <a:alpha val="20000"/>
              </a:prstClr>
            </a:outerShdw>
          </a:effectLst>
        </c:spPr>
      </c:pivotFmt>
      <c:pivotFmt>
        <c:idx val="674"/>
        <c:spPr>
          <a:solidFill>
            <a:schemeClr val="accent1"/>
          </a:solidFill>
          <a:ln>
            <a:noFill/>
          </a:ln>
          <a:effectLst>
            <a:outerShdw blurRad="254000" sx="102000" sy="102000" algn="ctr" rotWithShape="0">
              <a:prstClr val="black">
                <a:alpha val="20000"/>
              </a:prstClr>
            </a:outerShdw>
          </a:effectLst>
        </c:spPr>
      </c:pivotFmt>
      <c:pivotFmt>
        <c:idx val="675"/>
        <c:spPr>
          <a:solidFill>
            <a:schemeClr val="accent1"/>
          </a:solidFill>
          <a:ln>
            <a:noFill/>
          </a:ln>
          <a:effectLst>
            <a:outerShdw blurRad="254000" sx="102000" sy="102000" algn="ctr" rotWithShape="0">
              <a:prstClr val="black">
                <a:alpha val="20000"/>
              </a:prstClr>
            </a:outerShdw>
          </a:effectLst>
        </c:spPr>
      </c:pivotFmt>
      <c:pivotFmt>
        <c:idx val="676"/>
        <c:spPr>
          <a:solidFill>
            <a:schemeClr val="accent1"/>
          </a:solidFill>
          <a:ln>
            <a:noFill/>
          </a:ln>
          <a:effectLst>
            <a:outerShdw blurRad="254000" sx="102000" sy="102000" algn="ctr" rotWithShape="0">
              <a:prstClr val="black">
                <a:alpha val="20000"/>
              </a:prstClr>
            </a:outerShdw>
          </a:effectLst>
        </c:spPr>
      </c:pivotFmt>
      <c:pivotFmt>
        <c:idx val="677"/>
        <c:spPr>
          <a:solidFill>
            <a:schemeClr val="accent1"/>
          </a:solidFill>
          <a:ln>
            <a:noFill/>
          </a:ln>
          <a:effectLst>
            <a:outerShdw blurRad="254000" sx="102000" sy="102000" algn="ctr" rotWithShape="0">
              <a:prstClr val="black">
                <a:alpha val="20000"/>
              </a:prstClr>
            </a:outerShdw>
          </a:effectLst>
        </c:spPr>
      </c:pivotFmt>
      <c:pivotFmt>
        <c:idx val="678"/>
        <c:spPr>
          <a:solidFill>
            <a:schemeClr val="accent1"/>
          </a:solidFill>
          <a:ln>
            <a:noFill/>
          </a:ln>
          <a:effectLst>
            <a:outerShdw blurRad="254000" sx="102000" sy="102000" algn="ctr" rotWithShape="0">
              <a:prstClr val="black">
                <a:alpha val="20000"/>
              </a:prstClr>
            </a:outerShdw>
          </a:effectLst>
        </c:spPr>
      </c:pivotFmt>
      <c:pivotFmt>
        <c:idx val="679"/>
        <c:spPr>
          <a:solidFill>
            <a:schemeClr val="accent1"/>
          </a:solidFill>
          <a:ln>
            <a:noFill/>
          </a:ln>
          <a:effectLst>
            <a:outerShdw blurRad="254000" sx="102000" sy="102000" algn="ctr" rotWithShape="0">
              <a:prstClr val="black">
                <a:alpha val="20000"/>
              </a:prstClr>
            </a:outerShdw>
          </a:effectLst>
        </c:spPr>
      </c:pivotFmt>
      <c:pivotFmt>
        <c:idx val="680"/>
        <c:spPr>
          <a:solidFill>
            <a:schemeClr val="accent1"/>
          </a:solidFill>
          <a:ln>
            <a:noFill/>
          </a:ln>
          <a:effectLst>
            <a:outerShdw blurRad="254000" sx="102000" sy="102000" algn="ctr" rotWithShape="0">
              <a:prstClr val="black">
                <a:alpha val="20000"/>
              </a:prstClr>
            </a:outerShdw>
          </a:effectLst>
        </c:spPr>
      </c:pivotFmt>
      <c:pivotFmt>
        <c:idx val="681"/>
        <c:spPr>
          <a:solidFill>
            <a:schemeClr val="accent1"/>
          </a:solidFill>
          <a:ln>
            <a:noFill/>
          </a:ln>
          <a:effectLst>
            <a:outerShdw blurRad="254000" sx="102000" sy="102000" algn="ctr" rotWithShape="0">
              <a:prstClr val="black">
                <a:alpha val="20000"/>
              </a:prstClr>
            </a:outerShdw>
          </a:effectLst>
        </c:spPr>
      </c:pivotFmt>
      <c:pivotFmt>
        <c:idx val="682"/>
        <c:spPr>
          <a:solidFill>
            <a:schemeClr val="accent1"/>
          </a:solidFill>
          <a:ln>
            <a:noFill/>
          </a:ln>
          <a:effectLst>
            <a:outerShdw blurRad="254000" sx="102000" sy="102000" algn="ctr" rotWithShape="0">
              <a:prstClr val="black">
                <a:alpha val="20000"/>
              </a:prstClr>
            </a:outerShdw>
          </a:effectLst>
        </c:spPr>
      </c:pivotFmt>
      <c:pivotFmt>
        <c:idx val="683"/>
        <c:spPr>
          <a:solidFill>
            <a:schemeClr val="accent1"/>
          </a:solidFill>
          <a:ln>
            <a:noFill/>
          </a:ln>
          <a:effectLst>
            <a:outerShdw blurRad="254000" sx="102000" sy="102000" algn="ctr" rotWithShape="0">
              <a:prstClr val="black">
                <a:alpha val="20000"/>
              </a:prstClr>
            </a:outerShdw>
          </a:effectLst>
        </c:spPr>
      </c:pivotFmt>
      <c:pivotFmt>
        <c:idx val="684"/>
        <c:spPr>
          <a:solidFill>
            <a:schemeClr val="accent1"/>
          </a:solidFill>
          <a:ln>
            <a:noFill/>
          </a:ln>
          <a:effectLst>
            <a:outerShdw blurRad="254000" sx="102000" sy="102000" algn="ctr" rotWithShape="0">
              <a:prstClr val="black">
                <a:alpha val="20000"/>
              </a:prstClr>
            </a:outerShdw>
          </a:effectLst>
        </c:spPr>
      </c:pivotFmt>
      <c:pivotFmt>
        <c:idx val="685"/>
        <c:spPr>
          <a:solidFill>
            <a:schemeClr val="accent1"/>
          </a:solidFill>
          <a:ln>
            <a:noFill/>
          </a:ln>
          <a:effectLst>
            <a:outerShdw blurRad="254000" sx="102000" sy="102000" algn="ctr" rotWithShape="0">
              <a:prstClr val="black">
                <a:alpha val="20000"/>
              </a:prstClr>
            </a:outerShdw>
          </a:effectLst>
        </c:spPr>
      </c:pivotFmt>
      <c:pivotFmt>
        <c:idx val="686"/>
        <c:spPr>
          <a:solidFill>
            <a:schemeClr val="accent1"/>
          </a:solidFill>
          <a:ln>
            <a:noFill/>
          </a:ln>
          <a:effectLst>
            <a:outerShdw blurRad="254000" sx="102000" sy="102000" algn="ctr" rotWithShape="0">
              <a:prstClr val="black">
                <a:alpha val="20000"/>
              </a:prstClr>
            </a:outerShdw>
          </a:effectLst>
        </c:spPr>
      </c:pivotFmt>
      <c:pivotFmt>
        <c:idx val="687"/>
        <c:spPr>
          <a:solidFill>
            <a:schemeClr val="accent1"/>
          </a:solidFill>
          <a:ln>
            <a:noFill/>
          </a:ln>
          <a:effectLst>
            <a:outerShdw blurRad="254000" sx="102000" sy="102000" algn="ctr" rotWithShape="0">
              <a:prstClr val="black">
                <a:alpha val="20000"/>
              </a:prstClr>
            </a:outerShdw>
          </a:effectLst>
        </c:spPr>
      </c:pivotFmt>
      <c:pivotFmt>
        <c:idx val="688"/>
        <c:spPr>
          <a:solidFill>
            <a:schemeClr val="accent1"/>
          </a:solidFill>
          <a:ln>
            <a:noFill/>
          </a:ln>
          <a:effectLst>
            <a:outerShdw blurRad="254000" sx="102000" sy="102000" algn="ctr" rotWithShape="0">
              <a:prstClr val="black">
                <a:alpha val="20000"/>
              </a:prstClr>
            </a:outerShdw>
          </a:effectLst>
        </c:spPr>
      </c:pivotFmt>
      <c:pivotFmt>
        <c:idx val="689"/>
        <c:spPr>
          <a:solidFill>
            <a:schemeClr val="accent1"/>
          </a:solidFill>
          <a:ln>
            <a:noFill/>
          </a:ln>
          <a:effectLst>
            <a:outerShdw blurRad="254000" sx="102000" sy="102000" algn="ctr" rotWithShape="0">
              <a:prstClr val="black">
                <a:alpha val="20000"/>
              </a:prstClr>
            </a:outerShdw>
          </a:effectLst>
        </c:spPr>
      </c:pivotFmt>
      <c:pivotFmt>
        <c:idx val="690"/>
        <c:spPr>
          <a:solidFill>
            <a:schemeClr val="accent1"/>
          </a:solidFill>
          <a:ln>
            <a:noFill/>
          </a:ln>
          <a:effectLst>
            <a:outerShdw blurRad="254000" sx="102000" sy="102000" algn="ctr" rotWithShape="0">
              <a:prstClr val="black">
                <a:alpha val="20000"/>
              </a:prstClr>
            </a:outerShdw>
          </a:effectLst>
        </c:spPr>
      </c:pivotFmt>
      <c:pivotFmt>
        <c:idx val="691"/>
        <c:spPr>
          <a:solidFill>
            <a:schemeClr val="accent1"/>
          </a:solidFill>
          <a:ln>
            <a:noFill/>
          </a:ln>
          <a:effectLst>
            <a:outerShdw blurRad="254000" sx="102000" sy="102000" algn="ctr" rotWithShape="0">
              <a:prstClr val="black">
                <a:alpha val="20000"/>
              </a:prstClr>
            </a:outerShdw>
          </a:effectLst>
        </c:spPr>
      </c:pivotFmt>
      <c:pivotFmt>
        <c:idx val="692"/>
        <c:spPr>
          <a:solidFill>
            <a:schemeClr val="accent1"/>
          </a:solidFill>
          <a:ln>
            <a:noFill/>
          </a:ln>
          <a:effectLst>
            <a:outerShdw blurRad="254000" sx="102000" sy="102000" algn="ctr" rotWithShape="0">
              <a:prstClr val="black">
                <a:alpha val="20000"/>
              </a:prstClr>
            </a:outerShdw>
          </a:effectLst>
        </c:spPr>
      </c:pivotFmt>
      <c:pivotFmt>
        <c:idx val="693"/>
        <c:spPr>
          <a:solidFill>
            <a:schemeClr val="accent1"/>
          </a:solidFill>
          <a:ln>
            <a:noFill/>
          </a:ln>
          <a:effectLst>
            <a:outerShdw blurRad="254000" sx="102000" sy="102000" algn="ctr" rotWithShape="0">
              <a:prstClr val="black">
                <a:alpha val="20000"/>
              </a:prstClr>
            </a:outerShdw>
          </a:effectLst>
        </c:spPr>
      </c:pivotFmt>
      <c:pivotFmt>
        <c:idx val="694"/>
        <c:spPr>
          <a:solidFill>
            <a:schemeClr val="accent1"/>
          </a:solidFill>
          <a:ln>
            <a:noFill/>
          </a:ln>
          <a:effectLst>
            <a:outerShdw blurRad="254000" sx="102000" sy="102000" algn="ctr" rotWithShape="0">
              <a:prstClr val="black">
                <a:alpha val="20000"/>
              </a:prstClr>
            </a:outerShdw>
          </a:effectLst>
        </c:spPr>
      </c:pivotFmt>
      <c:pivotFmt>
        <c:idx val="695"/>
        <c:spPr>
          <a:solidFill>
            <a:schemeClr val="accent1"/>
          </a:solidFill>
          <a:ln>
            <a:noFill/>
          </a:ln>
          <a:effectLst>
            <a:outerShdw blurRad="254000" sx="102000" sy="102000" algn="ctr" rotWithShape="0">
              <a:prstClr val="black">
                <a:alpha val="20000"/>
              </a:prstClr>
            </a:outerShdw>
          </a:effectLst>
        </c:spPr>
      </c:pivotFmt>
      <c:pivotFmt>
        <c:idx val="696"/>
        <c:spPr>
          <a:solidFill>
            <a:schemeClr val="accent1"/>
          </a:solidFill>
          <a:ln>
            <a:noFill/>
          </a:ln>
          <a:effectLst>
            <a:outerShdw blurRad="254000" sx="102000" sy="102000" algn="ctr" rotWithShape="0">
              <a:prstClr val="black">
                <a:alpha val="20000"/>
              </a:prstClr>
            </a:outerShdw>
          </a:effectLst>
        </c:spPr>
      </c:pivotFmt>
      <c:pivotFmt>
        <c:idx val="697"/>
        <c:spPr>
          <a:solidFill>
            <a:schemeClr val="accent1"/>
          </a:solidFill>
          <a:ln>
            <a:noFill/>
          </a:ln>
          <a:effectLst>
            <a:outerShdw blurRad="254000" sx="102000" sy="102000" algn="ctr" rotWithShape="0">
              <a:prstClr val="black">
                <a:alpha val="20000"/>
              </a:prstClr>
            </a:outerShdw>
          </a:effectLst>
        </c:spPr>
      </c:pivotFmt>
      <c:pivotFmt>
        <c:idx val="698"/>
        <c:spPr>
          <a:solidFill>
            <a:schemeClr val="accent1"/>
          </a:solidFill>
          <a:ln>
            <a:noFill/>
          </a:ln>
          <a:effectLst>
            <a:outerShdw blurRad="254000" sx="102000" sy="102000" algn="ctr" rotWithShape="0">
              <a:prstClr val="black">
                <a:alpha val="20000"/>
              </a:prstClr>
            </a:outerShdw>
          </a:effectLst>
        </c:spPr>
      </c:pivotFmt>
      <c:pivotFmt>
        <c:idx val="699"/>
        <c:spPr>
          <a:solidFill>
            <a:schemeClr val="accent1"/>
          </a:solidFill>
          <a:ln>
            <a:noFill/>
          </a:ln>
          <a:effectLst>
            <a:outerShdw blurRad="254000" sx="102000" sy="102000" algn="ctr" rotWithShape="0">
              <a:prstClr val="black">
                <a:alpha val="20000"/>
              </a:prstClr>
            </a:outerShdw>
          </a:effectLst>
        </c:spPr>
      </c:pivotFmt>
      <c:pivotFmt>
        <c:idx val="700"/>
        <c:spPr>
          <a:solidFill>
            <a:schemeClr val="accent1"/>
          </a:solidFill>
          <a:ln>
            <a:noFill/>
          </a:ln>
          <a:effectLst>
            <a:outerShdw blurRad="254000" sx="102000" sy="102000" algn="ctr" rotWithShape="0">
              <a:prstClr val="black">
                <a:alpha val="20000"/>
              </a:prstClr>
            </a:outerShdw>
          </a:effectLst>
        </c:spPr>
      </c:pivotFmt>
      <c:pivotFmt>
        <c:idx val="701"/>
        <c:spPr>
          <a:solidFill>
            <a:schemeClr val="accent1"/>
          </a:solidFill>
          <a:ln>
            <a:noFill/>
          </a:ln>
          <a:effectLst>
            <a:outerShdw blurRad="254000" sx="102000" sy="102000" algn="ctr" rotWithShape="0">
              <a:prstClr val="black">
                <a:alpha val="20000"/>
              </a:prstClr>
            </a:outerShdw>
          </a:effectLst>
        </c:spPr>
      </c:pivotFmt>
      <c:pivotFmt>
        <c:idx val="702"/>
        <c:spPr>
          <a:solidFill>
            <a:schemeClr val="accent1"/>
          </a:solidFill>
          <a:ln>
            <a:noFill/>
          </a:ln>
          <a:effectLst>
            <a:outerShdw blurRad="254000" sx="102000" sy="102000" algn="ctr" rotWithShape="0">
              <a:prstClr val="black">
                <a:alpha val="20000"/>
              </a:prstClr>
            </a:outerShdw>
          </a:effectLst>
        </c:spPr>
      </c:pivotFmt>
      <c:pivotFmt>
        <c:idx val="703"/>
        <c:spPr>
          <a:solidFill>
            <a:schemeClr val="accent1"/>
          </a:solidFill>
          <a:ln>
            <a:noFill/>
          </a:ln>
          <a:effectLst>
            <a:outerShdw blurRad="254000" sx="102000" sy="102000" algn="ctr" rotWithShape="0">
              <a:prstClr val="black">
                <a:alpha val="20000"/>
              </a:prstClr>
            </a:outerShdw>
          </a:effectLst>
        </c:spPr>
      </c:pivotFmt>
      <c:pivotFmt>
        <c:idx val="704"/>
        <c:spPr>
          <a:solidFill>
            <a:schemeClr val="accent1"/>
          </a:solidFill>
          <a:ln>
            <a:noFill/>
          </a:ln>
          <a:effectLst>
            <a:outerShdw blurRad="254000" sx="102000" sy="102000" algn="ctr" rotWithShape="0">
              <a:prstClr val="black">
                <a:alpha val="20000"/>
              </a:prstClr>
            </a:outerShdw>
          </a:effectLst>
        </c:spPr>
      </c:pivotFmt>
      <c:pivotFmt>
        <c:idx val="705"/>
        <c:spPr>
          <a:solidFill>
            <a:schemeClr val="accent1"/>
          </a:solidFill>
          <a:ln>
            <a:noFill/>
          </a:ln>
          <a:effectLst>
            <a:outerShdw blurRad="254000" sx="102000" sy="102000" algn="ctr" rotWithShape="0">
              <a:prstClr val="black">
                <a:alpha val="20000"/>
              </a:prstClr>
            </a:outerShdw>
          </a:effectLst>
        </c:spPr>
      </c:pivotFmt>
      <c:pivotFmt>
        <c:idx val="706"/>
        <c:spPr>
          <a:solidFill>
            <a:schemeClr val="accent1"/>
          </a:solidFill>
          <a:ln>
            <a:noFill/>
          </a:ln>
          <a:effectLst>
            <a:outerShdw blurRad="254000" sx="102000" sy="102000" algn="ctr" rotWithShape="0">
              <a:prstClr val="black">
                <a:alpha val="20000"/>
              </a:prstClr>
            </a:outerShdw>
          </a:effectLst>
        </c:spPr>
      </c:pivotFmt>
      <c:pivotFmt>
        <c:idx val="707"/>
        <c:spPr>
          <a:solidFill>
            <a:schemeClr val="accent1"/>
          </a:solidFill>
          <a:ln>
            <a:noFill/>
          </a:ln>
          <a:effectLst>
            <a:outerShdw blurRad="254000" sx="102000" sy="102000" algn="ctr" rotWithShape="0">
              <a:prstClr val="black">
                <a:alpha val="20000"/>
              </a:prstClr>
            </a:outerShdw>
          </a:effectLst>
        </c:spPr>
      </c:pivotFmt>
      <c:pivotFmt>
        <c:idx val="708"/>
        <c:spPr>
          <a:solidFill>
            <a:schemeClr val="accent1"/>
          </a:solidFill>
          <a:ln>
            <a:noFill/>
          </a:ln>
          <a:effectLst>
            <a:outerShdw blurRad="254000" sx="102000" sy="102000" algn="ctr" rotWithShape="0">
              <a:prstClr val="black">
                <a:alpha val="20000"/>
              </a:prstClr>
            </a:outerShdw>
          </a:effectLst>
        </c:spPr>
      </c:pivotFmt>
      <c:pivotFmt>
        <c:idx val="709"/>
        <c:spPr>
          <a:solidFill>
            <a:schemeClr val="accent1"/>
          </a:solidFill>
          <a:ln>
            <a:noFill/>
          </a:ln>
          <a:effectLst>
            <a:outerShdw blurRad="254000" sx="102000" sy="102000" algn="ctr" rotWithShape="0">
              <a:prstClr val="black">
                <a:alpha val="20000"/>
              </a:prstClr>
            </a:outerShdw>
          </a:effectLst>
        </c:spPr>
      </c:pivotFmt>
      <c:pivotFmt>
        <c:idx val="710"/>
        <c:spPr>
          <a:solidFill>
            <a:schemeClr val="accent1"/>
          </a:solidFill>
          <a:ln>
            <a:noFill/>
          </a:ln>
          <a:effectLst>
            <a:outerShdw blurRad="254000" sx="102000" sy="102000" algn="ctr" rotWithShape="0">
              <a:prstClr val="black">
                <a:alpha val="20000"/>
              </a:prstClr>
            </a:outerShdw>
          </a:effectLst>
        </c:spPr>
      </c:pivotFmt>
      <c:pivotFmt>
        <c:idx val="711"/>
        <c:spPr>
          <a:solidFill>
            <a:schemeClr val="accent1"/>
          </a:solidFill>
          <a:ln>
            <a:noFill/>
          </a:ln>
          <a:effectLst>
            <a:outerShdw blurRad="254000" sx="102000" sy="102000" algn="ctr" rotWithShape="0">
              <a:prstClr val="black">
                <a:alpha val="20000"/>
              </a:prstClr>
            </a:outerShdw>
          </a:effectLst>
        </c:spPr>
      </c:pivotFmt>
      <c:pivotFmt>
        <c:idx val="712"/>
        <c:spPr>
          <a:solidFill>
            <a:schemeClr val="accent1"/>
          </a:solidFill>
          <a:ln>
            <a:noFill/>
          </a:ln>
          <a:effectLst>
            <a:outerShdw blurRad="254000" sx="102000" sy="102000" algn="ctr" rotWithShape="0">
              <a:prstClr val="black">
                <a:alpha val="20000"/>
              </a:prstClr>
            </a:outerShdw>
          </a:effectLst>
        </c:spPr>
      </c:pivotFmt>
      <c:pivotFmt>
        <c:idx val="713"/>
        <c:spPr>
          <a:solidFill>
            <a:schemeClr val="accent1"/>
          </a:solidFill>
          <a:ln>
            <a:noFill/>
          </a:ln>
          <a:effectLst>
            <a:outerShdw blurRad="254000" sx="102000" sy="102000" algn="ctr" rotWithShape="0">
              <a:prstClr val="black">
                <a:alpha val="20000"/>
              </a:prstClr>
            </a:outerShdw>
          </a:effectLst>
        </c:spPr>
      </c:pivotFmt>
      <c:pivotFmt>
        <c:idx val="714"/>
        <c:spPr>
          <a:solidFill>
            <a:schemeClr val="accent1"/>
          </a:solidFill>
          <a:ln>
            <a:noFill/>
          </a:ln>
          <a:effectLst>
            <a:outerShdw blurRad="254000" sx="102000" sy="102000" algn="ctr" rotWithShape="0">
              <a:prstClr val="black">
                <a:alpha val="20000"/>
              </a:prstClr>
            </a:outerShdw>
          </a:effectLst>
        </c:spPr>
      </c:pivotFmt>
      <c:pivotFmt>
        <c:idx val="715"/>
        <c:spPr>
          <a:solidFill>
            <a:schemeClr val="accent1"/>
          </a:solidFill>
          <a:ln>
            <a:noFill/>
          </a:ln>
          <a:effectLst>
            <a:outerShdw blurRad="254000" sx="102000" sy="102000" algn="ctr" rotWithShape="0">
              <a:prstClr val="black">
                <a:alpha val="20000"/>
              </a:prstClr>
            </a:outerShdw>
          </a:effectLst>
        </c:spPr>
      </c:pivotFmt>
      <c:pivotFmt>
        <c:idx val="716"/>
        <c:spPr>
          <a:solidFill>
            <a:schemeClr val="accent1"/>
          </a:solidFill>
          <a:ln>
            <a:noFill/>
          </a:ln>
          <a:effectLst>
            <a:outerShdw blurRad="254000" sx="102000" sy="102000" algn="ctr" rotWithShape="0">
              <a:prstClr val="black">
                <a:alpha val="20000"/>
              </a:prstClr>
            </a:outerShdw>
          </a:effectLst>
        </c:spPr>
      </c:pivotFmt>
      <c:pivotFmt>
        <c:idx val="717"/>
        <c:spPr>
          <a:solidFill>
            <a:schemeClr val="accent1"/>
          </a:solidFill>
          <a:ln>
            <a:noFill/>
          </a:ln>
          <a:effectLst>
            <a:outerShdw blurRad="254000" sx="102000" sy="102000" algn="ctr" rotWithShape="0">
              <a:prstClr val="black">
                <a:alpha val="20000"/>
              </a:prstClr>
            </a:outerShdw>
          </a:effectLst>
        </c:spPr>
      </c:pivotFmt>
      <c:pivotFmt>
        <c:idx val="718"/>
        <c:spPr>
          <a:solidFill>
            <a:schemeClr val="accent1"/>
          </a:solidFill>
          <a:ln>
            <a:noFill/>
          </a:ln>
          <a:effectLst>
            <a:outerShdw blurRad="254000" sx="102000" sy="102000" algn="ctr" rotWithShape="0">
              <a:prstClr val="black">
                <a:alpha val="20000"/>
              </a:prstClr>
            </a:outerShdw>
          </a:effectLst>
        </c:spPr>
      </c:pivotFmt>
      <c:pivotFmt>
        <c:idx val="719"/>
        <c:spPr>
          <a:solidFill>
            <a:schemeClr val="accent1"/>
          </a:solidFill>
          <a:ln>
            <a:noFill/>
          </a:ln>
          <a:effectLst>
            <a:outerShdw blurRad="254000" sx="102000" sy="102000" algn="ctr" rotWithShape="0">
              <a:prstClr val="black">
                <a:alpha val="20000"/>
              </a:prstClr>
            </a:outerShdw>
          </a:effectLst>
        </c:spPr>
      </c:pivotFmt>
      <c:pivotFmt>
        <c:idx val="720"/>
        <c:spPr>
          <a:solidFill>
            <a:schemeClr val="accent1"/>
          </a:solidFill>
          <a:ln>
            <a:noFill/>
          </a:ln>
          <a:effectLst>
            <a:outerShdw blurRad="254000" sx="102000" sy="102000" algn="ctr" rotWithShape="0">
              <a:prstClr val="black">
                <a:alpha val="20000"/>
              </a:prstClr>
            </a:outerShdw>
          </a:effectLst>
        </c:spPr>
      </c:pivotFmt>
      <c:pivotFmt>
        <c:idx val="721"/>
        <c:spPr>
          <a:solidFill>
            <a:schemeClr val="accent1"/>
          </a:solidFill>
          <a:ln>
            <a:noFill/>
          </a:ln>
          <a:effectLst>
            <a:outerShdw blurRad="254000" sx="102000" sy="102000" algn="ctr" rotWithShape="0">
              <a:prstClr val="black">
                <a:alpha val="20000"/>
              </a:prstClr>
            </a:outerShdw>
          </a:effectLst>
        </c:spPr>
      </c:pivotFmt>
      <c:pivotFmt>
        <c:idx val="722"/>
        <c:spPr>
          <a:solidFill>
            <a:schemeClr val="accent1"/>
          </a:solidFill>
          <a:ln>
            <a:noFill/>
          </a:ln>
          <a:effectLst>
            <a:outerShdw blurRad="254000" sx="102000" sy="102000" algn="ctr" rotWithShape="0">
              <a:prstClr val="black">
                <a:alpha val="20000"/>
              </a:prstClr>
            </a:outerShdw>
          </a:effectLst>
        </c:spPr>
      </c:pivotFmt>
      <c:pivotFmt>
        <c:idx val="723"/>
        <c:spPr>
          <a:solidFill>
            <a:schemeClr val="accent1"/>
          </a:solidFill>
          <a:ln>
            <a:noFill/>
          </a:ln>
          <a:effectLst>
            <a:outerShdw blurRad="254000" sx="102000" sy="102000" algn="ctr" rotWithShape="0">
              <a:prstClr val="black">
                <a:alpha val="20000"/>
              </a:prstClr>
            </a:outerShdw>
          </a:effectLst>
        </c:spPr>
      </c:pivotFmt>
      <c:pivotFmt>
        <c:idx val="724"/>
        <c:spPr>
          <a:solidFill>
            <a:schemeClr val="accent1"/>
          </a:solidFill>
          <a:ln>
            <a:noFill/>
          </a:ln>
          <a:effectLst>
            <a:outerShdw blurRad="254000" sx="102000" sy="102000" algn="ctr" rotWithShape="0">
              <a:prstClr val="black">
                <a:alpha val="20000"/>
              </a:prstClr>
            </a:outerShdw>
          </a:effectLst>
        </c:spPr>
      </c:pivotFmt>
      <c:pivotFmt>
        <c:idx val="725"/>
        <c:spPr>
          <a:solidFill>
            <a:schemeClr val="accent1"/>
          </a:solidFill>
          <a:ln>
            <a:noFill/>
          </a:ln>
          <a:effectLst>
            <a:outerShdw blurRad="254000" sx="102000" sy="102000" algn="ctr" rotWithShape="0">
              <a:prstClr val="black">
                <a:alpha val="20000"/>
              </a:prstClr>
            </a:outerShdw>
          </a:effectLst>
        </c:spPr>
      </c:pivotFmt>
      <c:pivotFmt>
        <c:idx val="726"/>
        <c:spPr>
          <a:solidFill>
            <a:schemeClr val="accent1"/>
          </a:solidFill>
          <a:ln>
            <a:noFill/>
          </a:ln>
          <a:effectLst>
            <a:outerShdw blurRad="254000" sx="102000" sy="102000" algn="ctr" rotWithShape="0">
              <a:prstClr val="black">
                <a:alpha val="20000"/>
              </a:prstClr>
            </a:outerShdw>
          </a:effectLst>
        </c:spPr>
      </c:pivotFmt>
      <c:pivotFmt>
        <c:idx val="727"/>
        <c:spPr>
          <a:solidFill>
            <a:schemeClr val="accent1"/>
          </a:solidFill>
          <a:ln>
            <a:noFill/>
          </a:ln>
          <a:effectLst>
            <a:outerShdw blurRad="254000" sx="102000" sy="102000" algn="ctr" rotWithShape="0">
              <a:prstClr val="black">
                <a:alpha val="20000"/>
              </a:prstClr>
            </a:outerShdw>
          </a:effectLst>
        </c:spPr>
      </c:pivotFmt>
      <c:pivotFmt>
        <c:idx val="728"/>
        <c:spPr>
          <a:solidFill>
            <a:schemeClr val="accent1"/>
          </a:solidFill>
          <a:ln>
            <a:noFill/>
          </a:ln>
          <a:effectLst>
            <a:outerShdw blurRad="254000" sx="102000" sy="102000" algn="ctr" rotWithShape="0">
              <a:prstClr val="black">
                <a:alpha val="20000"/>
              </a:prstClr>
            </a:outerShdw>
          </a:effectLst>
        </c:spPr>
      </c:pivotFmt>
      <c:pivotFmt>
        <c:idx val="729"/>
        <c:spPr>
          <a:solidFill>
            <a:schemeClr val="accent1"/>
          </a:solidFill>
          <a:ln>
            <a:noFill/>
          </a:ln>
          <a:effectLst>
            <a:outerShdw blurRad="254000" sx="102000" sy="102000" algn="ctr" rotWithShape="0">
              <a:prstClr val="black">
                <a:alpha val="20000"/>
              </a:prstClr>
            </a:outerShdw>
          </a:effectLst>
        </c:spPr>
      </c:pivotFmt>
      <c:pivotFmt>
        <c:idx val="730"/>
        <c:spPr>
          <a:solidFill>
            <a:schemeClr val="accent1"/>
          </a:solidFill>
          <a:ln>
            <a:noFill/>
          </a:ln>
          <a:effectLst>
            <a:outerShdw blurRad="254000" sx="102000" sy="102000" algn="ctr" rotWithShape="0">
              <a:prstClr val="black">
                <a:alpha val="20000"/>
              </a:prstClr>
            </a:outerShdw>
          </a:effectLst>
        </c:spPr>
      </c:pivotFmt>
      <c:pivotFmt>
        <c:idx val="731"/>
        <c:spPr>
          <a:solidFill>
            <a:schemeClr val="accent1"/>
          </a:solidFill>
          <a:ln>
            <a:noFill/>
          </a:ln>
          <a:effectLst>
            <a:outerShdw blurRad="254000" sx="102000" sy="102000" algn="ctr" rotWithShape="0">
              <a:prstClr val="black">
                <a:alpha val="20000"/>
              </a:prstClr>
            </a:outerShdw>
          </a:effectLst>
        </c:spPr>
      </c:pivotFmt>
      <c:pivotFmt>
        <c:idx val="732"/>
        <c:spPr>
          <a:solidFill>
            <a:schemeClr val="accent1"/>
          </a:solidFill>
          <a:ln>
            <a:noFill/>
          </a:ln>
          <a:effectLst>
            <a:outerShdw blurRad="254000" sx="102000" sy="102000" algn="ctr" rotWithShape="0">
              <a:prstClr val="black">
                <a:alpha val="20000"/>
              </a:prstClr>
            </a:outerShdw>
          </a:effectLst>
        </c:spPr>
      </c:pivotFmt>
      <c:pivotFmt>
        <c:idx val="733"/>
        <c:spPr>
          <a:solidFill>
            <a:schemeClr val="accent1"/>
          </a:solidFill>
          <a:ln>
            <a:noFill/>
          </a:ln>
          <a:effectLst>
            <a:outerShdw blurRad="254000" sx="102000" sy="102000" algn="ctr" rotWithShape="0">
              <a:prstClr val="black">
                <a:alpha val="20000"/>
              </a:prstClr>
            </a:outerShdw>
          </a:effectLst>
        </c:spPr>
      </c:pivotFmt>
      <c:pivotFmt>
        <c:idx val="734"/>
        <c:spPr>
          <a:solidFill>
            <a:schemeClr val="accent1"/>
          </a:solidFill>
          <a:ln>
            <a:noFill/>
          </a:ln>
          <a:effectLst>
            <a:outerShdw blurRad="254000" sx="102000" sy="102000" algn="ctr" rotWithShape="0">
              <a:prstClr val="black">
                <a:alpha val="20000"/>
              </a:prstClr>
            </a:outerShdw>
          </a:effectLst>
        </c:spPr>
      </c:pivotFmt>
      <c:pivotFmt>
        <c:idx val="735"/>
        <c:spPr>
          <a:solidFill>
            <a:schemeClr val="accent1"/>
          </a:solidFill>
          <a:ln>
            <a:noFill/>
          </a:ln>
          <a:effectLst>
            <a:outerShdw blurRad="254000" sx="102000" sy="102000" algn="ctr" rotWithShape="0">
              <a:prstClr val="black">
                <a:alpha val="20000"/>
              </a:prstClr>
            </a:outerShdw>
          </a:effectLst>
        </c:spPr>
      </c:pivotFmt>
      <c:pivotFmt>
        <c:idx val="736"/>
        <c:spPr>
          <a:solidFill>
            <a:schemeClr val="accent1"/>
          </a:solidFill>
          <a:ln>
            <a:noFill/>
          </a:ln>
          <a:effectLst>
            <a:outerShdw blurRad="254000" sx="102000" sy="102000" algn="ctr" rotWithShape="0">
              <a:prstClr val="black">
                <a:alpha val="20000"/>
              </a:prstClr>
            </a:outerShdw>
          </a:effectLst>
        </c:spPr>
      </c:pivotFmt>
      <c:pivotFmt>
        <c:idx val="737"/>
        <c:spPr>
          <a:solidFill>
            <a:schemeClr val="accent1"/>
          </a:solidFill>
          <a:ln>
            <a:noFill/>
          </a:ln>
          <a:effectLst>
            <a:outerShdw blurRad="254000" sx="102000" sy="102000" algn="ctr" rotWithShape="0">
              <a:prstClr val="black">
                <a:alpha val="20000"/>
              </a:prstClr>
            </a:outerShdw>
          </a:effectLst>
        </c:spPr>
      </c:pivotFmt>
      <c:pivotFmt>
        <c:idx val="738"/>
        <c:spPr>
          <a:solidFill>
            <a:schemeClr val="accent1"/>
          </a:solidFill>
          <a:ln>
            <a:noFill/>
          </a:ln>
          <a:effectLst>
            <a:outerShdw blurRad="254000" sx="102000" sy="102000" algn="ctr" rotWithShape="0">
              <a:prstClr val="black">
                <a:alpha val="20000"/>
              </a:prstClr>
            </a:outerShdw>
          </a:effectLst>
        </c:spPr>
      </c:pivotFmt>
      <c:pivotFmt>
        <c:idx val="739"/>
        <c:spPr>
          <a:solidFill>
            <a:schemeClr val="accent1"/>
          </a:solidFill>
          <a:ln>
            <a:noFill/>
          </a:ln>
          <a:effectLst>
            <a:outerShdw blurRad="254000" sx="102000" sy="102000" algn="ctr" rotWithShape="0">
              <a:prstClr val="black">
                <a:alpha val="20000"/>
              </a:prstClr>
            </a:outerShdw>
          </a:effectLst>
        </c:spPr>
      </c:pivotFmt>
      <c:pivotFmt>
        <c:idx val="740"/>
        <c:spPr>
          <a:solidFill>
            <a:schemeClr val="accent1"/>
          </a:solidFill>
          <a:ln>
            <a:noFill/>
          </a:ln>
          <a:effectLst>
            <a:outerShdw blurRad="254000" sx="102000" sy="102000" algn="ctr" rotWithShape="0">
              <a:prstClr val="black">
                <a:alpha val="20000"/>
              </a:prstClr>
            </a:outerShdw>
          </a:effectLst>
        </c:spPr>
      </c:pivotFmt>
      <c:pivotFmt>
        <c:idx val="741"/>
        <c:spPr>
          <a:solidFill>
            <a:schemeClr val="accent1"/>
          </a:solidFill>
          <a:ln>
            <a:noFill/>
          </a:ln>
          <a:effectLst>
            <a:outerShdw blurRad="254000" sx="102000" sy="102000" algn="ctr" rotWithShape="0">
              <a:prstClr val="black">
                <a:alpha val="20000"/>
              </a:prstClr>
            </a:outerShdw>
          </a:effectLst>
        </c:spPr>
      </c:pivotFmt>
      <c:pivotFmt>
        <c:idx val="742"/>
        <c:spPr>
          <a:solidFill>
            <a:schemeClr val="accent1"/>
          </a:solidFill>
          <a:ln>
            <a:noFill/>
          </a:ln>
          <a:effectLst>
            <a:outerShdw blurRad="254000" sx="102000" sy="102000" algn="ctr" rotWithShape="0">
              <a:prstClr val="black">
                <a:alpha val="20000"/>
              </a:prstClr>
            </a:outerShdw>
          </a:effectLst>
        </c:spPr>
      </c:pivotFmt>
      <c:pivotFmt>
        <c:idx val="743"/>
        <c:spPr>
          <a:solidFill>
            <a:schemeClr val="accent1"/>
          </a:solidFill>
          <a:ln>
            <a:noFill/>
          </a:ln>
          <a:effectLst>
            <a:outerShdw blurRad="254000" sx="102000" sy="102000" algn="ctr" rotWithShape="0">
              <a:prstClr val="black">
                <a:alpha val="20000"/>
              </a:prstClr>
            </a:outerShdw>
          </a:effectLst>
        </c:spPr>
      </c:pivotFmt>
      <c:pivotFmt>
        <c:idx val="744"/>
        <c:spPr>
          <a:solidFill>
            <a:schemeClr val="accent1"/>
          </a:solidFill>
          <a:ln>
            <a:noFill/>
          </a:ln>
          <a:effectLst>
            <a:outerShdw blurRad="254000" sx="102000" sy="102000" algn="ctr" rotWithShape="0">
              <a:prstClr val="black">
                <a:alpha val="20000"/>
              </a:prstClr>
            </a:outerShdw>
          </a:effectLst>
        </c:spPr>
      </c:pivotFmt>
      <c:pivotFmt>
        <c:idx val="745"/>
        <c:spPr>
          <a:solidFill>
            <a:schemeClr val="accent1"/>
          </a:solidFill>
          <a:ln>
            <a:noFill/>
          </a:ln>
          <a:effectLst>
            <a:outerShdw blurRad="254000" sx="102000" sy="102000" algn="ctr" rotWithShape="0">
              <a:prstClr val="black">
                <a:alpha val="20000"/>
              </a:prstClr>
            </a:outerShdw>
          </a:effectLst>
        </c:spPr>
      </c:pivotFmt>
      <c:pivotFmt>
        <c:idx val="746"/>
        <c:spPr>
          <a:solidFill>
            <a:schemeClr val="accent1"/>
          </a:solidFill>
          <a:ln>
            <a:noFill/>
          </a:ln>
          <a:effectLst>
            <a:outerShdw blurRad="254000" sx="102000" sy="102000" algn="ctr" rotWithShape="0">
              <a:prstClr val="black">
                <a:alpha val="20000"/>
              </a:prstClr>
            </a:outerShdw>
          </a:effectLst>
        </c:spPr>
      </c:pivotFmt>
      <c:pivotFmt>
        <c:idx val="747"/>
        <c:spPr>
          <a:solidFill>
            <a:schemeClr val="accent1"/>
          </a:solidFill>
          <a:ln>
            <a:noFill/>
          </a:ln>
          <a:effectLst>
            <a:outerShdw blurRad="254000" sx="102000" sy="102000" algn="ctr" rotWithShape="0">
              <a:prstClr val="black">
                <a:alpha val="20000"/>
              </a:prstClr>
            </a:outerShdw>
          </a:effectLst>
        </c:spPr>
      </c:pivotFmt>
      <c:pivotFmt>
        <c:idx val="748"/>
        <c:spPr>
          <a:solidFill>
            <a:schemeClr val="accent1"/>
          </a:solidFill>
          <a:ln>
            <a:noFill/>
          </a:ln>
          <a:effectLst>
            <a:outerShdw blurRad="254000" sx="102000" sy="102000" algn="ctr" rotWithShape="0">
              <a:prstClr val="black">
                <a:alpha val="20000"/>
              </a:prstClr>
            </a:outerShdw>
          </a:effectLst>
        </c:spPr>
      </c:pivotFmt>
      <c:pivotFmt>
        <c:idx val="749"/>
        <c:spPr>
          <a:solidFill>
            <a:schemeClr val="accent1"/>
          </a:solidFill>
          <a:ln>
            <a:noFill/>
          </a:ln>
          <a:effectLst>
            <a:outerShdw blurRad="254000" sx="102000" sy="102000" algn="ctr" rotWithShape="0">
              <a:prstClr val="black">
                <a:alpha val="20000"/>
              </a:prstClr>
            </a:outerShdw>
          </a:effectLst>
        </c:spPr>
      </c:pivotFmt>
      <c:pivotFmt>
        <c:idx val="750"/>
        <c:spPr>
          <a:solidFill>
            <a:schemeClr val="accent1"/>
          </a:solidFill>
          <a:ln>
            <a:noFill/>
          </a:ln>
          <a:effectLst>
            <a:outerShdw blurRad="254000" sx="102000" sy="102000" algn="ctr" rotWithShape="0">
              <a:prstClr val="black">
                <a:alpha val="20000"/>
              </a:prstClr>
            </a:outerShdw>
          </a:effectLst>
        </c:spPr>
      </c:pivotFmt>
      <c:pivotFmt>
        <c:idx val="751"/>
        <c:spPr>
          <a:solidFill>
            <a:schemeClr val="accent1"/>
          </a:solidFill>
          <a:ln>
            <a:noFill/>
          </a:ln>
          <a:effectLst>
            <a:outerShdw blurRad="254000" sx="102000" sy="102000" algn="ctr" rotWithShape="0">
              <a:prstClr val="black">
                <a:alpha val="20000"/>
              </a:prstClr>
            </a:outerShdw>
          </a:effectLst>
        </c:spPr>
      </c:pivotFmt>
      <c:pivotFmt>
        <c:idx val="752"/>
        <c:spPr>
          <a:solidFill>
            <a:schemeClr val="accent1"/>
          </a:solidFill>
          <a:ln>
            <a:noFill/>
          </a:ln>
          <a:effectLst>
            <a:outerShdw blurRad="254000" sx="102000" sy="102000" algn="ctr" rotWithShape="0">
              <a:prstClr val="black">
                <a:alpha val="20000"/>
              </a:prstClr>
            </a:outerShdw>
          </a:effectLst>
        </c:spPr>
      </c:pivotFmt>
      <c:pivotFmt>
        <c:idx val="753"/>
        <c:spPr>
          <a:solidFill>
            <a:schemeClr val="accent1"/>
          </a:solidFill>
          <a:ln>
            <a:noFill/>
          </a:ln>
          <a:effectLst>
            <a:outerShdw blurRad="254000" sx="102000" sy="102000" algn="ctr" rotWithShape="0">
              <a:prstClr val="black">
                <a:alpha val="20000"/>
              </a:prstClr>
            </a:outerShdw>
          </a:effectLst>
        </c:spPr>
      </c:pivotFmt>
      <c:pivotFmt>
        <c:idx val="754"/>
        <c:spPr>
          <a:solidFill>
            <a:schemeClr val="accent1"/>
          </a:solidFill>
          <a:ln>
            <a:noFill/>
          </a:ln>
          <a:effectLst>
            <a:outerShdw blurRad="254000" sx="102000" sy="102000" algn="ctr" rotWithShape="0">
              <a:prstClr val="black">
                <a:alpha val="20000"/>
              </a:prstClr>
            </a:outerShdw>
          </a:effectLst>
        </c:spPr>
      </c:pivotFmt>
      <c:pivotFmt>
        <c:idx val="755"/>
        <c:spPr>
          <a:solidFill>
            <a:schemeClr val="accent1"/>
          </a:solidFill>
          <a:ln>
            <a:noFill/>
          </a:ln>
          <a:effectLst>
            <a:outerShdw blurRad="254000" sx="102000" sy="102000" algn="ctr" rotWithShape="0">
              <a:prstClr val="black">
                <a:alpha val="20000"/>
              </a:prstClr>
            </a:outerShdw>
          </a:effectLst>
        </c:spPr>
      </c:pivotFmt>
      <c:pivotFmt>
        <c:idx val="756"/>
        <c:spPr>
          <a:solidFill>
            <a:schemeClr val="accent1"/>
          </a:solidFill>
          <a:ln>
            <a:noFill/>
          </a:ln>
          <a:effectLst>
            <a:outerShdw blurRad="254000" sx="102000" sy="102000" algn="ctr" rotWithShape="0">
              <a:prstClr val="black">
                <a:alpha val="20000"/>
              </a:prstClr>
            </a:outerShdw>
          </a:effectLst>
        </c:spPr>
      </c:pivotFmt>
      <c:pivotFmt>
        <c:idx val="757"/>
        <c:spPr>
          <a:solidFill>
            <a:schemeClr val="accent1"/>
          </a:solidFill>
          <a:ln>
            <a:noFill/>
          </a:ln>
          <a:effectLst>
            <a:outerShdw blurRad="254000" sx="102000" sy="102000" algn="ctr" rotWithShape="0">
              <a:prstClr val="black">
                <a:alpha val="20000"/>
              </a:prstClr>
            </a:outerShdw>
          </a:effectLst>
        </c:spPr>
      </c:pivotFmt>
      <c:pivotFmt>
        <c:idx val="758"/>
        <c:spPr>
          <a:solidFill>
            <a:schemeClr val="accent1"/>
          </a:solidFill>
          <a:ln>
            <a:noFill/>
          </a:ln>
          <a:effectLst>
            <a:outerShdw blurRad="254000" sx="102000" sy="102000" algn="ctr" rotWithShape="0">
              <a:prstClr val="black">
                <a:alpha val="20000"/>
              </a:prstClr>
            </a:outerShdw>
          </a:effectLst>
        </c:spPr>
      </c:pivotFmt>
      <c:pivotFmt>
        <c:idx val="759"/>
        <c:spPr>
          <a:solidFill>
            <a:schemeClr val="accent1"/>
          </a:solidFill>
          <a:ln>
            <a:noFill/>
          </a:ln>
          <a:effectLst>
            <a:outerShdw blurRad="254000" sx="102000" sy="102000" algn="ctr" rotWithShape="0">
              <a:prstClr val="black">
                <a:alpha val="20000"/>
              </a:prstClr>
            </a:outerShdw>
          </a:effectLst>
        </c:spPr>
      </c:pivotFmt>
      <c:pivotFmt>
        <c:idx val="760"/>
        <c:spPr>
          <a:solidFill>
            <a:schemeClr val="accent1"/>
          </a:solidFill>
          <a:ln>
            <a:noFill/>
          </a:ln>
          <a:effectLst>
            <a:outerShdw blurRad="254000" sx="102000" sy="102000" algn="ctr" rotWithShape="0">
              <a:prstClr val="black">
                <a:alpha val="20000"/>
              </a:prstClr>
            </a:outerShdw>
          </a:effectLst>
        </c:spPr>
      </c:pivotFmt>
      <c:pivotFmt>
        <c:idx val="761"/>
        <c:spPr>
          <a:solidFill>
            <a:schemeClr val="accent1"/>
          </a:solidFill>
          <a:ln>
            <a:noFill/>
          </a:ln>
          <a:effectLst>
            <a:outerShdw blurRad="254000" sx="102000" sy="102000" algn="ctr" rotWithShape="0">
              <a:prstClr val="black">
                <a:alpha val="20000"/>
              </a:prstClr>
            </a:outerShdw>
          </a:effectLst>
        </c:spPr>
      </c:pivotFmt>
      <c:pivotFmt>
        <c:idx val="762"/>
        <c:spPr>
          <a:solidFill>
            <a:schemeClr val="accent1"/>
          </a:solidFill>
          <a:ln>
            <a:noFill/>
          </a:ln>
          <a:effectLst>
            <a:outerShdw blurRad="254000" sx="102000" sy="102000" algn="ctr" rotWithShape="0">
              <a:prstClr val="black">
                <a:alpha val="20000"/>
              </a:prstClr>
            </a:outerShdw>
          </a:effectLst>
        </c:spPr>
      </c:pivotFmt>
      <c:pivotFmt>
        <c:idx val="763"/>
        <c:spPr>
          <a:solidFill>
            <a:schemeClr val="accent1"/>
          </a:solidFill>
          <a:ln>
            <a:noFill/>
          </a:ln>
          <a:effectLst>
            <a:outerShdw blurRad="254000" sx="102000" sy="102000" algn="ctr" rotWithShape="0">
              <a:prstClr val="black">
                <a:alpha val="20000"/>
              </a:prstClr>
            </a:outerShdw>
          </a:effectLst>
        </c:spPr>
      </c:pivotFmt>
      <c:pivotFmt>
        <c:idx val="764"/>
        <c:spPr>
          <a:solidFill>
            <a:schemeClr val="accent1"/>
          </a:solidFill>
          <a:ln>
            <a:noFill/>
          </a:ln>
          <a:effectLst>
            <a:outerShdw blurRad="254000" sx="102000" sy="102000" algn="ctr" rotWithShape="0">
              <a:prstClr val="black">
                <a:alpha val="20000"/>
              </a:prstClr>
            </a:outerShdw>
          </a:effectLst>
        </c:spPr>
      </c:pivotFmt>
      <c:pivotFmt>
        <c:idx val="765"/>
        <c:spPr>
          <a:solidFill>
            <a:schemeClr val="accent1"/>
          </a:solidFill>
          <a:ln>
            <a:noFill/>
          </a:ln>
          <a:effectLst>
            <a:outerShdw blurRad="254000" sx="102000" sy="102000" algn="ctr" rotWithShape="0">
              <a:prstClr val="black">
                <a:alpha val="20000"/>
              </a:prstClr>
            </a:outerShdw>
          </a:effectLst>
        </c:spPr>
      </c:pivotFmt>
      <c:pivotFmt>
        <c:idx val="766"/>
        <c:spPr>
          <a:solidFill>
            <a:schemeClr val="accent1"/>
          </a:solidFill>
          <a:ln>
            <a:noFill/>
          </a:ln>
          <a:effectLst>
            <a:outerShdw blurRad="254000" sx="102000" sy="102000" algn="ctr" rotWithShape="0">
              <a:prstClr val="black">
                <a:alpha val="20000"/>
              </a:prstClr>
            </a:outerShdw>
          </a:effectLst>
        </c:spPr>
      </c:pivotFmt>
      <c:pivotFmt>
        <c:idx val="767"/>
        <c:spPr>
          <a:solidFill>
            <a:schemeClr val="accent1"/>
          </a:solidFill>
          <a:ln>
            <a:noFill/>
          </a:ln>
          <a:effectLst>
            <a:outerShdw blurRad="254000" sx="102000" sy="102000" algn="ctr" rotWithShape="0">
              <a:prstClr val="black">
                <a:alpha val="20000"/>
              </a:prstClr>
            </a:outerShdw>
          </a:effectLst>
        </c:spPr>
      </c:pivotFmt>
      <c:pivotFmt>
        <c:idx val="768"/>
        <c:spPr>
          <a:solidFill>
            <a:schemeClr val="accent1"/>
          </a:solidFill>
          <a:ln>
            <a:noFill/>
          </a:ln>
          <a:effectLst>
            <a:outerShdw blurRad="254000" sx="102000" sy="102000" algn="ctr" rotWithShape="0">
              <a:prstClr val="black">
                <a:alpha val="20000"/>
              </a:prstClr>
            </a:outerShdw>
          </a:effectLst>
        </c:spPr>
      </c:pivotFmt>
      <c:pivotFmt>
        <c:idx val="769"/>
        <c:spPr>
          <a:solidFill>
            <a:schemeClr val="accent1"/>
          </a:solidFill>
          <a:ln>
            <a:noFill/>
          </a:ln>
          <a:effectLst>
            <a:outerShdw blurRad="254000" sx="102000" sy="102000" algn="ctr" rotWithShape="0">
              <a:prstClr val="black">
                <a:alpha val="20000"/>
              </a:prstClr>
            </a:outerShdw>
          </a:effectLst>
        </c:spPr>
      </c:pivotFmt>
      <c:pivotFmt>
        <c:idx val="770"/>
        <c:spPr>
          <a:solidFill>
            <a:schemeClr val="accent1"/>
          </a:solidFill>
          <a:ln>
            <a:noFill/>
          </a:ln>
          <a:effectLst>
            <a:outerShdw blurRad="254000" sx="102000" sy="102000" algn="ctr" rotWithShape="0">
              <a:prstClr val="black">
                <a:alpha val="20000"/>
              </a:prstClr>
            </a:outerShdw>
          </a:effectLst>
        </c:spPr>
      </c:pivotFmt>
      <c:pivotFmt>
        <c:idx val="771"/>
        <c:spPr>
          <a:solidFill>
            <a:schemeClr val="accent1"/>
          </a:solidFill>
          <a:ln>
            <a:noFill/>
          </a:ln>
          <a:effectLst>
            <a:outerShdw blurRad="254000" sx="102000" sy="102000" algn="ctr" rotWithShape="0">
              <a:prstClr val="black">
                <a:alpha val="20000"/>
              </a:prstClr>
            </a:outerShdw>
          </a:effectLst>
        </c:spPr>
      </c:pivotFmt>
      <c:pivotFmt>
        <c:idx val="772"/>
        <c:spPr>
          <a:solidFill>
            <a:schemeClr val="accent1"/>
          </a:solidFill>
          <a:ln>
            <a:noFill/>
          </a:ln>
          <a:effectLst>
            <a:outerShdw blurRad="254000" sx="102000" sy="102000" algn="ctr" rotWithShape="0">
              <a:prstClr val="black">
                <a:alpha val="20000"/>
              </a:prstClr>
            </a:outerShdw>
          </a:effectLst>
        </c:spPr>
      </c:pivotFmt>
      <c:pivotFmt>
        <c:idx val="773"/>
        <c:spPr>
          <a:solidFill>
            <a:schemeClr val="accent1"/>
          </a:solidFill>
          <a:ln>
            <a:noFill/>
          </a:ln>
          <a:effectLst>
            <a:outerShdw blurRad="254000" sx="102000" sy="102000" algn="ctr" rotWithShape="0">
              <a:prstClr val="black">
                <a:alpha val="20000"/>
              </a:prstClr>
            </a:outerShdw>
          </a:effectLst>
        </c:spPr>
      </c:pivotFmt>
      <c:pivotFmt>
        <c:idx val="774"/>
        <c:spPr>
          <a:solidFill>
            <a:schemeClr val="accent1"/>
          </a:solidFill>
          <a:ln>
            <a:noFill/>
          </a:ln>
          <a:effectLst>
            <a:outerShdw blurRad="254000" sx="102000" sy="102000" algn="ctr" rotWithShape="0">
              <a:prstClr val="black">
                <a:alpha val="20000"/>
              </a:prstClr>
            </a:outerShdw>
          </a:effectLst>
        </c:spPr>
      </c:pivotFmt>
      <c:pivotFmt>
        <c:idx val="775"/>
        <c:spPr>
          <a:solidFill>
            <a:schemeClr val="accent1"/>
          </a:solidFill>
          <a:ln>
            <a:noFill/>
          </a:ln>
          <a:effectLst>
            <a:outerShdw blurRad="254000" sx="102000" sy="102000" algn="ctr" rotWithShape="0">
              <a:prstClr val="black">
                <a:alpha val="20000"/>
              </a:prstClr>
            </a:outerShdw>
          </a:effectLst>
        </c:spPr>
      </c:pivotFmt>
      <c:pivotFmt>
        <c:idx val="776"/>
        <c:spPr>
          <a:solidFill>
            <a:schemeClr val="accent1"/>
          </a:solidFill>
          <a:ln>
            <a:noFill/>
          </a:ln>
          <a:effectLst>
            <a:outerShdw blurRad="254000" sx="102000" sy="102000" algn="ctr" rotWithShape="0">
              <a:prstClr val="black">
                <a:alpha val="20000"/>
              </a:prstClr>
            </a:outerShdw>
          </a:effectLst>
        </c:spPr>
      </c:pivotFmt>
      <c:pivotFmt>
        <c:idx val="777"/>
        <c:spPr>
          <a:solidFill>
            <a:schemeClr val="accent1"/>
          </a:solidFill>
          <a:ln>
            <a:noFill/>
          </a:ln>
          <a:effectLst>
            <a:outerShdw blurRad="254000" sx="102000" sy="102000" algn="ctr" rotWithShape="0">
              <a:prstClr val="black">
                <a:alpha val="20000"/>
              </a:prstClr>
            </a:outerShdw>
          </a:effectLst>
        </c:spPr>
      </c:pivotFmt>
      <c:pivotFmt>
        <c:idx val="778"/>
        <c:spPr>
          <a:solidFill>
            <a:schemeClr val="accent1"/>
          </a:solidFill>
          <a:ln>
            <a:noFill/>
          </a:ln>
          <a:effectLst>
            <a:outerShdw blurRad="254000" sx="102000" sy="102000" algn="ctr" rotWithShape="0">
              <a:prstClr val="black">
                <a:alpha val="20000"/>
              </a:prstClr>
            </a:outerShdw>
          </a:effectLst>
        </c:spPr>
      </c:pivotFmt>
      <c:pivotFmt>
        <c:idx val="779"/>
        <c:spPr>
          <a:solidFill>
            <a:schemeClr val="accent1"/>
          </a:solidFill>
          <a:ln>
            <a:noFill/>
          </a:ln>
          <a:effectLst>
            <a:outerShdw blurRad="254000" sx="102000" sy="102000" algn="ctr" rotWithShape="0">
              <a:prstClr val="black">
                <a:alpha val="20000"/>
              </a:prstClr>
            </a:outerShdw>
          </a:effectLst>
        </c:spPr>
      </c:pivotFmt>
      <c:pivotFmt>
        <c:idx val="780"/>
        <c:spPr>
          <a:solidFill>
            <a:schemeClr val="accent1"/>
          </a:solidFill>
          <a:ln>
            <a:noFill/>
          </a:ln>
          <a:effectLst>
            <a:outerShdw blurRad="254000" sx="102000" sy="102000" algn="ctr" rotWithShape="0">
              <a:prstClr val="black">
                <a:alpha val="20000"/>
              </a:prstClr>
            </a:outerShdw>
          </a:effectLst>
        </c:spPr>
      </c:pivotFmt>
      <c:pivotFmt>
        <c:idx val="781"/>
        <c:spPr>
          <a:solidFill>
            <a:schemeClr val="accent1"/>
          </a:solidFill>
          <a:ln>
            <a:noFill/>
          </a:ln>
          <a:effectLst>
            <a:outerShdw blurRad="254000" sx="102000" sy="102000" algn="ctr" rotWithShape="0">
              <a:prstClr val="black">
                <a:alpha val="20000"/>
              </a:prstClr>
            </a:outerShdw>
          </a:effectLst>
        </c:spPr>
      </c:pivotFmt>
      <c:pivotFmt>
        <c:idx val="782"/>
        <c:spPr>
          <a:solidFill>
            <a:schemeClr val="accent1"/>
          </a:solidFill>
          <a:ln>
            <a:noFill/>
          </a:ln>
          <a:effectLst>
            <a:outerShdw blurRad="254000" sx="102000" sy="102000" algn="ctr" rotWithShape="0">
              <a:prstClr val="black">
                <a:alpha val="20000"/>
              </a:prstClr>
            </a:outerShdw>
          </a:effectLst>
        </c:spPr>
      </c:pivotFmt>
      <c:pivotFmt>
        <c:idx val="783"/>
        <c:spPr>
          <a:solidFill>
            <a:schemeClr val="accent1"/>
          </a:solidFill>
          <a:ln>
            <a:noFill/>
          </a:ln>
          <a:effectLst>
            <a:outerShdw blurRad="254000" sx="102000" sy="102000" algn="ctr" rotWithShape="0">
              <a:prstClr val="black">
                <a:alpha val="20000"/>
              </a:prstClr>
            </a:outerShdw>
          </a:effectLst>
        </c:spPr>
      </c:pivotFmt>
      <c:pivotFmt>
        <c:idx val="784"/>
        <c:spPr>
          <a:solidFill>
            <a:schemeClr val="accent1"/>
          </a:solidFill>
          <a:ln>
            <a:noFill/>
          </a:ln>
          <a:effectLst>
            <a:outerShdw blurRad="254000" sx="102000" sy="102000" algn="ctr" rotWithShape="0">
              <a:prstClr val="black">
                <a:alpha val="20000"/>
              </a:prstClr>
            </a:outerShdw>
          </a:effectLst>
        </c:spPr>
      </c:pivotFmt>
      <c:pivotFmt>
        <c:idx val="785"/>
        <c:spPr>
          <a:solidFill>
            <a:schemeClr val="accent1"/>
          </a:solidFill>
          <a:ln>
            <a:noFill/>
          </a:ln>
          <a:effectLst>
            <a:outerShdw blurRad="254000" sx="102000" sy="102000" algn="ctr" rotWithShape="0">
              <a:prstClr val="black">
                <a:alpha val="20000"/>
              </a:prstClr>
            </a:outerShdw>
          </a:effectLst>
        </c:spPr>
      </c:pivotFmt>
      <c:pivotFmt>
        <c:idx val="786"/>
        <c:spPr>
          <a:solidFill>
            <a:schemeClr val="accent1"/>
          </a:solidFill>
          <a:ln>
            <a:noFill/>
          </a:ln>
          <a:effectLst>
            <a:outerShdw blurRad="254000" sx="102000" sy="102000" algn="ctr" rotWithShape="0">
              <a:prstClr val="black">
                <a:alpha val="20000"/>
              </a:prstClr>
            </a:outerShdw>
          </a:effectLst>
        </c:spPr>
      </c:pivotFmt>
      <c:pivotFmt>
        <c:idx val="787"/>
        <c:spPr>
          <a:solidFill>
            <a:schemeClr val="accent1"/>
          </a:solidFill>
          <a:ln>
            <a:noFill/>
          </a:ln>
          <a:effectLst>
            <a:outerShdw blurRad="254000" sx="102000" sy="102000" algn="ctr" rotWithShape="0">
              <a:prstClr val="black">
                <a:alpha val="20000"/>
              </a:prstClr>
            </a:outerShdw>
          </a:effectLst>
        </c:spPr>
      </c:pivotFmt>
      <c:pivotFmt>
        <c:idx val="788"/>
        <c:spPr>
          <a:solidFill>
            <a:schemeClr val="accent1"/>
          </a:solidFill>
          <a:ln>
            <a:noFill/>
          </a:ln>
          <a:effectLst>
            <a:outerShdw blurRad="254000" sx="102000" sy="102000" algn="ctr" rotWithShape="0">
              <a:prstClr val="black">
                <a:alpha val="20000"/>
              </a:prstClr>
            </a:outerShdw>
          </a:effectLst>
        </c:spPr>
      </c:pivotFmt>
      <c:pivotFmt>
        <c:idx val="789"/>
        <c:spPr>
          <a:solidFill>
            <a:schemeClr val="accent1"/>
          </a:solidFill>
          <a:ln>
            <a:noFill/>
          </a:ln>
          <a:effectLst>
            <a:outerShdw blurRad="254000" sx="102000" sy="102000" algn="ctr" rotWithShape="0">
              <a:prstClr val="black">
                <a:alpha val="20000"/>
              </a:prstClr>
            </a:outerShdw>
          </a:effectLst>
        </c:spPr>
      </c:pivotFmt>
      <c:pivotFmt>
        <c:idx val="790"/>
        <c:spPr>
          <a:solidFill>
            <a:schemeClr val="accent1"/>
          </a:solidFill>
          <a:ln>
            <a:noFill/>
          </a:ln>
          <a:effectLst>
            <a:outerShdw blurRad="254000" sx="102000" sy="102000" algn="ctr" rotWithShape="0">
              <a:prstClr val="black">
                <a:alpha val="20000"/>
              </a:prstClr>
            </a:outerShdw>
          </a:effectLst>
        </c:spPr>
      </c:pivotFmt>
      <c:pivotFmt>
        <c:idx val="791"/>
        <c:spPr>
          <a:solidFill>
            <a:schemeClr val="accent1"/>
          </a:solidFill>
          <a:ln>
            <a:noFill/>
          </a:ln>
          <a:effectLst>
            <a:outerShdw blurRad="254000" sx="102000" sy="102000" algn="ctr" rotWithShape="0">
              <a:prstClr val="black">
                <a:alpha val="20000"/>
              </a:prstClr>
            </a:outerShdw>
          </a:effectLst>
        </c:spPr>
      </c:pivotFmt>
      <c:pivotFmt>
        <c:idx val="792"/>
        <c:spPr>
          <a:solidFill>
            <a:schemeClr val="accent1"/>
          </a:solidFill>
          <a:ln>
            <a:noFill/>
          </a:ln>
          <a:effectLst>
            <a:outerShdw blurRad="254000" sx="102000" sy="102000" algn="ctr" rotWithShape="0">
              <a:prstClr val="black">
                <a:alpha val="20000"/>
              </a:prstClr>
            </a:outerShdw>
          </a:effectLst>
        </c:spPr>
      </c:pivotFmt>
      <c:pivotFmt>
        <c:idx val="793"/>
        <c:spPr>
          <a:solidFill>
            <a:schemeClr val="accent1"/>
          </a:solidFill>
          <a:ln>
            <a:noFill/>
          </a:ln>
          <a:effectLst>
            <a:outerShdw blurRad="254000" sx="102000" sy="102000" algn="ctr" rotWithShape="0">
              <a:prstClr val="black">
                <a:alpha val="20000"/>
              </a:prstClr>
            </a:outerShdw>
          </a:effectLst>
        </c:spPr>
      </c:pivotFmt>
      <c:pivotFmt>
        <c:idx val="794"/>
        <c:spPr>
          <a:solidFill>
            <a:schemeClr val="accent1"/>
          </a:solidFill>
          <a:ln>
            <a:noFill/>
          </a:ln>
          <a:effectLst>
            <a:outerShdw blurRad="254000" sx="102000" sy="102000" algn="ctr" rotWithShape="0">
              <a:prstClr val="black">
                <a:alpha val="20000"/>
              </a:prstClr>
            </a:outerShdw>
          </a:effectLst>
        </c:spPr>
      </c:pivotFmt>
      <c:pivotFmt>
        <c:idx val="795"/>
        <c:spPr>
          <a:solidFill>
            <a:schemeClr val="accent1"/>
          </a:solidFill>
          <a:ln>
            <a:noFill/>
          </a:ln>
          <a:effectLst>
            <a:outerShdw blurRad="254000" sx="102000" sy="102000" algn="ctr" rotWithShape="0">
              <a:prstClr val="black">
                <a:alpha val="20000"/>
              </a:prstClr>
            </a:outerShdw>
          </a:effectLst>
        </c:spPr>
      </c:pivotFmt>
      <c:pivotFmt>
        <c:idx val="796"/>
        <c:spPr>
          <a:solidFill>
            <a:schemeClr val="accent1"/>
          </a:solidFill>
          <a:ln>
            <a:noFill/>
          </a:ln>
          <a:effectLst>
            <a:outerShdw blurRad="254000" sx="102000" sy="102000" algn="ctr" rotWithShape="0">
              <a:prstClr val="black">
                <a:alpha val="20000"/>
              </a:prstClr>
            </a:outerShdw>
          </a:effectLst>
        </c:spPr>
      </c:pivotFmt>
      <c:pivotFmt>
        <c:idx val="797"/>
        <c:spPr>
          <a:solidFill>
            <a:schemeClr val="accent1"/>
          </a:solidFill>
          <a:ln>
            <a:noFill/>
          </a:ln>
          <a:effectLst>
            <a:outerShdw blurRad="254000" sx="102000" sy="102000" algn="ctr" rotWithShape="0">
              <a:prstClr val="black">
                <a:alpha val="20000"/>
              </a:prstClr>
            </a:outerShdw>
          </a:effectLst>
        </c:spPr>
      </c:pivotFmt>
      <c:pivotFmt>
        <c:idx val="798"/>
        <c:spPr>
          <a:solidFill>
            <a:schemeClr val="accent1"/>
          </a:solidFill>
          <a:ln>
            <a:noFill/>
          </a:ln>
          <a:effectLst>
            <a:outerShdw blurRad="254000" sx="102000" sy="102000" algn="ctr" rotWithShape="0">
              <a:prstClr val="black">
                <a:alpha val="20000"/>
              </a:prstClr>
            </a:outerShdw>
          </a:effectLst>
        </c:spPr>
      </c:pivotFmt>
      <c:pivotFmt>
        <c:idx val="799"/>
        <c:spPr>
          <a:solidFill>
            <a:schemeClr val="accent1"/>
          </a:solidFill>
          <a:ln>
            <a:noFill/>
          </a:ln>
          <a:effectLst>
            <a:outerShdw blurRad="254000" sx="102000" sy="102000" algn="ctr" rotWithShape="0">
              <a:prstClr val="black">
                <a:alpha val="20000"/>
              </a:prstClr>
            </a:outerShdw>
          </a:effectLst>
        </c:spPr>
      </c:pivotFmt>
      <c:pivotFmt>
        <c:idx val="800"/>
        <c:spPr>
          <a:solidFill>
            <a:schemeClr val="accent1"/>
          </a:solidFill>
          <a:ln>
            <a:noFill/>
          </a:ln>
          <a:effectLst>
            <a:outerShdw blurRad="254000" sx="102000" sy="102000" algn="ctr" rotWithShape="0">
              <a:prstClr val="black">
                <a:alpha val="20000"/>
              </a:prstClr>
            </a:outerShdw>
          </a:effectLst>
        </c:spPr>
      </c:pivotFmt>
      <c:pivotFmt>
        <c:idx val="801"/>
        <c:spPr>
          <a:solidFill>
            <a:schemeClr val="accent1"/>
          </a:solidFill>
          <a:ln>
            <a:noFill/>
          </a:ln>
          <a:effectLst>
            <a:outerShdw blurRad="254000" sx="102000" sy="102000" algn="ctr" rotWithShape="0">
              <a:prstClr val="black">
                <a:alpha val="20000"/>
              </a:prstClr>
            </a:outerShdw>
          </a:effectLst>
        </c:spPr>
      </c:pivotFmt>
      <c:pivotFmt>
        <c:idx val="802"/>
        <c:spPr>
          <a:solidFill>
            <a:schemeClr val="accent1"/>
          </a:solidFill>
          <a:ln>
            <a:noFill/>
          </a:ln>
          <a:effectLst>
            <a:outerShdw blurRad="254000" sx="102000" sy="102000" algn="ctr" rotWithShape="0">
              <a:prstClr val="black">
                <a:alpha val="20000"/>
              </a:prstClr>
            </a:outerShdw>
          </a:effectLst>
        </c:spPr>
      </c:pivotFmt>
      <c:pivotFmt>
        <c:idx val="803"/>
        <c:spPr>
          <a:solidFill>
            <a:schemeClr val="accent1"/>
          </a:solidFill>
          <a:ln>
            <a:noFill/>
          </a:ln>
          <a:effectLst>
            <a:outerShdw blurRad="254000" sx="102000" sy="102000" algn="ctr" rotWithShape="0">
              <a:prstClr val="black">
                <a:alpha val="20000"/>
              </a:prstClr>
            </a:outerShdw>
          </a:effectLst>
        </c:spPr>
      </c:pivotFmt>
      <c:pivotFmt>
        <c:idx val="804"/>
        <c:spPr>
          <a:solidFill>
            <a:schemeClr val="accent1"/>
          </a:solidFill>
          <a:ln>
            <a:noFill/>
          </a:ln>
          <a:effectLst>
            <a:outerShdw blurRad="254000" sx="102000" sy="102000" algn="ctr" rotWithShape="0">
              <a:prstClr val="black">
                <a:alpha val="20000"/>
              </a:prstClr>
            </a:outerShdw>
          </a:effectLst>
        </c:spPr>
      </c:pivotFmt>
      <c:pivotFmt>
        <c:idx val="805"/>
        <c:spPr>
          <a:solidFill>
            <a:schemeClr val="accent1"/>
          </a:solidFill>
          <a:ln>
            <a:noFill/>
          </a:ln>
          <a:effectLst>
            <a:outerShdw blurRad="254000" sx="102000" sy="102000" algn="ctr" rotWithShape="0">
              <a:prstClr val="black">
                <a:alpha val="20000"/>
              </a:prstClr>
            </a:outerShdw>
          </a:effectLst>
        </c:spPr>
      </c:pivotFmt>
      <c:pivotFmt>
        <c:idx val="806"/>
        <c:spPr>
          <a:solidFill>
            <a:schemeClr val="accent1"/>
          </a:solidFill>
          <a:ln>
            <a:noFill/>
          </a:ln>
          <a:effectLst>
            <a:outerShdw blurRad="254000" sx="102000" sy="102000" algn="ctr" rotWithShape="0">
              <a:prstClr val="black">
                <a:alpha val="20000"/>
              </a:prstClr>
            </a:outerShdw>
          </a:effectLst>
        </c:spPr>
      </c:pivotFmt>
      <c:pivotFmt>
        <c:idx val="807"/>
        <c:spPr>
          <a:solidFill>
            <a:schemeClr val="accent1"/>
          </a:solidFill>
          <a:ln>
            <a:noFill/>
          </a:ln>
          <a:effectLst>
            <a:outerShdw blurRad="254000" sx="102000" sy="102000" algn="ctr" rotWithShape="0">
              <a:prstClr val="black">
                <a:alpha val="20000"/>
              </a:prstClr>
            </a:outerShdw>
          </a:effectLst>
        </c:spPr>
      </c:pivotFmt>
      <c:pivotFmt>
        <c:idx val="808"/>
        <c:spPr>
          <a:solidFill>
            <a:schemeClr val="accent1"/>
          </a:solidFill>
          <a:ln>
            <a:noFill/>
          </a:ln>
          <a:effectLst>
            <a:outerShdw blurRad="254000" sx="102000" sy="102000" algn="ctr" rotWithShape="0">
              <a:prstClr val="black">
                <a:alpha val="20000"/>
              </a:prstClr>
            </a:outerShdw>
          </a:effectLst>
        </c:spPr>
      </c:pivotFmt>
      <c:pivotFmt>
        <c:idx val="809"/>
        <c:spPr>
          <a:solidFill>
            <a:schemeClr val="accent1"/>
          </a:solidFill>
          <a:ln>
            <a:noFill/>
          </a:ln>
          <a:effectLst>
            <a:outerShdw blurRad="254000" sx="102000" sy="102000" algn="ctr" rotWithShape="0">
              <a:prstClr val="black">
                <a:alpha val="20000"/>
              </a:prstClr>
            </a:outerShdw>
          </a:effectLst>
        </c:spPr>
      </c:pivotFmt>
      <c:pivotFmt>
        <c:idx val="810"/>
        <c:spPr>
          <a:solidFill>
            <a:schemeClr val="accent1"/>
          </a:solidFill>
          <a:ln>
            <a:noFill/>
          </a:ln>
          <a:effectLst>
            <a:outerShdw blurRad="254000" sx="102000" sy="102000" algn="ctr" rotWithShape="0">
              <a:prstClr val="black">
                <a:alpha val="20000"/>
              </a:prstClr>
            </a:outerShdw>
          </a:effectLst>
        </c:spPr>
      </c:pivotFmt>
      <c:pivotFmt>
        <c:idx val="811"/>
        <c:spPr>
          <a:solidFill>
            <a:schemeClr val="accent1"/>
          </a:solidFill>
          <a:ln>
            <a:noFill/>
          </a:ln>
          <a:effectLst>
            <a:outerShdw blurRad="254000" sx="102000" sy="102000" algn="ctr" rotWithShape="0">
              <a:prstClr val="black">
                <a:alpha val="20000"/>
              </a:prstClr>
            </a:outerShdw>
          </a:effectLst>
        </c:spPr>
      </c:pivotFmt>
      <c:pivotFmt>
        <c:idx val="812"/>
        <c:spPr>
          <a:solidFill>
            <a:schemeClr val="accent1"/>
          </a:solidFill>
          <a:ln>
            <a:noFill/>
          </a:ln>
          <a:effectLst>
            <a:outerShdw blurRad="254000" sx="102000" sy="102000" algn="ctr" rotWithShape="0">
              <a:prstClr val="black">
                <a:alpha val="20000"/>
              </a:prstClr>
            </a:outerShdw>
          </a:effectLst>
        </c:spPr>
      </c:pivotFmt>
      <c:pivotFmt>
        <c:idx val="813"/>
        <c:spPr>
          <a:solidFill>
            <a:schemeClr val="accent1"/>
          </a:solidFill>
          <a:ln>
            <a:noFill/>
          </a:ln>
          <a:effectLst>
            <a:outerShdw blurRad="254000" sx="102000" sy="102000" algn="ctr" rotWithShape="0">
              <a:prstClr val="black">
                <a:alpha val="20000"/>
              </a:prstClr>
            </a:outerShdw>
          </a:effectLst>
        </c:spPr>
      </c:pivotFmt>
      <c:pivotFmt>
        <c:idx val="814"/>
        <c:spPr>
          <a:solidFill>
            <a:schemeClr val="accent1"/>
          </a:solidFill>
          <a:ln>
            <a:noFill/>
          </a:ln>
          <a:effectLst>
            <a:outerShdw blurRad="254000" sx="102000" sy="102000" algn="ctr" rotWithShape="0">
              <a:prstClr val="black">
                <a:alpha val="20000"/>
              </a:prstClr>
            </a:outerShdw>
          </a:effectLst>
        </c:spPr>
      </c:pivotFmt>
      <c:pivotFmt>
        <c:idx val="815"/>
        <c:spPr>
          <a:solidFill>
            <a:schemeClr val="accent1"/>
          </a:solidFill>
          <a:ln>
            <a:noFill/>
          </a:ln>
          <a:effectLst>
            <a:outerShdw blurRad="254000" sx="102000" sy="102000" algn="ctr" rotWithShape="0">
              <a:prstClr val="black">
                <a:alpha val="20000"/>
              </a:prstClr>
            </a:outerShdw>
          </a:effectLst>
        </c:spPr>
      </c:pivotFmt>
      <c:pivotFmt>
        <c:idx val="816"/>
        <c:spPr>
          <a:solidFill>
            <a:schemeClr val="accent1"/>
          </a:solidFill>
          <a:ln>
            <a:noFill/>
          </a:ln>
          <a:effectLst>
            <a:outerShdw blurRad="254000" sx="102000" sy="102000" algn="ctr" rotWithShape="0">
              <a:prstClr val="black">
                <a:alpha val="20000"/>
              </a:prstClr>
            </a:outerShdw>
          </a:effectLst>
        </c:spPr>
      </c:pivotFmt>
      <c:pivotFmt>
        <c:idx val="817"/>
        <c:spPr>
          <a:solidFill>
            <a:schemeClr val="accent1"/>
          </a:solidFill>
          <a:ln>
            <a:noFill/>
          </a:ln>
          <a:effectLst>
            <a:outerShdw blurRad="254000" sx="102000" sy="102000" algn="ctr" rotWithShape="0">
              <a:prstClr val="black">
                <a:alpha val="20000"/>
              </a:prstClr>
            </a:outerShdw>
          </a:effectLst>
        </c:spPr>
      </c:pivotFmt>
      <c:pivotFmt>
        <c:idx val="818"/>
        <c:spPr>
          <a:solidFill>
            <a:schemeClr val="accent1"/>
          </a:solidFill>
          <a:ln>
            <a:noFill/>
          </a:ln>
          <a:effectLst>
            <a:outerShdw blurRad="254000" sx="102000" sy="102000" algn="ctr" rotWithShape="0">
              <a:prstClr val="black">
                <a:alpha val="20000"/>
              </a:prstClr>
            </a:outerShdw>
          </a:effectLst>
        </c:spPr>
      </c:pivotFmt>
      <c:pivotFmt>
        <c:idx val="819"/>
        <c:spPr>
          <a:solidFill>
            <a:schemeClr val="accent1"/>
          </a:solidFill>
          <a:ln>
            <a:noFill/>
          </a:ln>
          <a:effectLst>
            <a:outerShdw blurRad="254000" sx="102000" sy="102000" algn="ctr" rotWithShape="0">
              <a:prstClr val="black">
                <a:alpha val="20000"/>
              </a:prstClr>
            </a:outerShdw>
          </a:effectLst>
        </c:spPr>
      </c:pivotFmt>
      <c:pivotFmt>
        <c:idx val="820"/>
        <c:spPr>
          <a:solidFill>
            <a:schemeClr val="accent1"/>
          </a:solidFill>
          <a:ln>
            <a:noFill/>
          </a:ln>
          <a:effectLst>
            <a:outerShdw blurRad="254000" sx="102000" sy="102000" algn="ctr" rotWithShape="0">
              <a:prstClr val="black">
                <a:alpha val="20000"/>
              </a:prstClr>
            </a:outerShdw>
          </a:effectLst>
        </c:spPr>
      </c:pivotFmt>
      <c:pivotFmt>
        <c:idx val="821"/>
        <c:spPr>
          <a:solidFill>
            <a:schemeClr val="accent1"/>
          </a:solidFill>
          <a:ln>
            <a:noFill/>
          </a:ln>
          <a:effectLst>
            <a:outerShdw blurRad="254000" sx="102000" sy="102000" algn="ctr" rotWithShape="0">
              <a:prstClr val="black">
                <a:alpha val="20000"/>
              </a:prstClr>
            </a:outerShdw>
          </a:effectLst>
        </c:spPr>
      </c:pivotFmt>
      <c:pivotFmt>
        <c:idx val="822"/>
        <c:spPr>
          <a:solidFill>
            <a:schemeClr val="accent1"/>
          </a:solidFill>
          <a:ln>
            <a:noFill/>
          </a:ln>
          <a:effectLst>
            <a:outerShdw blurRad="254000" sx="102000" sy="102000" algn="ctr" rotWithShape="0">
              <a:prstClr val="black">
                <a:alpha val="20000"/>
              </a:prstClr>
            </a:outerShdw>
          </a:effectLst>
        </c:spPr>
      </c:pivotFmt>
      <c:pivotFmt>
        <c:idx val="823"/>
        <c:spPr>
          <a:solidFill>
            <a:schemeClr val="accent1"/>
          </a:solidFill>
          <a:ln>
            <a:noFill/>
          </a:ln>
          <a:effectLst>
            <a:outerShdw blurRad="254000" sx="102000" sy="102000" algn="ctr" rotWithShape="0">
              <a:prstClr val="black">
                <a:alpha val="20000"/>
              </a:prstClr>
            </a:outerShdw>
          </a:effectLst>
        </c:spPr>
      </c:pivotFmt>
      <c:pivotFmt>
        <c:idx val="824"/>
        <c:spPr>
          <a:solidFill>
            <a:schemeClr val="accent1"/>
          </a:solidFill>
          <a:ln>
            <a:noFill/>
          </a:ln>
          <a:effectLst>
            <a:outerShdw blurRad="254000" sx="102000" sy="102000" algn="ctr" rotWithShape="0">
              <a:prstClr val="black">
                <a:alpha val="20000"/>
              </a:prstClr>
            </a:outerShdw>
          </a:effectLst>
        </c:spPr>
      </c:pivotFmt>
      <c:pivotFmt>
        <c:idx val="825"/>
        <c:spPr>
          <a:solidFill>
            <a:schemeClr val="accent1"/>
          </a:solidFill>
          <a:ln>
            <a:noFill/>
          </a:ln>
          <a:effectLst>
            <a:outerShdw blurRad="254000" sx="102000" sy="102000" algn="ctr" rotWithShape="0">
              <a:prstClr val="black">
                <a:alpha val="20000"/>
              </a:prstClr>
            </a:outerShdw>
          </a:effectLst>
        </c:spPr>
      </c:pivotFmt>
      <c:pivotFmt>
        <c:idx val="826"/>
        <c:spPr>
          <a:solidFill>
            <a:schemeClr val="accent1"/>
          </a:solidFill>
          <a:ln>
            <a:noFill/>
          </a:ln>
          <a:effectLst>
            <a:outerShdw blurRad="254000" sx="102000" sy="102000" algn="ctr" rotWithShape="0">
              <a:prstClr val="black">
                <a:alpha val="20000"/>
              </a:prstClr>
            </a:outerShdw>
          </a:effectLst>
        </c:spPr>
      </c:pivotFmt>
      <c:pivotFmt>
        <c:idx val="827"/>
        <c:spPr>
          <a:solidFill>
            <a:schemeClr val="accent1"/>
          </a:solidFill>
          <a:ln>
            <a:noFill/>
          </a:ln>
          <a:effectLst>
            <a:outerShdw blurRad="254000" sx="102000" sy="102000" algn="ctr" rotWithShape="0">
              <a:prstClr val="black">
                <a:alpha val="20000"/>
              </a:prstClr>
            </a:outerShdw>
          </a:effectLst>
        </c:spPr>
      </c:pivotFmt>
      <c:pivotFmt>
        <c:idx val="828"/>
        <c:spPr>
          <a:solidFill>
            <a:schemeClr val="accent1"/>
          </a:solidFill>
          <a:ln>
            <a:noFill/>
          </a:ln>
          <a:effectLst>
            <a:outerShdw blurRad="254000" sx="102000" sy="102000" algn="ctr" rotWithShape="0">
              <a:prstClr val="black">
                <a:alpha val="20000"/>
              </a:prstClr>
            </a:outerShdw>
          </a:effectLst>
        </c:spPr>
      </c:pivotFmt>
      <c:pivotFmt>
        <c:idx val="829"/>
        <c:spPr>
          <a:solidFill>
            <a:schemeClr val="accent1"/>
          </a:solidFill>
          <a:ln>
            <a:noFill/>
          </a:ln>
          <a:effectLst>
            <a:outerShdw blurRad="254000" sx="102000" sy="102000" algn="ctr" rotWithShape="0">
              <a:prstClr val="black">
                <a:alpha val="20000"/>
              </a:prstClr>
            </a:outerShdw>
          </a:effectLst>
        </c:spPr>
      </c:pivotFmt>
      <c:pivotFmt>
        <c:idx val="830"/>
        <c:spPr>
          <a:solidFill>
            <a:schemeClr val="accent1"/>
          </a:solidFill>
          <a:ln>
            <a:noFill/>
          </a:ln>
          <a:effectLst>
            <a:outerShdw blurRad="254000" sx="102000" sy="102000" algn="ctr" rotWithShape="0">
              <a:prstClr val="black">
                <a:alpha val="20000"/>
              </a:prstClr>
            </a:outerShdw>
          </a:effectLst>
        </c:spPr>
      </c:pivotFmt>
      <c:pivotFmt>
        <c:idx val="831"/>
        <c:spPr>
          <a:solidFill>
            <a:schemeClr val="accent1"/>
          </a:solidFill>
          <a:ln>
            <a:noFill/>
          </a:ln>
          <a:effectLst>
            <a:outerShdw blurRad="254000" sx="102000" sy="102000" algn="ctr" rotWithShape="0">
              <a:prstClr val="black">
                <a:alpha val="20000"/>
              </a:prstClr>
            </a:outerShdw>
          </a:effectLst>
        </c:spPr>
      </c:pivotFmt>
      <c:pivotFmt>
        <c:idx val="832"/>
        <c:spPr>
          <a:solidFill>
            <a:schemeClr val="accent1"/>
          </a:solidFill>
          <a:ln>
            <a:noFill/>
          </a:ln>
          <a:effectLst>
            <a:outerShdw blurRad="254000" sx="102000" sy="102000" algn="ctr" rotWithShape="0">
              <a:prstClr val="black">
                <a:alpha val="20000"/>
              </a:prstClr>
            </a:outerShdw>
          </a:effectLst>
        </c:spPr>
      </c:pivotFmt>
      <c:pivotFmt>
        <c:idx val="833"/>
        <c:spPr>
          <a:solidFill>
            <a:schemeClr val="accent1"/>
          </a:solidFill>
          <a:ln>
            <a:noFill/>
          </a:ln>
          <a:effectLst>
            <a:outerShdw blurRad="254000" sx="102000" sy="102000" algn="ctr" rotWithShape="0">
              <a:prstClr val="black">
                <a:alpha val="20000"/>
              </a:prstClr>
            </a:outerShdw>
          </a:effectLst>
        </c:spPr>
      </c:pivotFmt>
      <c:pivotFmt>
        <c:idx val="834"/>
        <c:spPr>
          <a:solidFill>
            <a:schemeClr val="accent1"/>
          </a:solidFill>
          <a:ln>
            <a:noFill/>
          </a:ln>
          <a:effectLst>
            <a:outerShdw blurRad="254000" sx="102000" sy="102000" algn="ctr" rotWithShape="0">
              <a:prstClr val="black">
                <a:alpha val="20000"/>
              </a:prstClr>
            </a:outerShdw>
          </a:effectLst>
        </c:spPr>
      </c:pivotFmt>
      <c:pivotFmt>
        <c:idx val="835"/>
        <c:spPr>
          <a:solidFill>
            <a:schemeClr val="accent1"/>
          </a:solidFill>
          <a:ln>
            <a:noFill/>
          </a:ln>
          <a:effectLst>
            <a:outerShdw blurRad="254000" sx="102000" sy="102000" algn="ctr" rotWithShape="0">
              <a:prstClr val="black">
                <a:alpha val="20000"/>
              </a:prstClr>
            </a:outerShdw>
          </a:effectLst>
        </c:spPr>
      </c:pivotFmt>
      <c:pivotFmt>
        <c:idx val="836"/>
        <c:spPr>
          <a:solidFill>
            <a:schemeClr val="accent1"/>
          </a:solidFill>
          <a:ln>
            <a:noFill/>
          </a:ln>
          <a:effectLst>
            <a:outerShdw blurRad="254000" sx="102000" sy="102000" algn="ctr" rotWithShape="0">
              <a:prstClr val="black">
                <a:alpha val="20000"/>
              </a:prstClr>
            </a:outerShdw>
          </a:effectLst>
        </c:spPr>
      </c:pivotFmt>
      <c:pivotFmt>
        <c:idx val="837"/>
        <c:spPr>
          <a:solidFill>
            <a:schemeClr val="accent1"/>
          </a:solidFill>
          <a:ln>
            <a:noFill/>
          </a:ln>
          <a:effectLst>
            <a:outerShdw blurRad="254000" sx="102000" sy="102000" algn="ctr" rotWithShape="0">
              <a:prstClr val="black">
                <a:alpha val="20000"/>
              </a:prstClr>
            </a:outerShdw>
          </a:effectLst>
        </c:spPr>
      </c:pivotFmt>
      <c:pivotFmt>
        <c:idx val="838"/>
        <c:spPr>
          <a:solidFill>
            <a:schemeClr val="accent1"/>
          </a:solidFill>
          <a:ln>
            <a:noFill/>
          </a:ln>
          <a:effectLst>
            <a:outerShdw blurRad="254000" sx="102000" sy="102000" algn="ctr" rotWithShape="0">
              <a:prstClr val="black">
                <a:alpha val="20000"/>
              </a:prstClr>
            </a:outerShdw>
          </a:effectLst>
        </c:spPr>
      </c:pivotFmt>
      <c:pivotFmt>
        <c:idx val="839"/>
        <c:spPr>
          <a:solidFill>
            <a:schemeClr val="accent1"/>
          </a:solidFill>
          <a:ln>
            <a:noFill/>
          </a:ln>
          <a:effectLst>
            <a:outerShdw blurRad="254000" sx="102000" sy="102000" algn="ctr" rotWithShape="0">
              <a:prstClr val="black">
                <a:alpha val="20000"/>
              </a:prstClr>
            </a:outerShdw>
          </a:effectLst>
        </c:spPr>
      </c:pivotFmt>
      <c:pivotFmt>
        <c:idx val="840"/>
        <c:spPr>
          <a:solidFill>
            <a:schemeClr val="accent1"/>
          </a:solidFill>
          <a:ln>
            <a:noFill/>
          </a:ln>
          <a:effectLst>
            <a:outerShdw blurRad="254000" sx="102000" sy="102000" algn="ctr" rotWithShape="0">
              <a:prstClr val="black">
                <a:alpha val="20000"/>
              </a:prstClr>
            </a:outerShdw>
          </a:effectLst>
        </c:spPr>
      </c:pivotFmt>
      <c:pivotFmt>
        <c:idx val="841"/>
        <c:spPr>
          <a:solidFill>
            <a:schemeClr val="accent1"/>
          </a:solidFill>
          <a:ln>
            <a:noFill/>
          </a:ln>
          <a:effectLst>
            <a:outerShdw blurRad="254000" sx="102000" sy="102000" algn="ctr" rotWithShape="0">
              <a:prstClr val="black">
                <a:alpha val="20000"/>
              </a:prstClr>
            </a:outerShdw>
          </a:effectLst>
        </c:spPr>
      </c:pivotFmt>
      <c:pivotFmt>
        <c:idx val="842"/>
        <c:spPr>
          <a:solidFill>
            <a:schemeClr val="accent1"/>
          </a:solidFill>
          <a:ln>
            <a:noFill/>
          </a:ln>
          <a:effectLst>
            <a:outerShdw blurRad="254000" sx="102000" sy="102000" algn="ctr" rotWithShape="0">
              <a:prstClr val="black">
                <a:alpha val="20000"/>
              </a:prstClr>
            </a:outerShdw>
          </a:effectLst>
        </c:spPr>
      </c:pivotFmt>
      <c:pivotFmt>
        <c:idx val="843"/>
        <c:spPr>
          <a:solidFill>
            <a:schemeClr val="accent1"/>
          </a:solidFill>
          <a:ln>
            <a:noFill/>
          </a:ln>
          <a:effectLst>
            <a:outerShdw blurRad="254000" sx="102000" sy="102000" algn="ctr" rotWithShape="0">
              <a:prstClr val="black">
                <a:alpha val="20000"/>
              </a:prstClr>
            </a:outerShdw>
          </a:effectLst>
        </c:spPr>
      </c:pivotFmt>
      <c:pivotFmt>
        <c:idx val="844"/>
        <c:spPr>
          <a:solidFill>
            <a:schemeClr val="accent1"/>
          </a:solidFill>
          <a:ln>
            <a:noFill/>
          </a:ln>
          <a:effectLst>
            <a:outerShdw blurRad="254000" sx="102000" sy="102000" algn="ctr" rotWithShape="0">
              <a:prstClr val="black">
                <a:alpha val="20000"/>
              </a:prstClr>
            </a:outerShdw>
          </a:effectLst>
        </c:spPr>
      </c:pivotFmt>
      <c:pivotFmt>
        <c:idx val="845"/>
        <c:spPr>
          <a:solidFill>
            <a:schemeClr val="accent1"/>
          </a:solidFill>
          <a:ln>
            <a:noFill/>
          </a:ln>
          <a:effectLst>
            <a:outerShdw blurRad="254000" sx="102000" sy="102000" algn="ctr" rotWithShape="0">
              <a:prstClr val="black">
                <a:alpha val="20000"/>
              </a:prstClr>
            </a:outerShdw>
          </a:effectLst>
        </c:spPr>
      </c:pivotFmt>
      <c:pivotFmt>
        <c:idx val="846"/>
        <c:spPr>
          <a:solidFill>
            <a:schemeClr val="accent1"/>
          </a:solidFill>
          <a:ln>
            <a:noFill/>
          </a:ln>
          <a:effectLst>
            <a:outerShdw blurRad="254000" sx="102000" sy="102000" algn="ctr" rotWithShape="0">
              <a:prstClr val="black">
                <a:alpha val="20000"/>
              </a:prstClr>
            </a:outerShdw>
          </a:effectLst>
        </c:spPr>
      </c:pivotFmt>
      <c:pivotFmt>
        <c:idx val="847"/>
        <c:spPr>
          <a:solidFill>
            <a:schemeClr val="accent1"/>
          </a:solidFill>
          <a:ln>
            <a:noFill/>
          </a:ln>
          <a:effectLst>
            <a:outerShdw blurRad="254000" sx="102000" sy="102000" algn="ctr" rotWithShape="0">
              <a:prstClr val="black">
                <a:alpha val="20000"/>
              </a:prstClr>
            </a:outerShdw>
          </a:effectLst>
        </c:spPr>
      </c:pivotFmt>
      <c:pivotFmt>
        <c:idx val="848"/>
        <c:spPr>
          <a:solidFill>
            <a:schemeClr val="accent1"/>
          </a:solidFill>
          <a:ln>
            <a:noFill/>
          </a:ln>
          <a:effectLst>
            <a:outerShdw blurRad="254000" sx="102000" sy="102000" algn="ctr" rotWithShape="0">
              <a:prstClr val="black">
                <a:alpha val="20000"/>
              </a:prstClr>
            </a:outerShdw>
          </a:effectLst>
        </c:spPr>
      </c:pivotFmt>
      <c:pivotFmt>
        <c:idx val="849"/>
        <c:spPr>
          <a:solidFill>
            <a:schemeClr val="accent1"/>
          </a:solidFill>
          <a:ln>
            <a:noFill/>
          </a:ln>
          <a:effectLst>
            <a:outerShdw blurRad="254000" sx="102000" sy="102000" algn="ctr" rotWithShape="0">
              <a:prstClr val="black">
                <a:alpha val="20000"/>
              </a:prstClr>
            </a:outerShdw>
          </a:effectLst>
        </c:spPr>
      </c:pivotFmt>
      <c:pivotFmt>
        <c:idx val="850"/>
        <c:spPr>
          <a:solidFill>
            <a:schemeClr val="accent1"/>
          </a:solidFill>
          <a:ln>
            <a:noFill/>
          </a:ln>
          <a:effectLst>
            <a:outerShdw blurRad="254000" sx="102000" sy="102000" algn="ctr" rotWithShape="0">
              <a:prstClr val="black">
                <a:alpha val="20000"/>
              </a:prstClr>
            </a:outerShdw>
          </a:effectLst>
        </c:spPr>
      </c:pivotFmt>
      <c:pivotFmt>
        <c:idx val="851"/>
        <c:spPr>
          <a:solidFill>
            <a:schemeClr val="accent1"/>
          </a:solidFill>
          <a:ln>
            <a:noFill/>
          </a:ln>
          <a:effectLst>
            <a:outerShdw blurRad="254000" sx="102000" sy="102000" algn="ctr" rotWithShape="0">
              <a:prstClr val="black">
                <a:alpha val="20000"/>
              </a:prstClr>
            </a:outerShdw>
          </a:effectLst>
        </c:spPr>
      </c:pivotFmt>
      <c:pivotFmt>
        <c:idx val="852"/>
        <c:spPr>
          <a:solidFill>
            <a:schemeClr val="accent1"/>
          </a:solidFill>
          <a:ln>
            <a:noFill/>
          </a:ln>
          <a:effectLst>
            <a:outerShdw blurRad="254000" sx="102000" sy="102000" algn="ctr" rotWithShape="0">
              <a:prstClr val="black">
                <a:alpha val="20000"/>
              </a:prstClr>
            </a:outerShdw>
          </a:effectLst>
        </c:spPr>
      </c:pivotFmt>
      <c:pivotFmt>
        <c:idx val="853"/>
        <c:spPr>
          <a:solidFill>
            <a:schemeClr val="accent1"/>
          </a:solidFill>
          <a:ln>
            <a:noFill/>
          </a:ln>
          <a:effectLst>
            <a:outerShdw blurRad="254000" sx="102000" sy="102000" algn="ctr" rotWithShape="0">
              <a:prstClr val="black">
                <a:alpha val="20000"/>
              </a:prstClr>
            </a:outerShdw>
          </a:effectLst>
        </c:spPr>
      </c:pivotFmt>
      <c:pivotFmt>
        <c:idx val="854"/>
        <c:spPr>
          <a:solidFill>
            <a:schemeClr val="accent1"/>
          </a:solidFill>
          <a:ln>
            <a:noFill/>
          </a:ln>
          <a:effectLst>
            <a:outerShdw blurRad="254000" sx="102000" sy="102000" algn="ctr" rotWithShape="0">
              <a:prstClr val="black">
                <a:alpha val="20000"/>
              </a:prstClr>
            </a:outerShdw>
          </a:effectLst>
        </c:spPr>
      </c:pivotFmt>
      <c:pivotFmt>
        <c:idx val="855"/>
        <c:spPr>
          <a:solidFill>
            <a:schemeClr val="accent1"/>
          </a:solidFill>
          <a:ln>
            <a:noFill/>
          </a:ln>
          <a:effectLst>
            <a:outerShdw blurRad="254000" sx="102000" sy="102000" algn="ctr" rotWithShape="0">
              <a:prstClr val="black">
                <a:alpha val="20000"/>
              </a:prstClr>
            </a:outerShdw>
          </a:effectLst>
        </c:spPr>
      </c:pivotFmt>
      <c:pivotFmt>
        <c:idx val="856"/>
        <c:spPr>
          <a:solidFill>
            <a:schemeClr val="accent1"/>
          </a:solidFill>
          <a:ln>
            <a:noFill/>
          </a:ln>
          <a:effectLst>
            <a:outerShdw blurRad="254000" sx="102000" sy="102000" algn="ctr" rotWithShape="0">
              <a:prstClr val="black">
                <a:alpha val="20000"/>
              </a:prstClr>
            </a:outerShdw>
          </a:effectLst>
        </c:spPr>
      </c:pivotFmt>
      <c:pivotFmt>
        <c:idx val="857"/>
        <c:spPr>
          <a:solidFill>
            <a:schemeClr val="accent1"/>
          </a:solidFill>
          <a:ln>
            <a:noFill/>
          </a:ln>
          <a:effectLst>
            <a:outerShdw blurRad="254000" sx="102000" sy="102000" algn="ctr" rotWithShape="0">
              <a:prstClr val="black">
                <a:alpha val="20000"/>
              </a:prstClr>
            </a:outerShdw>
          </a:effectLst>
        </c:spPr>
      </c:pivotFmt>
      <c:pivotFmt>
        <c:idx val="858"/>
        <c:spPr>
          <a:solidFill>
            <a:schemeClr val="accent1"/>
          </a:solidFill>
          <a:ln>
            <a:noFill/>
          </a:ln>
          <a:effectLst>
            <a:outerShdw blurRad="254000" sx="102000" sy="102000" algn="ctr" rotWithShape="0">
              <a:prstClr val="black">
                <a:alpha val="20000"/>
              </a:prstClr>
            </a:outerShdw>
          </a:effectLst>
        </c:spPr>
      </c:pivotFmt>
      <c:pivotFmt>
        <c:idx val="859"/>
        <c:spPr>
          <a:solidFill>
            <a:schemeClr val="accent1"/>
          </a:solidFill>
          <a:ln>
            <a:noFill/>
          </a:ln>
          <a:effectLst>
            <a:outerShdw blurRad="254000" sx="102000" sy="102000" algn="ctr" rotWithShape="0">
              <a:prstClr val="black">
                <a:alpha val="20000"/>
              </a:prstClr>
            </a:outerShdw>
          </a:effectLst>
        </c:spPr>
      </c:pivotFmt>
      <c:pivotFmt>
        <c:idx val="860"/>
        <c:spPr>
          <a:solidFill>
            <a:schemeClr val="accent1"/>
          </a:solidFill>
          <a:ln>
            <a:noFill/>
          </a:ln>
          <a:effectLst>
            <a:outerShdw blurRad="254000" sx="102000" sy="102000" algn="ctr" rotWithShape="0">
              <a:prstClr val="black">
                <a:alpha val="20000"/>
              </a:prstClr>
            </a:outerShdw>
          </a:effectLst>
        </c:spPr>
      </c:pivotFmt>
      <c:pivotFmt>
        <c:idx val="861"/>
        <c:spPr>
          <a:solidFill>
            <a:schemeClr val="accent1"/>
          </a:solidFill>
          <a:ln>
            <a:noFill/>
          </a:ln>
          <a:effectLst>
            <a:outerShdw blurRad="254000" sx="102000" sy="102000" algn="ctr" rotWithShape="0">
              <a:prstClr val="black">
                <a:alpha val="20000"/>
              </a:prstClr>
            </a:outerShdw>
          </a:effectLst>
        </c:spPr>
      </c:pivotFmt>
      <c:pivotFmt>
        <c:idx val="862"/>
        <c:spPr>
          <a:solidFill>
            <a:schemeClr val="accent1"/>
          </a:solidFill>
          <a:ln>
            <a:noFill/>
          </a:ln>
          <a:effectLst>
            <a:outerShdw blurRad="254000" sx="102000" sy="102000" algn="ctr" rotWithShape="0">
              <a:prstClr val="black">
                <a:alpha val="20000"/>
              </a:prstClr>
            </a:outerShdw>
          </a:effectLst>
        </c:spPr>
      </c:pivotFmt>
      <c:pivotFmt>
        <c:idx val="863"/>
        <c:spPr>
          <a:solidFill>
            <a:schemeClr val="accent1"/>
          </a:solidFill>
          <a:ln>
            <a:noFill/>
          </a:ln>
          <a:effectLst>
            <a:outerShdw blurRad="254000" sx="102000" sy="102000" algn="ctr" rotWithShape="0">
              <a:prstClr val="black">
                <a:alpha val="20000"/>
              </a:prstClr>
            </a:outerShdw>
          </a:effectLst>
        </c:spPr>
      </c:pivotFmt>
      <c:pivotFmt>
        <c:idx val="864"/>
        <c:spPr>
          <a:solidFill>
            <a:schemeClr val="accent1"/>
          </a:solidFill>
          <a:ln>
            <a:noFill/>
          </a:ln>
          <a:effectLst>
            <a:outerShdw blurRad="254000" sx="102000" sy="102000" algn="ctr" rotWithShape="0">
              <a:prstClr val="black">
                <a:alpha val="20000"/>
              </a:prstClr>
            </a:outerShdw>
          </a:effectLst>
        </c:spPr>
      </c:pivotFmt>
      <c:pivotFmt>
        <c:idx val="865"/>
        <c:spPr>
          <a:solidFill>
            <a:schemeClr val="accent1"/>
          </a:solidFill>
          <a:ln>
            <a:noFill/>
          </a:ln>
          <a:effectLst>
            <a:outerShdw blurRad="254000" sx="102000" sy="102000" algn="ctr" rotWithShape="0">
              <a:prstClr val="black">
                <a:alpha val="20000"/>
              </a:prstClr>
            </a:outerShdw>
          </a:effectLst>
        </c:spPr>
      </c:pivotFmt>
      <c:pivotFmt>
        <c:idx val="866"/>
        <c:spPr>
          <a:solidFill>
            <a:schemeClr val="accent1"/>
          </a:solidFill>
          <a:ln>
            <a:noFill/>
          </a:ln>
          <a:effectLst>
            <a:outerShdw blurRad="254000" sx="102000" sy="102000" algn="ctr" rotWithShape="0">
              <a:prstClr val="black">
                <a:alpha val="20000"/>
              </a:prstClr>
            </a:outerShdw>
          </a:effectLst>
        </c:spPr>
      </c:pivotFmt>
      <c:pivotFmt>
        <c:idx val="867"/>
        <c:spPr>
          <a:solidFill>
            <a:schemeClr val="accent1"/>
          </a:solidFill>
          <a:ln>
            <a:noFill/>
          </a:ln>
          <a:effectLst>
            <a:outerShdw blurRad="254000" sx="102000" sy="102000" algn="ctr" rotWithShape="0">
              <a:prstClr val="black">
                <a:alpha val="20000"/>
              </a:prstClr>
            </a:outerShdw>
          </a:effectLst>
        </c:spPr>
      </c:pivotFmt>
      <c:pivotFmt>
        <c:idx val="868"/>
        <c:spPr>
          <a:solidFill>
            <a:schemeClr val="accent1"/>
          </a:solidFill>
          <a:ln>
            <a:noFill/>
          </a:ln>
          <a:effectLst>
            <a:outerShdw blurRad="254000" sx="102000" sy="102000" algn="ctr" rotWithShape="0">
              <a:prstClr val="black">
                <a:alpha val="20000"/>
              </a:prstClr>
            </a:outerShdw>
          </a:effectLst>
        </c:spPr>
      </c:pivotFmt>
      <c:pivotFmt>
        <c:idx val="869"/>
        <c:spPr>
          <a:solidFill>
            <a:schemeClr val="accent1"/>
          </a:solidFill>
          <a:ln>
            <a:noFill/>
          </a:ln>
          <a:effectLst>
            <a:outerShdw blurRad="254000" sx="102000" sy="102000" algn="ctr" rotWithShape="0">
              <a:prstClr val="black">
                <a:alpha val="20000"/>
              </a:prstClr>
            </a:outerShdw>
          </a:effectLst>
        </c:spPr>
      </c:pivotFmt>
      <c:pivotFmt>
        <c:idx val="870"/>
        <c:spPr>
          <a:solidFill>
            <a:schemeClr val="accent1"/>
          </a:solidFill>
          <a:ln>
            <a:noFill/>
          </a:ln>
          <a:effectLst>
            <a:outerShdw blurRad="254000" sx="102000" sy="102000" algn="ctr" rotWithShape="0">
              <a:prstClr val="black">
                <a:alpha val="20000"/>
              </a:prstClr>
            </a:outerShdw>
          </a:effectLst>
        </c:spPr>
      </c:pivotFmt>
      <c:pivotFmt>
        <c:idx val="871"/>
        <c:spPr>
          <a:solidFill>
            <a:schemeClr val="accent1"/>
          </a:solidFill>
          <a:ln>
            <a:noFill/>
          </a:ln>
          <a:effectLst>
            <a:outerShdw blurRad="254000" sx="102000" sy="102000" algn="ctr" rotWithShape="0">
              <a:prstClr val="black">
                <a:alpha val="20000"/>
              </a:prstClr>
            </a:outerShdw>
          </a:effectLst>
        </c:spPr>
      </c:pivotFmt>
      <c:pivotFmt>
        <c:idx val="872"/>
        <c:spPr>
          <a:solidFill>
            <a:schemeClr val="accent1"/>
          </a:solidFill>
          <a:ln>
            <a:noFill/>
          </a:ln>
          <a:effectLst>
            <a:outerShdw blurRad="254000" sx="102000" sy="102000" algn="ctr" rotWithShape="0">
              <a:prstClr val="black">
                <a:alpha val="20000"/>
              </a:prstClr>
            </a:outerShdw>
          </a:effectLst>
        </c:spPr>
      </c:pivotFmt>
      <c:pivotFmt>
        <c:idx val="873"/>
        <c:spPr>
          <a:solidFill>
            <a:schemeClr val="accent1"/>
          </a:solidFill>
          <a:ln>
            <a:noFill/>
          </a:ln>
          <a:effectLst>
            <a:outerShdw blurRad="254000" sx="102000" sy="102000" algn="ctr" rotWithShape="0">
              <a:prstClr val="black">
                <a:alpha val="20000"/>
              </a:prstClr>
            </a:outerShdw>
          </a:effectLst>
        </c:spPr>
      </c:pivotFmt>
      <c:pivotFmt>
        <c:idx val="874"/>
        <c:spPr>
          <a:solidFill>
            <a:schemeClr val="accent1"/>
          </a:solidFill>
          <a:ln>
            <a:noFill/>
          </a:ln>
          <a:effectLst>
            <a:outerShdw blurRad="254000" sx="102000" sy="102000" algn="ctr" rotWithShape="0">
              <a:prstClr val="black">
                <a:alpha val="20000"/>
              </a:prstClr>
            </a:outerShdw>
          </a:effectLst>
        </c:spPr>
      </c:pivotFmt>
      <c:pivotFmt>
        <c:idx val="875"/>
        <c:spPr>
          <a:solidFill>
            <a:schemeClr val="accent1"/>
          </a:solidFill>
          <a:ln>
            <a:noFill/>
          </a:ln>
          <a:effectLst>
            <a:outerShdw blurRad="254000" sx="102000" sy="102000" algn="ctr" rotWithShape="0">
              <a:prstClr val="black">
                <a:alpha val="20000"/>
              </a:prstClr>
            </a:outerShdw>
          </a:effectLst>
        </c:spPr>
      </c:pivotFmt>
      <c:pivotFmt>
        <c:idx val="876"/>
        <c:spPr>
          <a:solidFill>
            <a:schemeClr val="accent1"/>
          </a:solidFill>
          <a:ln>
            <a:noFill/>
          </a:ln>
          <a:effectLst>
            <a:outerShdw blurRad="254000" sx="102000" sy="102000" algn="ctr" rotWithShape="0">
              <a:prstClr val="black">
                <a:alpha val="20000"/>
              </a:prstClr>
            </a:outerShdw>
          </a:effectLst>
        </c:spPr>
      </c:pivotFmt>
      <c:pivotFmt>
        <c:idx val="877"/>
        <c:spPr>
          <a:solidFill>
            <a:schemeClr val="accent1"/>
          </a:solidFill>
          <a:ln>
            <a:noFill/>
          </a:ln>
          <a:effectLst>
            <a:outerShdw blurRad="254000" sx="102000" sy="102000" algn="ctr" rotWithShape="0">
              <a:prstClr val="black">
                <a:alpha val="20000"/>
              </a:prstClr>
            </a:outerShdw>
          </a:effectLst>
        </c:spPr>
      </c:pivotFmt>
      <c:pivotFmt>
        <c:idx val="878"/>
        <c:spPr>
          <a:solidFill>
            <a:schemeClr val="accent1"/>
          </a:solidFill>
          <a:ln>
            <a:noFill/>
          </a:ln>
          <a:effectLst>
            <a:outerShdw blurRad="254000" sx="102000" sy="102000" algn="ctr" rotWithShape="0">
              <a:prstClr val="black">
                <a:alpha val="20000"/>
              </a:prstClr>
            </a:outerShdw>
          </a:effectLst>
        </c:spPr>
      </c:pivotFmt>
      <c:pivotFmt>
        <c:idx val="879"/>
        <c:spPr>
          <a:solidFill>
            <a:schemeClr val="accent1"/>
          </a:solidFill>
          <a:ln>
            <a:noFill/>
          </a:ln>
          <a:effectLst>
            <a:outerShdw blurRad="254000" sx="102000" sy="102000" algn="ctr" rotWithShape="0">
              <a:prstClr val="black">
                <a:alpha val="20000"/>
              </a:prstClr>
            </a:outerShdw>
          </a:effectLst>
        </c:spPr>
      </c:pivotFmt>
      <c:pivotFmt>
        <c:idx val="880"/>
        <c:spPr>
          <a:solidFill>
            <a:schemeClr val="accent1"/>
          </a:solidFill>
          <a:ln>
            <a:noFill/>
          </a:ln>
          <a:effectLst>
            <a:outerShdw blurRad="254000" sx="102000" sy="102000" algn="ctr" rotWithShape="0">
              <a:prstClr val="black">
                <a:alpha val="20000"/>
              </a:prstClr>
            </a:outerShdw>
          </a:effectLst>
        </c:spPr>
      </c:pivotFmt>
      <c:pivotFmt>
        <c:idx val="881"/>
        <c:spPr>
          <a:solidFill>
            <a:schemeClr val="accent1"/>
          </a:solidFill>
          <a:ln>
            <a:noFill/>
          </a:ln>
          <a:effectLst>
            <a:outerShdw blurRad="254000" sx="102000" sy="102000" algn="ctr" rotWithShape="0">
              <a:prstClr val="black">
                <a:alpha val="20000"/>
              </a:prstClr>
            </a:outerShdw>
          </a:effectLst>
        </c:spPr>
      </c:pivotFmt>
      <c:pivotFmt>
        <c:idx val="882"/>
        <c:spPr>
          <a:solidFill>
            <a:schemeClr val="accent1"/>
          </a:solidFill>
          <a:ln>
            <a:noFill/>
          </a:ln>
          <a:effectLst>
            <a:outerShdw blurRad="254000" sx="102000" sy="102000" algn="ctr" rotWithShape="0">
              <a:prstClr val="black">
                <a:alpha val="20000"/>
              </a:prstClr>
            </a:outerShdw>
          </a:effectLst>
        </c:spPr>
      </c:pivotFmt>
      <c:pivotFmt>
        <c:idx val="883"/>
        <c:spPr>
          <a:solidFill>
            <a:schemeClr val="accent1"/>
          </a:solidFill>
          <a:ln>
            <a:noFill/>
          </a:ln>
          <a:effectLst>
            <a:outerShdw blurRad="254000" sx="102000" sy="102000" algn="ctr" rotWithShape="0">
              <a:prstClr val="black">
                <a:alpha val="20000"/>
              </a:prstClr>
            </a:outerShdw>
          </a:effectLst>
        </c:spPr>
      </c:pivotFmt>
      <c:pivotFmt>
        <c:idx val="884"/>
        <c:spPr>
          <a:solidFill>
            <a:schemeClr val="accent1"/>
          </a:solidFill>
          <a:ln>
            <a:noFill/>
          </a:ln>
          <a:effectLst>
            <a:outerShdw blurRad="254000" sx="102000" sy="102000" algn="ctr" rotWithShape="0">
              <a:prstClr val="black">
                <a:alpha val="20000"/>
              </a:prstClr>
            </a:outerShdw>
          </a:effectLst>
        </c:spPr>
      </c:pivotFmt>
      <c:pivotFmt>
        <c:idx val="885"/>
        <c:spPr>
          <a:solidFill>
            <a:schemeClr val="accent1"/>
          </a:solidFill>
          <a:ln>
            <a:noFill/>
          </a:ln>
          <a:effectLst>
            <a:outerShdw blurRad="254000" sx="102000" sy="102000" algn="ctr" rotWithShape="0">
              <a:prstClr val="black">
                <a:alpha val="20000"/>
              </a:prstClr>
            </a:outerShdw>
          </a:effectLst>
        </c:spPr>
      </c:pivotFmt>
      <c:pivotFmt>
        <c:idx val="886"/>
        <c:spPr>
          <a:solidFill>
            <a:schemeClr val="accent1"/>
          </a:solidFill>
          <a:ln>
            <a:noFill/>
          </a:ln>
          <a:effectLst>
            <a:outerShdw blurRad="254000" sx="102000" sy="102000" algn="ctr" rotWithShape="0">
              <a:prstClr val="black">
                <a:alpha val="20000"/>
              </a:prstClr>
            </a:outerShdw>
          </a:effectLst>
        </c:spPr>
      </c:pivotFmt>
      <c:pivotFmt>
        <c:idx val="887"/>
        <c:spPr>
          <a:solidFill>
            <a:schemeClr val="accent1"/>
          </a:solidFill>
          <a:ln>
            <a:noFill/>
          </a:ln>
          <a:effectLst>
            <a:outerShdw blurRad="254000" sx="102000" sy="102000" algn="ctr" rotWithShape="0">
              <a:prstClr val="black">
                <a:alpha val="20000"/>
              </a:prstClr>
            </a:outerShdw>
          </a:effectLst>
        </c:spPr>
      </c:pivotFmt>
      <c:pivotFmt>
        <c:idx val="888"/>
        <c:spPr>
          <a:solidFill>
            <a:schemeClr val="accent1"/>
          </a:solidFill>
          <a:ln>
            <a:noFill/>
          </a:ln>
          <a:effectLst>
            <a:outerShdw blurRad="254000" sx="102000" sy="102000" algn="ctr" rotWithShape="0">
              <a:prstClr val="black">
                <a:alpha val="20000"/>
              </a:prstClr>
            </a:outerShdw>
          </a:effectLst>
        </c:spPr>
      </c:pivotFmt>
      <c:pivotFmt>
        <c:idx val="889"/>
        <c:spPr>
          <a:solidFill>
            <a:schemeClr val="accent1"/>
          </a:solidFill>
          <a:ln>
            <a:noFill/>
          </a:ln>
          <a:effectLst>
            <a:outerShdw blurRad="254000" sx="102000" sy="102000" algn="ctr" rotWithShape="0">
              <a:prstClr val="black">
                <a:alpha val="20000"/>
              </a:prstClr>
            </a:outerShdw>
          </a:effectLst>
        </c:spPr>
      </c:pivotFmt>
      <c:pivotFmt>
        <c:idx val="890"/>
        <c:spPr>
          <a:solidFill>
            <a:schemeClr val="accent1"/>
          </a:solidFill>
          <a:ln>
            <a:noFill/>
          </a:ln>
          <a:effectLst>
            <a:outerShdw blurRad="254000" sx="102000" sy="102000" algn="ctr" rotWithShape="0">
              <a:prstClr val="black">
                <a:alpha val="20000"/>
              </a:prstClr>
            </a:outerShdw>
          </a:effectLst>
        </c:spPr>
      </c:pivotFmt>
      <c:pivotFmt>
        <c:idx val="891"/>
        <c:spPr>
          <a:solidFill>
            <a:schemeClr val="accent1"/>
          </a:solidFill>
          <a:ln>
            <a:noFill/>
          </a:ln>
          <a:effectLst>
            <a:outerShdw blurRad="254000" sx="102000" sy="102000" algn="ctr" rotWithShape="0">
              <a:prstClr val="black">
                <a:alpha val="20000"/>
              </a:prstClr>
            </a:outerShdw>
          </a:effectLst>
        </c:spPr>
      </c:pivotFmt>
      <c:pivotFmt>
        <c:idx val="892"/>
        <c:spPr>
          <a:solidFill>
            <a:schemeClr val="accent1"/>
          </a:solidFill>
          <a:ln>
            <a:noFill/>
          </a:ln>
          <a:effectLst>
            <a:outerShdw blurRad="254000" sx="102000" sy="102000" algn="ctr" rotWithShape="0">
              <a:prstClr val="black">
                <a:alpha val="20000"/>
              </a:prstClr>
            </a:outerShdw>
          </a:effectLst>
        </c:spPr>
      </c:pivotFmt>
      <c:pivotFmt>
        <c:idx val="893"/>
        <c:spPr>
          <a:solidFill>
            <a:schemeClr val="accent1"/>
          </a:solidFill>
          <a:ln>
            <a:noFill/>
          </a:ln>
          <a:effectLst>
            <a:outerShdw blurRad="254000" sx="102000" sy="102000" algn="ctr" rotWithShape="0">
              <a:prstClr val="black">
                <a:alpha val="20000"/>
              </a:prstClr>
            </a:outerShdw>
          </a:effectLst>
        </c:spPr>
      </c:pivotFmt>
      <c:pivotFmt>
        <c:idx val="894"/>
        <c:spPr>
          <a:solidFill>
            <a:schemeClr val="accent1"/>
          </a:solidFill>
          <a:ln>
            <a:noFill/>
          </a:ln>
          <a:effectLst>
            <a:outerShdw blurRad="254000" sx="102000" sy="102000" algn="ctr" rotWithShape="0">
              <a:prstClr val="black">
                <a:alpha val="20000"/>
              </a:prstClr>
            </a:outerShdw>
          </a:effectLst>
        </c:spPr>
      </c:pivotFmt>
      <c:pivotFmt>
        <c:idx val="895"/>
        <c:spPr>
          <a:solidFill>
            <a:schemeClr val="accent1"/>
          </a:solidFill>
          <a:ln>
            <a:noFill/>
          </a:ln>
          <a:effectLst>
            <a:outerShdw blurRad="254000" sx="102000" sy="102000" algn="ctr" rotWithShape="0">
              <a:prstClr val="black">
                <a:alpha val="20000"/>
              </a:prstClr>
            </a:outerShdw>
          </a:effectLst>
        </c:spPr>
      </c:pivotFmt>
      <c:pivotFmt>
        <c:idx val="896"/>
        <c:spPr>
          <a:solidFill>
            <a:schemeClr val="accent1"/>
          </a:solidFill>
          <a:ln>
            <a:noFill/>
          </a:ln>
          <a:effectLst>
            <a:outerShdw blurRad="254000" sx="102000" sy="102000" algn="ctr" rotWithShape="0">
              <a:prstClr val="black">
                <a:alpha val="20000"/>
              </a:prstClr>
            </a:outerShdw>
          </a:effectLst>
        </c:spPr>
      </c:pivotFmt>
      <c:pivotFmt>
        <c:idx val="897"/>
        <c:spPr>
          <a:solidFill>
            <a:schemeClr val="accent1"/>
          </a:solidFill>
          <a:ln>
            <a:noFill/>
          </a:ln>
          <a:effectLst>
            <a:outerShdw blurRad="254000" sx="102000" sy="102000" algn="ctr" rotWithShape="0">
              <a:prstClr val="black">
                <a:alpha val="20000"/>
              </a:prstClr>
            </a:outerShdw>
          </a:effectLst>
        </c:spPr>
      </c:pivotFmt>
      <c:pivotFmt>
        <c:idx val="898"/>
        <c:spPr>
          <a:solidFill>
            <a:schemeClr val="accent1"/>
          </a:solidFill>
          <a:ln>
            <a:noFill/>
          </a:ln>
          <a:effectLst>
            <a:outerShdw blurRad="254000" sx="102000" sy="102000" algn="ctr" rotWithShape="0">
              <a:prstClr val="black">
                <a:alpha val="20000"/>
              </a:prstClr>
            </a:outerShdw>
          </a:effectLst>
        </c:spPr>
      </c:pivotFmt>
      <c:pivotFmt>
        <c:idx val="899"/>
        <c:spPr>
          <a:solidFill>
            <a:schemeClr val="accent1"/>
          </a:solidFill>
          <a:ln>
            <a:noFill/>
          </a:ln>
          <a:effectLst>
            <a:outerShdw blurRad="254000" sx="102000" sy="102000" algn="ctr" rotWithShape="0">
              <a:prstClr val="black">
                <a:alpha val="20000"/>
              </a:prstClr>
            </a:outerShdw>
          </a:effectLst>
        </c:spPr>
      </c:pivotFmt>
      <c:pivotFmt>
        <c:idx val="900"/>
        <c:spPr>
          <a:solidFill>
            <a:schemeClr val="accent1"/>
          </a:solidFill>
          <a:ln>
            <a:noFill/>
          </a:ln>
          <a:effectLst>
            <a:outerShdw blurRad="254000" sx="102000" sy="102000" algn="ctr" rotWithShape="0">
              <a:prstClr val="black">
                <a:alpha val="20000"/>
              </a:prstClr>
            </a:outerShdw>
          </a:effectLst>
        </c:spPr>
      </c:pivotFmt>
      <c:pivotFmt>
        <c:idx val="901"/>
        <c:spPr>
          <a:solidFill>
            <a:schemeClr val="accent1"/>
          </a:solidFill>
          <a:ln>
            <a:noFill/>
          </a:ln>
          <a:effectLst>
            <a:outerShdw blurRad="254000" sx="102000" sy="102000" algn="ctr" rotWithShape="0">
              <a:prstClr val="black">
                <a:alpha val="20000"/>
              </a:prstClr>
            </a:outerShdw>
          </a:effectLst>
        </c:spPr>
      </c:pivotFmt>
      <c:pivotFmt>
        <c:idx val="902"/>
        <c:spPr>
          <a:solidFill>
            <a:schemeClr val="accent1"/>
          </a:solidFill>
          <a:ln>
            <a:noFill/>
          </a:ln>
          <a:effectLst>
            <a:outerShdw blurRad="254000" sx="102000" sy="102000" algn="ctr" rotWithShape="0">
              <a:prstClr val="black">
                <a:alpha val="20000"/>
              </a:prstClr>
            </a:outerShdw>
          </a:effectLst>
        </c:spPr>
      </c:pivotFmt>
      <c:pivotFmt>
        <c:idx val="903"/>
        <c:spPr>
          <a:solidFill>
            <a:schemeClr val="accent1"/>
          </a:solidFill>
          <a:ln>
            <a:noFill/>
          </a:ln>
          <a:effectLst>
            <a:outerShdw blurRad="254000" sx="102000" sy="102000" algn="ctr" rotWithShape="0">
              <a:prstClr val="black">
                <a:alpha val="20000"/>
              </a:prstClr>
            </a:outerShdw>
          </a:effectLst>
        </c:spPr>
      </c:pivotFmt>
      <c:pivotFmt>
        <c:idx val="904"/>
        <c:spPr>
          <a:solidFill>
            <a:schemeClr val="accent1"/>
          </a:solidFill>
          <a:ln>
            <a:noFill/>
          </a:ln>
          <a:effectLst>
            <a:outerShdw blurRad="254000" sx="102000" sy="102000" algn="ctr" rotWithShape="0">
              <a:prstClr val="black">
                <a:alpha val="20000"/>
              </a:prstClr>
            </a:outerShdw>
          </a:effectLst>
        </c:spPr>
      </c:pivotFmt>
      <c:pivotFmt>
        <c:idx val="905"/>
        <c:spPr>
          <a:solidFill>
            <a:schemeClr val="accent1"/>
          </a:solidFill>
          <a:ln>
            <a:noFill/>
          </a:ln>
          <a:effectLst>
            <a:outerShdw blurRad="254000" sx="102000" sy="102000" algn="ctr" rotWithShape="0">
              <a:prstClr val="black">
                <a:alpha val="20000"/>
              </a:prstClr>
            </a:outerShdw>
          </a:effectLst>
        </c:spPr>
      </c:pivotFmt>
      <c:pivotFmt>
        <c:idx val="906"/>
        <c:spPr>
          <a:solidFill>
            <a:schemeClr val="accent1"/>
          </a:solidFill>
          <a:ln>
            <a:noFill/>
          </a:ln>
          <a:effectLst>
            <a:outerShdw blurRad="254000" sx="102000" sy="102000" algn="ctr" rotWithShape="0">
              <a:prstClr val="black">
                <a:alpha val="20000"/>
              </a:prstClr>
            </a:outerShdw>
          </a:effectLst>
        </c:spPr>
      </c:pivotFmt>
      <c:pivotFmt>
        <c:idx val="907"/>
        <c:spPr>
          <a:solidFill>
            <a:schemeClr val="accent1"/>
          </a:solidFill>
          <a:ln>
            <a:noFill/>
          </a:ln>
          <a:effectLst>
            <a:outerShdw blurRad="254000" sx="102000" sy="102000" algn="ctr" rotWithShape="0">
              <a:prstClr val="black">
                <a:alpha val="20000"/>
              </a:prstClr>
            </a:outerShdw>
          </a:effectLst>
        </c:spPr>
      </c:pivotFmt>
      <c:pivotFmt>
        <c:idx val="908"/>
        <c:spPr>
          <a:solidFill>
            <a:schemeClr val="accent1"/>
          </a:solidFill>
          <a:ln>
            <a:noFill/>
          </a:ln>
          <a:effectLst>
            <a:outerShdw blurRad="254000" sx="102000" sy="102000" algn="ctr" rotWithShape="0">
              <a:prstClr val="black">
                <a:alpha val="20000"/>
              </a:prstClr>
            </a:outerShdw>
          </a:effectLst>
        </c:spPr>
      </c:pivotFmt>
      <c:pivotFmt>
        <c:idx val="909"/>
        <c:spPr>
          <a:solidFill>
            <a:schemeClr val="accent1"/>
          </a:solidFill>
          <a:ln>
            <a:noFill/>
          </a:ln>
          <a:effectLst>
            <a:outerShdw blurRad="254000" sx="102000" sy="102000" algn="ctr" rotWithShape="0">
              <a:prstClr val="black">
                <a:alpha val="20000"/>
              </a:prstClr>
            </a:outerShdw>
          </a:effectLst>
        </c:spPr>
      </c:pivotFmt>
      <c:pivotFmt>
        <c:idx val="910"/>
        <c:spPr>
          <a:solidFill>
            <a:schemeClr val="accent1"/>
          </a:solidFill>
          <a:ln>
            <a:noFill/>
          </a:ln>
          <a:effectLst>
            <a:outerShdw blurRad="254000" sx="102000" sy="102000" algn="ctr" rotWithShape="0">
              <a:prstClr val="black">
                <a:alpha val="20000"/>
              </a:prstClr>
            </a:outerShdw>
          </a:effectLst>
        </c:spPr>
      </c:pivotFmt>
      <c:pivotFmt>
        <c:idx val="911"/>
        <c:spPr>
          <a:solidFill>
            <a:schemeClr val="accent1"/>
          </a:solidFill>
          <a:ln>
            <a:noFill/>
          </a:ln>
          <a:effectLst>
            <a:outerShdw blurRad="254000" sx="102000" sy="102000" algn="ctr" rotWithShape="0">
              <a:prstClr val="black">
                <a:alpha val="20000"/>
              </a:prstClr>
            </a:outerShdw>
          </a:effectLst>
        </c:spPr>
      </c:pivotFmt>
      <c:pivotFmt>
        <c:idx val="912"/>
        <c:spPr>
          <a:solidFill>
            <a:schemeClr val="accent1"/>
          </a:solidFill>
          <a:ln>
            <a:noFill/>
          </a:ln>
          <a:effectLst>
            <a:outerShdw blurRad="254000" sx="102000" sy="102000" algn="ctr" rotWithShape="0">
              <a:prstClr val="black">
                <a:alpha val="20000"/>
              </a:prstClr>
            </a:outerShdw>
          </a:effectLst>
        </c:spPr>
      </c:pivotFmt>
      <c:pivotFmt>
        <c:idx val="913"/>
        <c:spPr>
          <a:solidFill>
            <a:schemeClr val="accent1"/>
          </a:solidFill>
          <a:ln>
            <a:noFill/>
          </a:ln>
          <a:effectLst>
            <a:outerShdw blurRad="254000" sx="102000" sy="102000" algn="ctr" rotWithShape="0">
              <a:prstClr val="black">
                <a:alpha val="20000"/>
              </a:prstClr>
            </a:outerShdw>
          </a:effectLst>
        </c:spPr>
      </c:pivotFmt>
      <c:pivotFmt>
        <c:idx val="914"/>
        <c:spPr>
          <a:solidFill>
            <a:schemeClr val="accent1"/>
          </a:solidFill>
          <a:ln>
            <a:noFill/>
          </a:ln>
          <a:effectLst>
            <a:outerShdw blurRad="254000" sx="102000" sy="102000" algn="ctr" rotWithShape="0">
              <a:prstClr val="black">
                <a:alpha val="20000"/>
              </a:prstClr>
            </a:outerShdw>
          </a:effectLst>
        </c:spPr>
      </c:pivotFmt>
      <c:pivotFmt>
        <c:idx val="915"/>
        <c:spPr>
          <a:solidFill>
            <a:schemeClr val="accent1"/>
          </a:solidFill>
          <a:ln>
            <a:noFill/>
          </a:ln>
          <a:effectLst>
            <a:outerShdw blurRad="254000" sx="102000" sy="102000" algn="ctr" rotWithShape="0">
              <a:prstClr val="black">
                <a:alpha val="20000"/>
              </a:prstClr>
            </a:outerShdw>
          </a:effectLst>
        </c:spPr>
      </c:pivotFmt>
      <c:pivotFmt>
        <c:idx val="916"/>
        <c:spPr>
          <a:solidFill>
            <a:schemeClr val="accent1"/>
          </a:solidFill>
          <a:ln>
            <a:noFill/>
          </a:ln>
          <a:effectLst>
            <a:outerShdw blurRad="254000" sx="102000" sy="102000" algn="ctr" rotWithShape="0">
              <a:prstClr val="black">
                <a:alpha val="20000"/>
              </a:prstClr>
            </a:outerShdw>
          </a:effectLst>
        </c:spPr>
      </c:pivotFmt>
      <c:pivotFmt>
        <c:idx val="917"/>
        <c:spPr>
          <a:solidFill>
            <a:schemeClr val="accent1"/>
          </a:solidFill>
          <a:ln>
            <a:noFill/>
          </a:ln>
          <a:effectLst>
            <a:outerShdw blurRad="254000" sx="102000" sy="102000" algn="ctr" rotWithShape="0">
              <a:prstClr val="black">
                <a:alpha val="20000"/>
              </a:prstClr>
            </a:outerShdw>
          </a:effectLst>
        </c:spPr>
      </c:pivotFmt>
      <c:pivotFmt>
        <c:idx val="918"/>
        <c:spPr>
          <a:solidFill>
            <a:schemeClr val="accent1"/>
          </a:solidFill>
          <a:ln>
            <a:noFill/>
          </a:ln>
          <a:effectLst>
            <a:outerShdw blurRad="254000" sx="102000" sy="102000" algn="ctr" rotWithShape="0">
              <a:prstClr val="black">
                <a:alpha val="20000"/>
              </a:prstClr>
            </a:outerShdw>
          </a:effectLst>
        </c:spPr>
      </c:pivotFmt>
      <c:pivotFmt>
        <c:idx val="919"/>
        <c:spPr>
          <a:solidFill>
            <a:schemeClr val="accent1"/>
          </a:solidFill>
          <a:ln>
            <a:noFill/>
          </a:ln>
          <a:effectLst>
            <a:outerShdw blurRad="254000" sx="102000" sy="102000" algn="ctr" rotWithShape="0">
              <a:prstClr val="black">
                <a:alpha val="20000"/>
              </a:prstClr>
            </a:outerShdw>
          </a:effectLst>
        </c:spPr>
      </c:pivotFmt>
      <c:pivotFmt>
        <c:idx val="920"/>
        <c:spPr>
          <a:solidFill>
            <a:schemeClr val="accent1"/>
          </a:solidFill>
          <a:ln>
            <a:noFill/>
          </a:ln>
          <a:effectLst>
            <a:outerShdw blurRad="254000" sx="102000" sy="102000" algn="ctr" rotWithShape="0">
              <a:prstClr val="black">
                <a:alpha val="20000"/>
              </a:prstClr>
            </a:outerShdw>
          </a:effectLst>
        </c:spPr>
      </c:pivotFmt>
      <c:pivotFmt>
        <c:idx val="921"/>
        <c:spPr>
          <a:solidFill>
            <a:schemeClr val="accent1"/>
          </a:solidFill>
          <a:ln>
            <a:noFill/>
          </a:ln>
          <a:effectLst>
            <a:outerShdw blurRad="254000" sx="102000" sy="102000" algn="ctr" rotWithShape="0">
              <a:prstClr val="black">
                <a:alpha val="20000"/>
              </a:prstClr>
            </a:outerShdw>
          </a:effectLst>
        </c:spPr>
      </c:pivotFmt>
      <c:pivotFmt>
        <c:idx val="922"/>
        <c:spPr>
          <a:solidFill>
            <a:schemeClr val="accent1"/>
          </a:solidFill>
          <a:ln>
            <a:noFill/>
          </a:ln>
          <a:effectLst>
            <a:outerShdw blurRad="254000" sx="102000" sy="102000" algn="ctr" rotWithShape="0">
              <a:prstClr val="black">
                <a:alpha val="20000"/>
              </a:prstClr>
            </a:outerShdw>
          </a:effectLst>
        </c:spPr>
      </c:pivotFmt>
      <c:pivotFmt>
        <c:idx val="923"/>
        <c:spPr>
          <a:solidFill>
            <a:schemeClr val="accent1"/>
          </a:solidFill>
          <a:ln>
            <a:noFill/>
          </a:ln>
          <a:effectLst>
            <a:outerShdw blurRad="254000" sx="102000" sy="102000" algn="ctr" rotWithShape="0">
              <a:prstClr val="black">
                <a:alpha val="20000"/>
              </a:prstClr>
            </a:outerShdw>
          </a:effectLst>
        </c:spPr>
      </c:pivotFmt>
      <c:pivotFmt>
        <c:idx val="924"/>
        <c:spPr>
          <a:solidFill>
            <a:schemeClr val="accent1"/>
          </a:solidFill>
          <a:ln>
            <a:noFill/>
          </a:ln>
          <a:effectLst>
            <a:outerShdw blurRad="254000" sx="102000" sy="102000" algn="ctr" rotWithShape="0">
              <a:prstClr val="black">
                <a:alpha val="20000"/>
              </a:prstClr>
            </a:outerShdw>
          </a:effectLst>
        </c:spPr>
      </c:pivotFmt>
      <c:pivotFmt>
        <c:idx val="925"/>
        <c:spPr>
          <a:solidFill>
            <a:schemeClr val="accent1"/>
          </a:solidFill>
          <a:ln>
            <a:noFill/>
          </a:ln>
          <a:effectLst>
            <a:outerShdw blurRad="254000" sx="102000" sy="102000" algn="ctr" rotWithShape="0">
              <a:prstClr val="black">
                <a:alpha val="20000"/>
              </a:prstClr>
            </a:outerShdw>
          </a:effectLst>
        </c:spPr>
      </c:pivotFmt>
      <c:pivotFmt>
        <c:idx val="926"/>
        <c:spPr>
          <a:solidFill>
            <a:schemeClr val="accent1"/>
          </a:solidFill>
          <a:ln>
            <a:noFill/>
          </a:ln>
          <a:effectLst>
            <a:outerShdw blurRad="254000" sx="102000" sy="102000" algn="ctr" rotWithShape="0">
              <a:prstClr val="black">
                <a:alpha val="20000"/>
              </a:prstClr>
            </a:outerShdw>
          </a:effectLst>
        </c:spPr>
      </c:pivotFmt>
      <c:pivotFmt>
        <c:idx val="927"/>
        <c:spPr>
          <a:solidFill>
            <a:schemeClr val="accent1"/>
          </a:solidFill>
          <a:ln>
            <a:noFill/>
          </a:ln>
          <a:effectLst>
            <a:outerShdw blurRad="254000" sx="102000" sy="102000" algn="ctr" rotWithShape="0">
              <a:prstClr val="black">
                <a:alpha val="20000"/>
              </a:prstClr>
            </a:outerShdw>
          </a:effectLst>
        </c:spPr>
      </c:pivotFmt>
      <c:pivotFmt>
        <c:idx val="928"/>
        <c:spPr>
          <a:solidFill>
            <a:schemeClr val="accent1"/>
          </a:solidFill>
          <a:ln>
            <a:noFill/>
          </a:ln>
          <a:effectLst>
            <a:outerShdw blurRad="254000" sx="102000" sy="102000" algn="ctr" rotWithShape="0">
              <a:prstClr val="black">
                <a:alpha val="20000"/>
              </a:prstClr>
            </a:outerShdw>
          </a:effectLst>
        </c:spPr>
      </c:pivotFmt>
      <c:pivotFmt>
        <c:idx val="929"/>
        <c:spPr>
          <a:solidFill>
            <a:schemeClr val="accent1"/>
          </a:solidFill>
          <a:ln>
            <a:noFill/>
          </a:ln>
          <a:effectLst>
            <a:outerShdw blurRad="254000" sx="102000" sy="102000" algn="ctr" rotWithShape="0">
              <a:prstClr val="black">
                <a:alpha val="20000"/>
              </a:prstClr>
            </a:outerShdw>
          </a:effectLst>
        </c:spPr>
      </c:pivotFmt>
      <c:pivotFmt>
        <c:idx val="930"/>
        <c:spPr>
          <a:solidFill>
            <a:schemeClr val="accent1"/>
          </a:solidFill>
          <a:ln>
            <a:noFill/>
          </a:ln>
          <a:effectLst>
            <a:outerShdw blurRad="254000" sx="102000" sy="102000" algn="ctr" rotWithShape="0">
              <a:prstClr val="black">
                <a:alpha val="20000"/>
              </a:prstClr>
            </a:outerShdw>
          </a:effectLst>
        </c:spPr>
      </c:pivotFmt>
      <c:pivotFmt>
        <c:idx val="931"/>
        <c:spPr>
          <a:solidFill>
            <a:schemeClr val="accent1"/>
          </a:solidFill>
          <a:ln>
            <a:noFill/>
          </a:ln>
          <a:effectLst>
            <a:outerShdw blurRad="254000" sx="102000" sy="102000" algn="ctr" rotWithShape="0">
              <a:prstClr val="black">
                <a:alpha val="20000"/>
              </a:prstClr>
            </a:outerShdw>
          </a:effectLst>
        </c:spPr>
      </c:pivotFmt>
      <c:pivotFmt>
        <c:idx val="932"/>
        <c:spPr>
          <a:solidFill>
            <a:schemeClr val="accent1"/>
          </a:solidFill>
          <a:ln>
            <a:noFill/>
          </a:ln>
          <a:effectLst>
            <a:outerShdw blurRad="254000" sx="102000" sy="102000" algn="ctr" rotWithShape="0">
              <a:prstClr val="black">
                <a:alpha val="20000"/>
              </a:prstClr>
            </a:outerShdw>
          </a:effectLst>
        </c:spPr>
      </c:pivotFmt>
      <c:pivotFmt>
        <c:idx val="933"/>
        <c:spPr>
          <a:solidFill>
            <a:schemeClr val="accent1"/>
          </a:solidFill>
          <a:ln>
            <a:noFill/>
          </a:ln>
          <a:effectLst>
            <a:outerShdw blurRad="254000" sx="102000" sy="102000" algn="ctr" rotWithShape="0">
              <a:prstClr val="black">
                <a:alpha val="20000"/>
              </a:prstClr>
            </a:outerShdw>
          </a:effectLst>
        </c:spPr>
      </c:pivotFmt>
      <c:pivotFmt>
        <c:idx val="934"/>
        <c:spPr>
          <a:solidFill>
            <a:schemeClr val="accent1"/>
          </a:solidFill>
          <a:ln>
            <a:noFill/>
          </a:ln>
          <a:effectLst>
            <a:outerShdw blurRad="254000" sx="102000" sy="102000" algn="ctr" rotWithShape="0">
              <a:prstClr val="black">
                <a:alpha val="20000"/>
              </a:prstClr>
            </a:outerShdw>
          </a:effectLst>
        </c:spPr>
      </c:pivotFmt>
      <c:pivotFmt>
        <c:idx val="935"/>
        <c:spPr>
          <a:solidFill>
            <a:schemeClr val="accent1"/>
          </a:solidFill>
          <a:ln>
            <a:noFill/>
          </a:ln>
          <a:effectLst>
            <a:outerShdw blurRad="254000" sx="102000" sy="102000" algn="ctr" rotWithShape="0">
              <a:prstClr val="black">
                <a:alpha val="20000"/>
              </a:prstClr>
            </a:outerShdw>
          </a:effectLst>
        </c:spPr>
      </c:pivotFmt>
      <c:pivotFmt>
        <c:idx val="936"/>
        <c:spPr>
          <a:solidFill>
            <a:schemeClr val="accent1"/>
          </a:solidFill>
          <a:ln>
            <a:noFill/>
          </a:ln>
          <a:effectLst>
            <a:outerShdw blurRad="254000" sx="102000" sy="102000" algn="ctr" rotWithShape="0">
              <a:prstClr val="black">
                <a:alpha val="20000"/>
              </a:prstClr>
            </a:outerShdw>
          </a:effectLst>
        </c:spPr>
      </c:pivotFmt>
      <c:pivotFmt>
        <c:idx val="937"/>
        <c:spPr>
          <a:solidFill>
            <a:schemeClr val="accent1"/>
          </a:solidFill>
          <a:ln>
            <a:noFill/>
          </a:ln>
          <a:effectLst>
            <a:outerShdw blurRad="254000" sx="102000" sy="102000" algn="ctr" rotWithShape="0">
              <a:prstClr val="black">
                <a:alpha val="20000"/>
              </a:prstClr>
            </a:outerShdw>
          </a:effectLst>
        </c:spPr>
      </c:pivotFmt>
      <c:pivotFmt>
        <c:idx val="938"/>
        <c:spPr>
          <a:solidFill>
            <a:schemeClr val="accent1"/>
          </a:solidFill>
          <a:ln>
            <a:noFill/>
          </a:ln>
          <a:effectLst>
            <a:outerShdw blurRad="254000" sx="102000" sy="102000" algn="ctr" rotWithShape="0">
              <a:prstClr val="black">
                <a:alpha val="20000"/>
              </a:prstClr>
            </a:outerShdw>
          </a:effectLst>
        </c:spPr>
      </c:pivotFmt>
      <c:pivotFmt>
        <c:idx val="939"/>
        <c:spPr>
          <a:solidFill>
            <a:schemeClr val="accent1"/>
          </a:solidFill>
          <a:ln>
            <a:noFill/>
          </a:ln>
          <a:effectLst>
            <a:outerShdw blurRad="254000" sx="102000" sy="102000" algn="ctr" rotWithShape="0">
              <a:prstClr val="black">
                <a:alpha val="20000"/>
              </a:prstClr>
            </a:outerShdw>
          </a:effectLst>
        </c:spPr>
      </c:pivotFmt>
      <c:pivotFmt>
        <c:idx val="940"/>
        <c:spPr>
          <a:solidFill>
            <a:schemeClr val="accent1"/>
          </a:solidFill>
          <a:ln>
            <a:noFill/>
          </a:ln>
          <a:effectLst>
            <a:outerShdw blurRad="254000" sx="102000" sy="102000" algn="ctr" rotWithShape="0">
              <a:prstClr val="black">
                <a:alpha val="20000"/>
              </a:prstClr>
            </a:outerShdw>
          </a:effectLst>
        </c:spPr>
      </c:pivotFmt>
      <c:pivotFmt>
        <c:idx val="941"/>
        <c:spPr>
          <a:solidFill>
            <a:schemeClr val="accent1"/>
          </a:solidFill>
          <a:ln>
            <a:noFill/>
          </a:ln>
          <a:effectLst>
            <a:outerShdw blurRad="254000" sx="102000" sy="102000" algn="ctr" rotWithShape="0">
              <a:prstClr val="black">
                <a:alpha val="20000"/>
              </a:prstClr>
            </a:outerShdw>
          </a:effectLst>
        </c:spPr>
      </c:pivotFmt>
      <c:pivotFmt>
        <c:idx val="942"/>
        <c:spPr>
          <a:solidFill>
            <a:schemeClr val="accent1"/>
          </a:solidFill>
          <a:ln>
            <a:noFill/>
          </a:ln>
          <a:effectLst>
            <a:outerShdw blurRad="254000" sx="102000" sy="102000" algn="ctr" rotWithShape="0">
              <a:prstClr val="black">
                <a:alpha val="20000"/>
              </a:prstClr>
            </a:outerShdw>
          </a:effectLst>
        </c:spPr>
      </c:pivotFmt>
      <c:pivotFmt>
        <c:idx val="943"/>
        <c:spPr>
          <a:solidFill>
            <a:schemeClr val="accent1"/>
          </a:solidFill>
          <a:ln>
            <a:noFill/>
          </a:ln>
          <a:effectLst>
            <a:outerShdw blurRad="254000" sx="102000" sy="102000" algn="ctr" rotWithShape="0">
              <a:prstClr val="black">
                <a:alpha val="20000"/>
              </a:prstClr>
            </a:outerShdw>
          </a:effectLst>
        </c:spPr>
      </c:pivotFmt>
      <c:pivotFmt>
        <c:idx val="944"/>
        <c:spPr>
          <a:solidFill>
            <a:schemeClr val="accent1"/>
          </a:solidFill>
          <a:ln>
            <a:noFill/>
          </a:ln>
          <a:effectLst>
            <a:outerShdw blurRad="254000" sx="102000" sy="102000" algn="ctr" rotWithShape="0">
              <a:prstClr val="black">
                <a:alpha val="20000"/>
              </a:prstClr>
            </a:outerShdw>
          </a:effectLst>
        </c:spPr>
      </c:pivotFmt>
      <c:pivotFmt>
        <c:idx val="945"/>
        <c:spPr>
          <a:solidFill>
            <a:schemeClr val="accent1"/>
          </a:solidFill>
          <a:ln>
            <a:noFill/>
          </a:ln>
          <a:effectLst>
            <a:outerShdw blurRad="254000" sx="102000" sy="102000" algn="ctr" rotWithShape="0">
              <a:prstClr val="black">
                <a:alpha val="20000"/>
              </a:prstClr>
            </a:outerShdw>
          </a:effectLst>
        </c:spPr>
      </c:pivotFmt>
      <c:pivotFmt>
        <c:idx val="946"/>
        <c:spPr>
          <a:solidFill>
            <a:schemeClr val="accent1"/>
          </a:solidFill>
          <a:ln>
            <a:noFill/>
          </a:ln>
          <a:effectLst>
            <a:outerShdw blurRad="254000" sx="102000" sy="102000" algn="ctr" rotWithShape="0">
              <a:prstClr val="black">
                <a:alpha val="20000"/>
              </a:prstClr>
            </a:outerShdw>
          </a:effectLst>
        </c:spPr>
      </c:pivotFmt>
      <c:pivotFmt>
        <c:idx val="947"/>
        <c:spPr>
          <a:solidFill>
            <a:schemeClr val="accent1"/>
          </a:solidFill>
          <a:ln>
            <a:noFill/>
          </a:ln>
          <a:effectLst>
            <a:outerShdw blurRad="254000" sx="102000" sy="102000" algn="ctr" rotWithShape="0">
              <a:prstClr val="black">
                <a:alpha val="20000"/>
              </a:prstClr>
            </a:outerShdw>
          </a:effectLst>
        </c:spPr>
      </c:pivotFmt>
      <c:pivotFmt>
        <c:idx val="948"/>
        <c:spPr>
          <a:solidFill>
            <a:schemeClr val="accent1"/>
          </a:solidFill>
          <a:ln>
            <a:noFill/>
          </a:ln>
          <a:effectLst>
            <a:outerShdw blurRad="254000" sx="102000" sy="102000" algn="ctr" rotWithShape="0">
              <a:prstClr val="black">
                <a:alpha val="20000"/>
              </a:prstClr>
            </a:outerShdw>
          </a:effectLst>
        </c:spPr>
      </c:pivotFmt>
      <c:pivotFmt>
        <c:idx val="949"/>
        <c:spPr>
          <a:solidFill>
            <a:schemeClr val="accent1"/>
          </a:solidFill>
          <a:ln>
            <a:noFill/>
          </a:ln>
          <a:effectLst>
            <a:outerShdw blurRad="254000" sx="102000" sy="102000" algn="ctr" rotWithShape="0">
              <a:prstClr val="black">
                <a:alpha val="20000"/>
              </a:prstClr>
            </a:outerShdw>
          </a:effectLst>
        </c:spPr>
      </c:pivotFmt>
      <c:pivotFmt>
        <c:idx val="950"/>
        <c:spPr>
          <a:solidFill>
            <a:schemeClr val="accent1"/>
          </a:solidFill>
          <a:ln>
            <a:noFill/>
          </a:ln>
          <a:effectLst>
            <a:outerShdw blurRad="254000" sx="102000" sy="102000" algn="ctr" rotWithShape="0">
              <a:prstClr val="black">
                <a:alpha val="20000"/>
              </a:prstClr>
            </a:outerShdw>
          </a:effectLst>
        </c:spPr>
      </c:pivotFmt>
      <c:pivotFmt>
        <c:idx val="951"/>
        <c:spPr>
          <a:solidFill>
            <a:schemeClr val="accent1"/>
          </a:solidFill>
          <a:ln>
            <a:noFill/>
          </a:ln>
          <a:effectLst>
            <a:outerShdw blurRad="254000" sx="102000" sy="102000" algn="ctr" rotWithShape="0">
              <a:prstClr val="black">
                <a:alpha val="20000"/>
              </a:prstClr>
            </a:outerShdw>
          </a:effectLst>
        </c:spPr>
      </c:pivotFmt>
      <c:pivotFmt>
        <c:idx val="952"/>
        <c:spPr>
          <a:solidFill>
            <a:schemeClr val="accent1"/>
          </a:solidFill>
          <a:ln>
            <a:noFill/>
          </a:ln>
          <a:effectLst>
            <a:outerShdw blurRad="254000" sx="102000" sy="102000" algn="ctr" rotWithShape="0">
              <a:prstClr val="black">
                <a:alpha val="20000"/>
              </a:prstClr>
            </a:outerShdw>
          </a:effectLst>
        </c:spPr>
      </c:pivotFmt>
      <c:pivotFmt>
        <c:idx val="953"/>
        <c:spPr>
          <a:solidFill>
            <a:schemeClr val="accent1"/>
          </a:solidFill>
          <a:ln>
            <a:noFill/>
          </a:ln>
          <a:effectLst>
            <a:outerShdw blurRad="254000" sx="102000" sy="102000" algn="ctr" rotWithShape="0">
              <a:prstClr val="black">
                <a:alpha val="20000"/>
              </a:prstClr>
            </a:outerShdw>
          </a:effectLst>
        </c:spPr>
      </c:pivotFmt>
      <c:pivotFmt>
        <c:idx val="954"/>
        <c:spPr>
          <a:solidFill>
            <a:schemeClr val="accent1"/>
          </a:solidFill>
          <a:ln>
            <a:noFill/>
          </a:ln>
          <a:effectLst>
            <a:outerShdw blurRad="254000" sx="102000" sy="102000" algn="ctr" rotWithShape="0">
              <a:prstClr val="black">
                <a:alpha val="20000"/>
              </a:prstClr>
            </a:outerShdw>
          </a:effectLst>
        </c:spPr>
      </c:pivotFmt>
      <c:pivotFmt>
        <c:idx val="955"/>
        <c:spPr>
          <a:solidFill>
            <a:schemeClr val="accent1"/>
          </a:solidFill>
          <a:ln>
            <a:noFill/>
          </a:ln>
          <a:effectLst>
            <a:outerShdw blurRad="254000" sx="102000" sy="102000" algn="ctr" rotWithShape="0">
              <a:prstClr val="black">
                <a:alpha val="20000"/>
              </a:prstClr>
            </a:outerShdw>
          </a:effectLst>
        </c:spPr>
      </c:pivotFmt>
      <c:pivotFmt>
        <c:idx val="956"/>
        <c:spPr>
          <a:solidFill>
            <a:schemeClr val="accent1"/>
          </a:solidFill>
          <a:ln>
            <a:noFill/>
          </a:ln>
          <a:effectLst>
            <a:outerShdw blurRad="254000" sx="102000" sy="102000" algn="ctr" rotWithShape="0">
              <a:prstClr val="black">
                <a:alpha val="20000"/>
              </a:prstClr>
            </a:outerShdw>
          </a:effectLst>
        </c:spPr>
      </c:pivotFmt>
      <c:pivotFmt>
        <c:idx val="957"/>
        <c:spPr>
          <a:solidFill>
            <a:schemeClr val="accent1"/>
          </a:solidFill>
          <a:ln>
            <a:noFill/>
          </a:ln>
          <a:effectLst>
            <a:outerShdw blurRad="254000" sx="102000" sy="102000" algn="ctr" rotWithShape="0">
              <a:prstClr val="black">
                <a:alpha val="20000"/>
              </a:prstClr>
            </a:outerShdw>
          </a:effectLst>
        </c:spPr>
      </c:pivotFmt>
      <c:pivotFmt>
        <c:idx val="958"/>
        <c:spPr>
          <a:solidFill>
            <a:schemeClr val="accent1"/>
          </a:solidFill>
          <a:ln>
            <a:noFill/>
          </a:ln>
          <a:effectLst>
            <a:outerShdw blurRad="254000" sx="102000" sy="102000" algn="ctr" rotWithShape="0">
              <a:prstClr val="black">
                <a:alpha val="20000"/>
              </a:prstClr>
            </a:outerShdw>
          </a:effectLst>
        </c:spPr>
      </c:pivotFmt>
      <c:pivotFmt>
        <c:idx val="959"/>
        <c:spPr>
          <a:solidFill>
            <a:schemeClr val="accent1"/>
          </a:solidFill>
          <a:ln>
            <a:noFill/>
          </a:ln>
          <a:effectLst>
            <a:outerShdw blurRad="254000" sx="102000" sy="102000" algn="ctr" rotWithShape="0">
              <a:prstClr val="black">
                <a:alpha val="20000"/>
              </a:prstClr>
            </a:outerShdw>
          </a:effectLst>
        </c:spPr>
      </c:pivotFmt>
      <c:pivotFmt>
        <c:idx val="960"/>
        <c:spPr>
          <a:solidFill>
            <a:schemeClr val="accent1"/>
          </a:solidFill>
          <a:ln>
            <a:noFill/>
          </a:ln>
          <a:effectLst>
            <a:outerShdw blurRad="254000" sx="102000" sy="102000" algn="ctr" rotWithShape="0">
              <a:prstClr val="black">
                <a:alpha val="20000"/>
              </a:prstClr>
            </a:outerShdw>
          </a:effectLst>
        </c:spPr>
      </c:pivotFmt>
      <c:pivotFmt>
        <c:idx val="961"/>
        <c:spPr>
          <a:solidFill>
            <a:schemeClr val="accent1"/>
          </a:solidFill>
          <a:ln>
            <a:noFill/>
          </a:ln>
          <a:effectLst>
            <a:outerShdw blurRad="254000" sx="102000" sy="102000" algn="ctr" rotWithShape="0">
              <a:prstClr val="black">
                <a:alpha val="20000"/>
              </a:prstClr>
            </a:outerShdw>
          </a:effectLst>
        </c:spPr>
      </c:pivotFmt>
      <c:pivotFmt>
        <c:idx val="962"/>
        <c:spPr>
          <a:solidFill>
            <a:schemeClr val="accent1"/>
          </a:solidFill>
          <a:ln>
            <a:noFill/>
          </a:ln>
          <a:effectLst>
            <a:outerShdw blurRad="254000" sx="102000" sy="102000" algn="ctr" rotWithShape="0">
              <a:prstClr val="black">
                <a:alpha val="20000"/>
              </a:prstClr>
            </a:outerShdw>
          </a:effectLst>
        </c:spPr>
      </c:pivotFmt>
      <c:pivotFmt>
        <c:idx val="963"/>
        <c:spPr>
          <a:solidFill>
            <a:schemeClr val="accent1"/>
          </a:solidFill>
          <a:ln>
            <a:noFill/>
          </a:ln>
          <a:effectLst>
            <a:outerShdw blurRad="254000" sx="102000" sy="102000" algn="ctr" rotWithShape="0">
              <a:prstClr val="black">
                <a:alpha val="20000"/>
              </a:prstClr>
            </a:outerShdw>
          </a:effectLst>
        </c:spPr>
      </c:pivotFmt>
      <c:pivotFmt>
        <c:idx val="964"/>
        <c:spPr>
          <a:solidFill>
            <a:schemeClr val="accent1"/>
          </a:solidFill>
          <a:ln>
            <a:noFill/>
          </a:ln>
          <a:effectLst>
            <a:outerShdw blurRad="254000" sx="102000" sy="102000" algn="ctr" rotWithShape="0">
              <a:prstClr val="black">
                <a:alpha val="20000"/>
              </a:prstClr>
            </a:outerShdw>
          </a:effectLst>
        </c:spPr>
      </c:pivotFmt>
      <c:pivotFmt>
        <c:idx val="965"/>
        <c:spPr>
          <a:solidFill>
            <a:schemeClr val="accent1"/>
          </a:solidFill>
          <a:ln>
            <a:noFill/>
          </a:ln>
          <a:effectLst>
            <a:outerShdw blurRad="254000" sx="102000" sy="102000" algn="ctr" rotWithShape="0">
              <a:prstClr val="black">
                <a:alpha val="20000"/>
              </a:prstClr>
            </a:outerShdw>
          </a:effectLst>
        </c:spPr>
      </c:pivotFmt>
      <c:pivotFmt>
        <c:idx val="966"/>
        <c:spPr>
          <a:solidFill>
            <a:schemeClr val="accent1"/>
          </a:solidFill>
          <a:ln>
            <a:noFill/>
          </a:ln>
          <a:effectLst>
            <a:outerShdw blurRad="254000" sx="102000" sy="102000" algn="ctr" rotWithShape="0">
              <a:prstClr val="black">
                <a:alpha val="20000"/>
              </a:prstClr>
            </a:outerShdw>
          </a:effectLst>
        </c:spPr>
      </c:pivotFmt>
      <c:pivotFmt>
        <c:idx val="967"/>
        <c:spPr>
          <a:solidFill>
            <a:schemeClr val="accent1"/>
          </a:solidFill>
          <a:ln>
            <a:noFill/>
          </a:ln>
          <a:effectLst>
            <a:outerShdw blurRad="254000" sx="102000" sy="102000" algn="ctr" rotWithShape="0">
              <a:prstClr val="black">
                <a:alpha val="20000"/>
              </a:prstClr>
            </a:outerShdw>
          </a:effectLst>
        </c:spPr>
      </c:pivotFmt>
      <c:pivotFmt>
        <c:idx val="968"/>
        <c:spPr>
          <a:solidFill>
            <a:schemeClr val="accent1"/>
          </a:solidFill>
          <a:ln>
            <a:noFill/>
          </a:ln>
          <a:effectLst>
            <a:outerShdw blurRad="254000" sx="102000" sy="102000" algn="ctr" rotWithShape="0">
              <a:prstClr val="black">
                <a:alpha val="20000"/>
              </a:prstClr>
            </a:outerShdw>
          </a:effectLst>
        </c:spPr>
      </c:pivotFmt>
      <c:pivotFmt>
        <c:idx val="969"/>
        <c:spPr>
          <a:solidFill>
            <a:schemeClr val="accent1"/>
          </a:solidFill>
          <a:ln>
            <a:noFill/>
          </a:ln>
          <a:effectLst>
            <a:outerShdw blurRad="254000" sx="102000" sy="102000" algn="ctr" rotWithShape="0">
              <a:prstClr val="black">
                <a:alpha val="20000"/>
              </a:prstClr>
            </a:outerShdw>
          </a:effectLst>
        </c:spPr>
      </c:pivotFmt>
      <c:pivotFmt>
        <c:idx val="970"/>
        <c:spPr>
          <a:solidFill>
            <a:schemeClr val="accent1"/>
          </a:solidFill>
          <a:ln>
            <a:noFill/>
          </a:ln>
          <a:effectLst>
            <a:outerShdw blurRad="254000" sx="102000" sy="102000" algn="ctr" rotWithShape="0">
              <a:prstClr val="black">
                <a:alpha val="20000"/>
              </a:prstClr>
            </a:outerShdw>
          </a:effectLst>
        </c:spPr>
      </c:pivotFmt>
      <c:pivotFmt>
        <c:idx val="971"/>
        <c:spPr>
          <a:solidFill>
            <a:schemeClr val="accent1"/>
          </a:solidFill>
          <a:ln>
            <a:noFill/>
          </a:ln>
          <a:effectLst>
            <a:outerShdw blurRad="254000" sx="102000" sy="102000" algn="ctr" rotWithShape="0">
              <a:prstClr val="black">
                <a:alpha val="20000"/>
              </a:prstClr>
            </a:outerShdw>
          </a:effectLst>
        </c:spPr>
      </c:pivotFmt>
      <c:pivotFmt>
        <c:idx val="972"/>
        <c:spPr>
          <a:solidFill>
            <a:schemeClr val="accent1"/>
          </a:solidFill>
          <a:ln>
            <a:noFill/>
          </a:ln>
          <a:effectLst>
            <a:outerShdw blurRad="254000" sx="102000" sy="102000" algn="ctr" rotWithShape="0">
              <a:prstClr val="black">
                <a:alpha val="20000"/>
              </a:prstClr>
            </a:outerShdw>
          </a:effectLst>
        </c:spPr>
      </c:pivotFmt>
      <c:pivotFmt>
        <c:idx val="973"/>
        <c:spPr>
          <a:solidFill>
            <a:schemeClr val="accent1"/>
          </a:solidFill>
          <a:ln>
            <a:noFill/>
          </a:ln>
          <a:effectLst>
            <a:outerShdw blurRad="254000" sx="102000" sy="102000" algn="ctr" rotWithShape="0">
              <a:prstClr val="black">
                <a:alpha val="20000"/>
              </a:prstClr>
            </a:outerShdw>
          </a:effectLst>
        </c:spPr>
      </c:pivotFmt>
      <c:pivotFmt>
        <c:idx val="974"/>
        <c:spPr>
          <a:solidFill>
            <a:schemeClr val="accent1"/>
          </a:solidFill>
          <a:ln>
            <a:noFill/>
          </a:ln>
          <a:effectLst>
            <a:outerShdw blurRad="254000" sx="102000" sy="102000" algn="ctr" rotWithShape="0">
              <a:prstClr val="black">
                <a:alpha val="20000"/>
              </a:prstClr>
            </a:outerShdw>
          </a:effectLst>
        </c:spPr>
      </c:pivotFmt>
      <c:pivotFmt>
        <c:idx val="975"/>
        <c:spPr>
          <a:solidFill>
            <a:schemeClr val="accent1"/>
          </a:solidFill>
          <a:ln>
            <a:noFill/>
          </a:ln>
          <a:effectLst>
            <a:outerShdw blurRad="254000" sx="102000" sy="102000" algn="ctr" rotWithShape="0">
              <a:prstClr val="black">
                <a:alpha val="20000"/>
              </a:prstClr>
            </a:outerShdw>
          </a:effectLst>
        </c:spPr>
      </c:pivotFmt>
      <c:pivotFmt>
        <c:idx val="976"/>
        <c:spPr>
          <a:solidFill>
            <a:schemeClr val="accent1"/>
          </a:solidFill>
          <a:ln>
            <a:noFill/>
          </a:ln>
          <a:effectLst>
            <a:outerShdw blurRad="254000" sx="102000" sy="102000" algn="ctr" rotWithShape="0">
              <a:prstClr val="black">
                <a:alpha val="20000"/>
              </a:prstClr>
            </a:outerShdw>
          </a:effectLst>
        </c:spPr>
      </c:pivotFmt>
      <c:pivotFmt>
        <c:idx val="977"/>
        <c:spPr>
          <a:solidFill>
            <a:schemeClr val="accent1"/>
          </a:solidFill>
          <a:ln>
            <a:noFill/>
          </a:ln>
          <a:effectLst>
            <a:outerShdw blurRad="254000" sx="102000" sy="102000" algn="ctr" rotWithShape="0">
              <a:prstClr val="black">
                <a:alpha val="20000"/>
              </a:prstClr>
            </a:outerShdw>
          </a:effectLst>
        </c:spPr>
      </c:pivotFmt>
      <c:pivotFmt>
        <c:idx val="978"/>
        <c:spPr>
          <a:solidFill>
            <a:schemeClr val="accent1"/>
          </a:solidFill>
          <a:ln>
            <a:noFill/>
          </a:ln>
          <a:effectLst>
            <a:outerShdw blurRad="254000" sx="102000" sy="102000" algn="ctr" rotWithShape="0">
              <a:prstClr val="black">
                <a:alpha val="20000"/>
              </a:prstClr>
            </a:outerShdw>
          </a:effectLst>
        </c:spPr>
      </c:pivotFmt>
      <c:pivotFmt>
        <c:idx val="979"/>
        <c:spPr>
          <a:solidFill>
            <a:schemeClr val="accent1"/>
          </a:solidFill>
          <a:ln>
            <a:noFill/>
          </a:ln>
          <a:effectLst>
            <a:outerShdw blurRad="254000" sx="102000" sy="102000" algn="ctr" rotWithShape="0">
              <a:prstClr val="black">
                <a:alpha val="20000"/>
              </a:prstClr>
            </a:outerShdw>
          </a:effectLst>
        </c:spPr>
      </c:pivotFmt>
      <c:pivotFmt>
        <c:idx val="980"/>
        <c:spPr>
          <a:solidFill>
            <a:schemeClr val="accent1"/>
          </a:solidFill>
          <a:ln>
            <a:noFill/>
          </a:ln>
          <a:effectLst>
            <a:outerShdw blurRad="254000" sx="102000" sy="102000" algn="ctr" rotWithShape="0">
              <a:prstClr val="black">
                <a:alpha val="20000"/>
              </a:prstClr>
            </a:outerShdw>
          </a:effectLst>
        </c:spPr>
      </c:pivotFmt>
      <c:pivotFmt>
        <c:idx val="981"/>
        <c:spPr>
          <a:solidFill>
            <a:schemeClr val="accent1"/>
          </a:solidFill>
          <a:ln>
            <a:noFill/>
          </a:ln>
          <a:effectLst>
            <a:outerShdw blurRad="254000" sx="102000" sy="102000" algn="ctr" rotWithShape="0">
              <a:prstClr val="black">
                <a:alpha val="20000"/>
              </a:prstClr>
            </a:outerShdw>
          </a:effectLst>
        </c:spPr>
      </c:pivotFmt>
      <c:pivotFmt>
        <c:idx val="982"/>
        <c:spPr>
          <a:solidFill>
            <a:schemeClr val="accent1"/>
          </a:solidFill>
          <a:ln>
            <a:noFill/>
          </a:ln>
          <a:effectLst>
            <a:outerShdw blurRad="254000" sx="102000" sy="102000" algn="ctr" rotWithShape="0">
              <a:prstClr val="black">
                <a:alpha val="20000"/>
              </a:prstClr>
            </a:outerShdw>
          </a:effectLst>
        </c:spPr>
      </c:pivotFmt>
      <c:pivotFmt>
        <c:idx val="983"/>
        <c:spPr>
          <a:solidFill>
            <a:schemeClr val="accent1"/>
          </a:solidFill>
          <a:ln>
            <a:noFill/>
          </a:ln>
          <a:effectLst>
            <a:outerShdw blurRad="254000" sx="102000" sy="102000" algn="ctr" rotWithShape="0">
              <a:prstClr val="black">
                <a:alpha val="20000"/>
              </a:prstClr>
            </a:outerShdw>
          </a:effectLst>
        </c:spPr>
      </c:pivotFmt>
      <c:pivotFmt>
        <c:idx val="984"/>
        <c:spPr>
          <a:solidFill>
            <a:schemeClr val="accent1"/>
          </a:solidFill>
          <a:ln>
            <a:noFill/>
          </a:ln>
          <a:effectLst>
            <a:outerShdw blurRad="254000" sx="102000" sy="102000" algn="ctr" rotWithShape="0">
              <a:prstClr val="black">
                <a:alpha val="20000"/>
              </a:prstClr>
            </a:outerShdw>
          </a:effectLst>
        </c:spPr>
      </c:pivotFmt>
      <c:pivotFmt>
        <c:idx val="985"/>
        <c:spPr>
          <a:solidFill>
            <a:schemeClr val="accent1"/>
          </a:solidFill>
          <a:ln>
            <a:noFill/>
          </a:ln>
          <a:effectLst>
            <a:outerShdw blurRad="254000" sx="102000" sy="102000" algn="ctr" rotWithShape="0">
              <a:prstClr val="black">
                <a:alpha val="20000"/>
              </a:prstClr>
            </a:outerShdw>
          </a:effectLst>
        </c:spPr>
      </c:pivotFmt>
      <c:pivotFmt>
        <c:idx val="986"/>
        <c:spPr>
          <a:solidFill>
            <a:schemeClr val="accent1"/>
          </a:solidFill>
          <a:ln>
            <a:noFill/>
          </a:ln>
          <a:effectLst>
            <a:outerShdw blurRad="254000" sx="102000" sy="102000" algn="ctr" rotWithShape="0">
              <a:prstClr val="black">
                <a:alpha val="20000"/>
              </a:prstClr>
            </a:outerShdw>
          </a:effectLst>
        </c:spPr>
      </c:pivotFmt>
      <c:pivotFmt>
        <c:idx val="987"/>
        <c:spPr>
          <a:solidFill>
            <a:schemeClr val="accent1"/>
          </a:solidFill>
          <a:ln>
            <a:noFill/>
          </a:ln>
          <a:effectLst>
            <a:outerShdw blurRad="254000" sx="102000" sy="102000" algn="ctr" rotWithShape="0">
              <a:prstClr val="black">
                <a:alpha val="20000"/>
              </a:prstClr>
            </a:outerShdw>
          </a:effectLst>
        </c:spPr>
      </c:pivotFmt>
      <c:pivotFmt>
        <c:idx val="988"/>
        <c:spPr>
          <a:solidFill>
            <a:schemeClr val="accent1"/>
          </a:solidFill>
          <a:ln>
            <a:noFill/>
          </a:ln>
          <a:effectLst>
            <a:outerShdw blurRad="254000" sx="102000" sy="102000" algn="ctr" rotWithShape="0">
              <a:prstClr val="black">
                <a:alpha val="20000"/>
              </a:prstClr>
            </a:outerShdw>
          </a:effectLst>
        </c:spPr>
      </c:pivotFmt>
      <c:pivotFmt>
        <c:idx val="989"/>
        <c:spPr>
          <a:solidFill>
            <a:schemeClr val="accent1"/>
          </a:solidFill>
          <a:ln>
            <a:noFill/>
          </a:ln>
          <a:effectLst>
            <a:outerShdw blurRad="254000" sx="102000" sy="102000" algn="ctr" rotWithShape="0">
              <a:prstClr val="black">
                <a:alpha val="20000"/>
              </a:prstClr>
            </a:outerShdw>
          </a:effectLst>
        </c:spPr>
      </c:pivotFmt>
      <c:pivotFmt>
        <c:idx val="990"/>
        <c:spPr>
          <a:solidFill>
            <a:schemeClr val="accent1"/>
          </a:solidFill>
          <a:ln>
            <a:noFill/>
          </a:ln>
          <a:effectLst>
            <a:outerShdw blurRad="254000" sx="102000" sy="102000" algn="ctr" rotWithShape="0">
              <a:prstClr val="black">
                <a:alpha val="20000"/>
              </a:prstClr>
            </a:outerShdw>
          </a:effectLst>
        </c:spPr>
      </c:pivotFmt>
      <c:pivotFmt>
        <c:idx val="991"/>
        <c:spPr>
          <a:solidFill>
            <a:schemeClr val="accent1"/>
          </a:solidFill>
          <a:ln>
            <a:noFill/>
          </a:ln>
          <a:effectLst>
            <a:outerShdw blurRad="254000" sx="102000" sy="102000" algn="ctr" rotWithShape="0">
              <a:prstClr val="black">
                <a:alpha val="20000"/>
              </a:prstClr>
            </a:outerShdw>
          </a:effectLst>
        </c:spPr>
      </c:pivotFmt>
      <c:pivotFmt>
        <c:idx val="992"/>
        <c:spPr>
          <a:solidFill>
            <a:schemeClr val="accent1"/>
          </a:solidFill>
          <a:ln>
            <a:noFill/>
          </a:ln>
          <a:effectLst>
            <a:outerShdw blurRad="254000" sx="102000" sy="102000" algn="ctr" rotWithShape="0">
              <a:prstClr val="black">
                <a:alpha val="20000"/>
              </a:prstClr>
            </a:outerShdw>
          </a:effectLst>
        </c:spPr>
      </c:pivotFmt>
      <c:pivotFmt>
        <c:idx val="993"/>
        <c:spPr>
          <a:solidFill>
            <a:schemeClr val="accent1"/>
          </a:solidFill>
          <a:ln>
            <a:noFill/>
          </a:ln>
          <a:effectLst>
            <a:outerShdw blurRad="254000" sx="102000" sy="102000" algn="ctr" rotWithShape="0">
              <a:prstClr val="black">
                <a:alpha val="20000"/>
              </a:prstClr>
            </a:outerShdw>
          </a:effectLst>
        </c:spPr>
      </c:pivotFmt>
      <c:pivotFmt>
        <c:idx val="994"/>
        <c:spPr>
          <a:solidFill>
            <a:schemeClr val="accent1"/>
          </a:solidFill>
          <a:ln>
            <a:noFill/>
          </a:ln>
          <a:effectLst>
            <a:outerShdw blurRad="254000" sx="102000" sy="102000" algn="ctr" rotWithShape="0">
              <a:prstClr val="black">
                <a:alpha val="20000"/>
              </a:prstClr>
            </a:outerShdw>
          </a:effectLst>
        </c:spPr>
      </c:pivotFmt>
      <c:pivotFmt>
        <c:idx val="995"/>
        <c:spPr>
          <a:solidFill>
            <a:schemeClr val="accent1"/>
          </a:solidFill>
          <a:ln>
            <a:noFill/>
          </a:ln>
          <a:effectLst>
            <a:outerShdw blurRad="254000" sx="102000" sy="102000" algn="ctr" rotWithShape="0">
              <a:prstClr val="black">
                <a:alpha val="20000"/>
              </a:prstClr>
            </a:outerShdw>
          </a:effectLst>
        </c:spPr>
      </c:pivotFmt>
      <c:pivotFmt>
        <c:idx val="996"/>
        <c:spPr>
          <a:solidFill>
            <a:schemeClr val="accent1"/>
          </a:solidFill>
          <a:ln>
            <a:noFill/>
          </a:ln>
          <a:effectLst>
            <a:outerShdw blurRad="254000" sx="102000" sy="102000" algn="ctr" rotWithShape="0">
              <a:prstClr val="black">
                <a:alpha val="20000"/>
              </a:prstClr>
            </a:outerShdw>
          </a:effectLst>
        </c:spPr>
      </c:pivotFmt>
      <c:pivotFmt>
        <c:idx val="997"/>
        <c:spPr>
          <a:solidFill>
            <a:schemeClr val="accent1"/>
          </a:solidFill>
          <a:ln>
            <a:noFill/>
          </a:ln>
          <a:effectLst>
            <a:outerShdw blurRad="254000" sx="102000" sy="102000" algn="ctr" rotWithShape="0">
              <a:prstClr val="black">
                <a:alpha val="20000"/>
              </a:prstClr>
            </a:outerShdw>
          </a:effectLst>
        </c:spPr>
      </c:pivotFmt>
      <c:pivotFmt>
        <c:idx val="998"/>
        <c:spPr>
          <a:solidFill>
            <a:schemeClr val="accent1"/>
          </a:solidFill>
          <a:ln>
            <a:noFill/>
          </a:ln>
          <a:effectLst>
            <a:outerShdw blurRad="254000" sx="102000" sy="102000" algn="ctr" rotWithShape="0">
              <a:prstClr val="black">
                <a:alpha val="20000"/>
              </a:prstClr>
            </a:outerShdw>
          </a:effectLst>
        </c:spPr>
      </c:pivotFmt>
      <c:pivotFmt>
        <c:idx val="999"/>
        <c:spPr>
          <a:solidFill>
            <a:schemeClr val="accent1"/>
          </a:solidFill>
          <a:ln>
            <a:noFill/>
          </a:ln>
          <a:effectLst>
            <a:outerShdw blurRad="254000" sx="102000" sy="102000" algn="ctr" rotWithShape="0">
              <a:prstClr val="black">
                <a:alpha val="20000"/>
              </a:prstClr>
            </a:outerShdw>
          </a:effectLst>
        </c:spPr>
      </c:pivotFmt>
      <c:pivotFmt>
        <c:idx val="1000"/>
        <c:spPr>
          <a:solidFill>
            <a:schemeClr val="accent1"/>
          </a:solidFill>
          <a:ln>
            <a:noFill/>
          </a:ln>
          <a:effectLst>
            <a:outerShdw blurRad="254000" sx="102000" sy="102000" algn="ctr" rotWithShape="0">
              <a:prstClr val="black">
                <a:alpha val="20000"/>
              </a:prstClr>
            </a:outerShdw>
          </a:effectLst>
        </c:spPr>
      </c:pivotFmt>
      <c:pivotFmt>
        <c:idx val="1001"/>
        <c:spPr>
          <a:solidFill>
            <a:schemeClr val="accent1"/>
          </a:solidFill>
          <a:ln>
            <a:noFill/>
          </a:ln>
          <a:effectLst>
            <a:outerShdw blurRad="254000" sx="102000" sy="102000" algn="ctr" rotWithShape="0">
              <a:prstClr val="black">
                <a:alpha val="20000"/>
              </a:prstClr>
            </a:outerShdw>
          </a:effectLst>
        </c:spPr>
      </c:pivotFmt>
      <c:pivotFmt>
        <c:idx val="1002"/>
        <c:spPr>
          <a:solidFill>
            <a:schemeClr val="accent1"/>
          </a:solidFill>
          <a:ln>
            <a:noFill/>
          </a:ln>
          <a:effectLst>
            <a:outerShdw blurRad="254000" sx="102000" sy="102000" algn="ctr" rotWithShape="0">
              <a:prstClr val="black">
                <a:alpha val="20000"/>
              </a:prstClr>
            </a:outerShdw>
          </a:effectLst>
        </c:spPr>
      </c:pivotFmt>
      <c:pivotFmt>
        <c:idx val="1003"/>
        <c:spPr>
          <a:solidFill>
            <a:schemeClr val="accent1"/>
          </a:solidFill>
          <a:ln>
            <a:noFill/>
          </a:ln>
          <a:effectLst>
            <a:outerShdw blurRad="254000" sx="102000" sy="102000" algn="ctr" rotWithShape="0">
              <a:prstClr val="black">
                <a:alpha val="20000"/>
              </a:prstClr>
            </a:outerShdw>
          </a:effectLst>
        </c:spPr>
      </c:pivotFmt>
      <c:pivotFmt>
        <c:idx val="1004"/>
        <c:spPr>
          <a:solidFill>
            <a:schemeClr val="accent1"/>
          </a:solidFill>
          <a:ln>
            <a:noFill/>
          </a:ln>
          <a:effectLst>
            <a:outerShdw blurRad="254000" sx="102000" sy="102000" algn="ctr" rotWithShape="0">
              <a:prstClr val="black">
                <a:alpha val="20000"/>
              </a:prstClr>
            </a:outerShdw>
          </a:effectLst>
        </c:spPr>
      </c:pivotFmt>
      <c:pivotFmt>
        <c:idx val="1005"/>
        <c:spPr>
          <a:solidFill>
            <a:schemeClr val="accent1"/>
          </a:solidFill>
          <a:ln>
            <a:noFill/>
          </a:ln>
          <a:effectLst>
            <a:outerShdw blurRad="254000" sx="102000" sy="102000" algn="ctr" rotWithShape="0">
              <a:prstClr val="black">
                <a:alpha val="20000"/>
              </a:prstClr>
            </a:outerShdw>
          </a:effectLst>
        </c:spPr>
      </c:pivotFmt>
      <c:pivotFmt>
        <c:idx val="1006"/>
        <c:spPr>
          <a:solidFill>
            <a:schemeClr val="accent1"/>
          </a:solidFill>
          <a:ln>
            <a:noFill/>
          </a:ln>
          <a:effectLst>
            <a:outerShdw blurRad="254000" sx="102000" sy="102000" algn="ctr" rotWithShape="0">
              <a:prstClr val="black">
                <a:alpha val="20000"/>
              </a:prstClr>
            </a:outerShdw>
          </a:effectLst>
        </c:spPr>
      </c:pivotFmt>
      <c:pivotFmt>
        <c:idx val="1007"/>
        <c:spPr>
          <a:solidFill>
            <a:schemeClr val="accent1"/>
          </a:solidFill>
          <a:ln>
            <a:noFill/>
          </a:ln>
          <a:effectLst>
            <a:outerShdw blurRad="254000" sx="102000" sy="102000" algn="ctr" rotWithShape="0">
              <a:prstClr val="black">
                <a:alpha val="20000"/>
              </a:prstClr>
            </a:outerShdw>
          </a:effectLst>
        </c:spPr>
      </c:pivotFmt>
      <c:pivotFmt>
        <c:idx val="1008"/>
        <c:spPr>
          <a:solidFill>
            <a:schemeClr val="accent1"/>
          </a:solidFill>
          <a:ln>
            <a:noFill/>
          </a:ln>
          <a:effectLst>
            <a:outerShdw blurRad="254000" sx="102000" sy="102000" algn="ctr" rotWithShape="0">
              <a:prstClr val="black">
                <a:alpha val="20000"/>
              </a:prstClr>
            </a:outerShdw>
          </a:effectLst>
        </c:spPr>
      </c:pivotFmt>
      <c:pivotFmt>
        <c:idx val="1009"/>
        <c:spPr>
          <a:solidFill>
            <a:schemeClr val="accent1"/>
          </a:solidFill>
          <a:ln>
            <a:noFill/>
          </a:ln>
          <a:effectLst>
            <a:outerShdw blurRad="254000" sx="102000" sy="102000" algn="ctr" rotWithShape="0">
              <a:prstClr val="black">
                <a:alpha val="20000"/>
              </a:prstClr>
            </a:outerShdw>
          </a:effectLst>
        </c:spPr>
      </c:pivotFmt>
      <c:pivotFmt>
        <c:idx val="1010"/>
        <c:spPr>
          <a:solidFill>
            <a:schemeClr val="accent1"/>
          </a:solidFill>
          <a:ln>
            <a:noFill/>
          </a:ln>
          <a:effectLst>
            <a:outerShdw blurRad="254000" sx="102000" sy="102000" algn="ctr" rotWithShape="0">
              <a:prstClr val="black">
                <a:alpha val="20000"/>
              </a:prstClr>
            </a:outerShdw>
          </a:effectLst>
        </c:spPr>
      </c:pivotFmt>
      <c:pivotFmt>
        <c:idx val="1011"/>
        <c:spPr>
          <a:solidFill>
            <a:schemeClr val="accent1"/>
          </a:solidFill>
          <a:ln>
            <a:noFill/>
          </a:ln>
          <a:effectLst>
            <a:outerShdw blurRad="254000" sx="102000" sy="102000" algn="ctr" rotWithShape="0">
              <a:prstClr val="black">
                <a:alpha val="20000"/>
              </a:prstClr>
            </a:outerShdw>
          </a:effectLst>
        </c:spPr>
      </c:pivotFmt>
      <c:pivotFmt>
        <c:idx val="1012"/>
        <c:spPr>
          <a:solidFill>
            <a:schemeClr val="accent1"/>
          </a:solidFill>
          <a:ln>
            <a:noFill/>
          </a:ln>
          <a:effectLst>
            <a:outerShdw blurRad="254000" sx="102000" sy="102000" algn="ctr" rotWithShape="0">
              <a:prstClr val="black">
                <a:alpha val="20000"/>
              </a:prstClr>
            </a:outerShdw>
          </a:effectLst>
        </c:spPr>
      </c:pivotFmt>
      <c:pivotFmt>
        <c:idx val="1013"/>
        <c:spPr>
          <a:solidFill>
            <a:schemeClr val="accent1"/>
          </a:solidFill>
          <a:ln>
            <a:noFill/>
          </a:ln>
          <a:effectLst>
            <a:outerShdw blurRad="254000" sx="102000" sy="102000" algn="ctr" rotWithShape="0">
              <a:prstClr val="black">
                <a:alpha val="20000"/>
              </a:prstClr>
            </a:outerShdw>
          </a:effectLst>
        </c:spPr>
      </c:pivotFmt>
      <c:pivotFmt>
        <c:idx val="1014"/>
        <c:spPr>
          <a:solidFill>
            <a:schemeClr val="accent1"/>
          </a:solidFill>
          <a:ln>
            <a:noFill/>
          </a:ln>
          <a:effectLst>
            <a:outerShdw blurRad="254000" sx="102000" sy="102000" algn="ctr" rotWithShape="0">
              <a:prstClr val="black">
                <a:alpha val="20000"/>
              </a:prstClr>
            </a:outerShdw>
          </a:effectLst>
        </c:spPr>
      </c:pivotFmt>
      <c:pivotFmt>
        <c:idx val="1015"/>
        <c:spPr>
          <a:solidFill>
            <a:schemeClr val="accent1"/>
          </a:solidFill>
          <a:ln>
            <a:noFill/>
          </a:ln>
          <a:effectLst>
            <a:outerShdw blurRad="254000" sx="102000" sy="102000" algn="ctr" rotWithShape="0">
              <a:prstClr val="black">
                <a:alpha val="20000"/>
              </a:prstClr>
            </a:outerShdw>
          </a:effectLst>
        </c:spPr>
      </c:pivotFmt>
      <c:pivotFmt>
        <c:idx val="1016"/>
        <c:spPr>
          <a:solidFill>
            <a:schemeClr val="accent1"/>
          </a:solidFill>
          <a:ln>
            <a:noFill/>
          </a:ln>
          <a:effectLst>
            <a:outerShdw blurRad="254000" sx="102000" sy="102000" algn="ctr" rotWithShape="0">
              <a:prstClr val="black">
                <a:alpha val="20000"/>
              </a:prstClr>
            </a:outerShdw>
          </a:effectLst>
        </c:spPr>
      </c:pivotFmt>
      <c:pivotFmt>
        <c:idx val="1017"/>
        <c:spPr>
          <a:solidFill>
            <a:schemeClr val="accent1"/>
          </a:solidFill>
          <a:ln>
            <a:noFill/>
          </a:ln>
          <a:effectLst>
            <a:outerShdw blurRad="254000" sx="102000" sy="102000" algn="ctr" rotWithShape="0">
              <a:prstClr val="black">
                <a:alpha val="20000"/>
              </a:prstClr>
            </a:outerShdw>
          </a:effectLst>
        </c:spPr>
      </c:pivotFmt>
      <c:pivotFmt>
        <c:idx val="1018"/>
        <c:spPr>
          <a:solidFill>
            <a:schemeClr val="accent1"/>
          </a:solidFill>
          <a:ln>
            <a:noFill/>
          </a:ln>
          <a:effectLst>
            <a:outerShdw blurRad="254000" sx="102000" sy="102000" algn="ctr" rotWithShape="0">
              <a:prstClr val="black">
                <a:alpha val="20000"/>
              </a:prstClr>
            </a:outerShdw>
          </a:effectLst>
        </c:spPr>
      </c:pivotFmt>
      <c:pivotFmt>
        <c:idx val="1019"/>
        <c:spPr>
          <a:solidFill>
            <a:schemeClr val="accent1"/>
          </a:solidFill>
          <a:ln>
            <a:noFill/>
          </a:ln>
          <a:effectLst>
            <a:outerShdw blurRad="254000" sx="102000" sy="102000" algn="ctr" rotWithShape="0">
              <a:prstClr val="black">
                <a:alpha val="20000"/>
              </a:prstClr>
            </a:outerShdw>
          </a:effectLst>
        </c:spPr>
      </c:pivotFmt>
      <c:pivotFmt>
        <c:idx val="1020"/>
        <c:spPr>
          <a:solidFill>
            <a:schemeClr val="accent1"/>
          </a:solidFill>
          <a:ln>
            <a:noFill/>
          </a:ln>
          <a:effectLst>
            <a:outerShdw blurRad="254000" sx="102000" sy="102000" algn="ctr" rotWithShape="0">
              <a:prstClr val="black">
                <a:alpha val="20000"/>
              </a:prstClr>
            </a:outerShdw>
          </a:effectLst>
        </c:spPr>
      </c:pivotFmt>
      <c:pivotFmt>
        <c:idx val="1021"/>
        <c:spPr>
          <a:solidFill>
            <a:schemeClr val="accent1"/>
          </a:solidFill>
          <a:ln>
            <a:noFill/>
          </a:ln>
          <a:effectLst>
            <a:outerShdw blurRad="254000" sx="102000" sy="102000" algn="ctr" rotWithShape="0">
              <a:prstClr val="black">
                <a:alpha val="20000"/>
              </a:prstClr>
            </a:outerShdw>
          </a:effectLst>
        </c:spPr>
      </c:pivotFmt>
      <c:pivotFmt>
        <c:idx val="1022"/>
        <c:spPr>
          <a:solidFill>
            <a:schemeClr val="accent1"/>
          </a:solidFill>
          <a:ln>
            <a:noFill/>
          </a:ln>
          <a:effectLst>
            <a:outerShdw blurRad="254000" sx="102000" sy="102000" algn="ctr" rotWithShape="0">
              <a:prstClr val="black">
                <a:alpha val="20000"/>
              </a:prstClr>
            </a:outerShdw>
          </a:effectLst>
        </c:spPr>
      </c:pivotFmt>
      <c:pivotFmt>
        <c:idx val="1023"/>
        <c:spPr>
          <a:solidFill>
            <a:schemeClr val="accent1"/>
          </a:solidFill>
          <a:ln>
            <a:noFill/>
          </a:ln>
          <a:effectLst>
            <a:outerShdw blurRad="254000" sx="102000" sy="102000" algn="ctr" rotWithShape="0">
              <a:prstClr val="black">
                <a:alpha val="20000"/>
              </a:prstClr>
            </a:outerShdw>
          </a:effectLst>
        </c:spPr>
      </c:pivotFmt>
      <c:pivotFmt>
        <c:idx val="1024"/>
        <c:spPr>
          <a:solidFill>
            <a:schemeClr val="accent1"/>
          </a:solidFill>
          <a:ln>
            <a:noFill/>
          </a:ln>
          <a:effectLst>
            <a:outerShdw blurRad="254000" sx="102000" sy="102000" algn="ctr" rotWithShape="0">
              <a:prstClr val="black">
                <a:alpha val="20000"/>
              </a:prstClr>
            </a:outerShdw>
          </a:effectLst>
        </c:spPr>
      </c:pivotFmt>
      <c:pivotFmt>
        <c:idx val="1025"/>
        <c:spPr>
          <a:solidFill>
            <a:schemeClr val="accent1"/>
          </a:solidFill>
          <a:ln>
            <a:noFill/>
          </a:ln>
          <a:effectLst>
            <a:outerShdw blurRad="254000" sx="102000" sy="102000" algn="ctr" rotWithShape="0">
              <a:prstClr val="black">
                <a:alpha val="20000"/>
              </a:prstClr>
            </a:outerShdw>
          </a:effectLst>
        </c:spPr>
      </c:pivotFmt>
      <c:pivotFmt>
        <c:idx val="1026"/>
        <c:spPr>
          <a:solidFill>
            <a:schemeClr val="accent1"/>
          </a:solidFill>
          <a:ln>
            <a:noFill/>
          </a:ln>
          <a:effectLst>
            <a:outerShdw blurRad="254000" sx="102000" sy="102000" algn="ctr" rotWithShape="0">
              <a:prstClr val="black">
                <a:alpha val="20000"/>
              </a:prstClr>
            </a:outerShdw>
          </a:effectLst>
        </c:spPr>
      </c:pivotFmt>
      <c:pivotFmt>
        <c:idx val="1027"/>
        <c:spPr>
          <a:solidFill>
            <a:schemeClr val="accent1"/>
          </a:solidFill>
          <a:ln>
            <a:noFill/>
          </a:ln>
          <a:effectLst>
            <a:outerShdw blurRad="254000" sx="102000" sy="102000" algn="ctr" rotWithShape="0">
              <a:prstClr val="black">
                <a:alpha val="20000"/>
              </a:prstClr>
            </a:outerShdw>
          </a:effectLst>
        </c:spPr>
      </c:pivotFmt>
      <c:pivotFmt>
        <c:idx val="1028"/>
        <c:spPr>
          <a:solidFill>
            <a:schemeClr val="accent1"/>
          </a:solidFill>
          <a:ln>
            <a:noFill/>
          </a:ln>
          <a:effectLst>
            <a:outerShdw blurRad="254000" sx="102000" sy="102000" algn="ctr" rotWithShape="0">
              <a:prstClr val="black">
                <a:alpha val="20000"/>
              </a:prstClr>
            </a:outerShdw>
          </a:effectLst>
        </c:spPr>
      </c:pivotFmt>
      <c:pivotFmt>
        <c:idx val="1029"/>
        <c:spPr>
          <a:solidFill>
            <a:schemeClr val="accent1"/>
          </a:solidFill>
          <a:ln>
            <a:noFill/>
          </a:ln>
          <a:effectLst>
            <a:outerShdw blurRad="254000" sx="102000" sy="102000" algn="ctr" rotWithShape="0">
              <a:prstClr val="black">
                <a:alpha val="20000"/>
              </a:prstClr>
            </a:outerShdw>
          </a:effectLst>
        </c:spPr>
      </c:pivotFmt>
      <c:pivotFmt>
        <c:idx val="1030"/>
        <c:spPr>
          <a:solidFill>
            <a:schemeClr val="accent1"/>
          </a:solidFill>
          <a:ln>
            <a:noFill/>
          </a:ln>
          <a:effectLst>
            <a:outerShdw blurRad="254000" sx="102000" sy="102000" algn="ctr" rotWithShape="0">
              <a:prstClr val="black">
                <a:alpha val="20000"/>
              </a:prstClr>
            </a:outerShdw>
          </a:effectLst>
        </c:spPr>
      </c:pivotFmt>
      <c:pivotFmt>
        <c:idx val="1031"/>
        <c:spPr>
          <a:solidFill>
            <a:schemeClr val="accent1"/>
          </a:solidFill>
          <a:ln>
            <a:noFill/>
          </a:ln>
          <a:effectLst>
            <a:outerShdw blurRad="254000" sx="102000" sy="102000" algn="ctr" rotWithShape="0">
              <a:prstClr val="black">
                <a:alpha val="20000"/>
              </a:prstClr>
            </a:outerShdw>
          </a:effectLst>
        </c:spPr>
      </c:pivotFmt>
      <c:pivotFmt>
        <c:idx val="1032"/>
        <c:spPr>
          <a:solidFill>
            <a:schemeClr val="accent1"/>
          </a:solidFill>
          <a:ln>
            <a:noFill/>
          </a:ln>
          <a:effectLst>
            <a:outerShdw blurRad="254000" sx="102000" sy="102000" algn="ctr" rotWithShape="0">
              <a:prstClr val="black">
                <a:alpha val="20000"/>
              </a:prstClr>
            </a:outerShdw>
          </a:effectLst>
        </c:spPr>
      </c:pivotFmt>
      <c:pivotFmt>
        <c:idx val="1033"/>
        <c:spPr>
          <a:solidFill>
            <a:schemeClr val="accent1"/>
          </a:solidFill>
          <a:ln>
            <a:noFill/>
          </a:ln>
          <a:effectLst>
            <a:outerShdw blurRad="254000" sx="102000" sy="102000" algn="ctr" rotWithShape="0">
              <a:prstClr val="black">
                <a:alpha val="20000"/>
              </a:prstClr>
            </a:outerShdw>
          </a:effectLst>
        </c:spPr>
      </c:pivotFmt>
      <c:pivotFmt>
        <c:idx val="1034"/>
        <c:spPr>
          <a:solidFill>
            <a:schemeClr val="accent1"/>
          </a:solidFill>
          <a:ln>
            <a:noFill/>
          </a:ln>
          <a:effectLst>
            <a:outerShdw blurRad="254000" sx="102000" sy="102000" algn="ctr" rotWithShape="0">
              <a:prstClr val="black">
                <a:alpha val="20000"/>
              </a:prstClr>
            </a:outerShdw>
          </a:effectLst>
        </c:spPr>
      </c:pivotFmt>
      <c:pivotFmt>
        <c:idx val="1035"/>
        <c:spPr>
          <a:solidFill>
            <a:schemeClr val="accent1"/>
          </a:solidFill>
          <a:ln>
            <a:noFill/>
          </a:ln>
          <a:effectLst>
            <a:outerShdw blurRad="254000" sx="102000" sy="102000" algn="ctr" rotWithShape="0">
              <a:prstClr val="black">
                <a:alpha val="20000"/>
              </a:prstClr>
            </a:outerShdw>
          </a:effectLst>
        </c:spPr>
      </c:pivotFmt>
      <c:pivotFmt>
        <c:idx val="1036"/>
        <c:spPr>
          <a:solidFill>
            <a:schemeClr val="accent1"/>
          </a:solidFill>
          <a:ln>
            <a:noFill/>
          </a:ln>
          <a:effectLst>
            <a:outerShdw blurRad="254000" sx="102000" sy="102000" algn="ctr" rotWithShape="0">
              <a:prstClr val="black">
                <a:alpha val="20000"/>
              </a:prstClr>
            </a:outerShdw>
          </a:effectLst>
        </c:spPr>
      </c:pivotFmt>
      <c:pivotFmt>
        <c:idx val="1037"/>
        <c:spPr>
          <a:solidFill>
            <a:schemeClr val="accent1"/>
          </a:solidFill>
          <a:ln>
            <a:noFill/>
          </a:ln>
          <a:effectLst>
            <a:outerShdw blurRad="254000" sx="102000" sy="102000" algn="ctr" rotWithShape="0">
              <a:prstClr val="black">
                <a:alpha val="20000"/>
              </a:prstClr>
            </a:outerShdw>
          </a:effectLst>
        </c:spPr>
      </c:pivotFmt>
      <c:pivotFmt>
        <c:idx val="1038"/>
        <c:spPr>
          <a:solidFill>
            <a:schemeClr val="accent1"/>
          </a:solidFill>
          <a:ln>
            <a:noFill/>
          </a:ln>
          <a:effectLst>
            <a:outerShdw blurRad="254000" sx="102000" sy="102000" algn="ctr" rotWithShape="0">
              <a:prstClr val="black">
                <a:alpha val="20000"/>
              </a:prstClr>
            </a:outerShdw>
          </a:effectLst>
        </c:spPr>
      </c:pivotFmt>
      <c:pivotFmt>
        <c:idx val="1039"/>
        <c:spPr>
          <a:solidFill>
            <a:schemeClr val="accent1"/>
          </a:solidFill>
          <a:ln>
            <a:noFill/>
          </a:ln>
          <a:effectLst>
            <a:outerShdw blurRad="254000" sx="102000" sy="102000" algn="ctr" rotWithShape="0">
              <a:prstClr val="black">
                <a:alpha val="20000"/>
              </a:prstClr>
            </a:outerShdw>
          </a:effectLst>
        </c:spPr>
      </c:pivotFmt>
      <c:pivotFmt>
        <c:idx val="1040"/>
        <c:spPr>
          <a:solidFill>
            <a:schemeClr val="accent1"/>
          </a:solidFill>
          <a:ln>
            <a:noFill/>
          </a:ln>
          <a:effectLst>
            <a:outerShdw blurRad="254000" sx="102000" sy="102000" algn="ctr" rotWithShape="0">
              <a:prstClr val="black">
                <a:alpha val="20000"/>
              </a:prstClr>
            </a:outerShdw>
          </a:effectLst>
        </c:spPr>
      </c:pivotFmt>
      <c:pivotFmt>
        <c:idx val="1041"/>
        <c:spPr>
          <a:solidFill>
            <a:schemeClr val="accent1"/>
          </a:solidFill>
          <a:ln>
            <a:noFill/>
          </a:ln>
          <a:effectLst>
            <a:outerShdw blurRad="254000" sx="102000" sy="102000" algn="ctr" rotWithShape="0">
              <a:prstClr val="black">
                <a:alpha val="20000"/>
              </a:prstClr>
            </a:outerShdw>
          </a:effectLst>
        </c:spPr>
      </c:pivotFmt>
      <c:pivotFmt>
        <c:idx val="1042"/>
        <c:spPr>
          <a:solidFill>
            <a:schemeClr val="accent1"/>
          </a:solidFill>
          <a:ln>
            <a:noFill/>
          </a:ln>
          <a:effectLst>
            <a:outerShdw blurRad="254000" sx="102000" sy="102000" algn="ctr" rotWithShape="0">
              <a:prstClr val="black">
                <a:alpha val="20000"/>
              </a:prstClr>
            </a:outerShdw>
          </a:effectLst>
        </c:spPr>
      </c:pivotFmt>
      <c:pivotFmt>
        <c:idx val="1043"/>
        <c:spPr>
          <a:solidFill>
            <a:schemeClr val="accent1"/>
          </a:solidFill>
          <a:ln>
            <a:noFill/>
          </a:ln>
          <a:effectLst>
            <a:outerShdw blurRad="254000" sx="102000" sy="102000" algn="ctr" rotWithShape="0">
              <a:prstClr val="black">
                <a:alpha val="20000"/>
              </a:prstClr>
            </a:outerShdw>
          </a:effectLst>
        </c:spPr>
      </c:pivotFmt>
      <c:pivotFmt>
        <c:idx val="1044"/>
        <c:spPr>
          <a:solidFill>
            <a:schemeClr val="accent1"/>
          </a:solidFill>
          <a:ln>
            <a:noFill/>
          </a:ln>
          <a:effectLst>
            <a:outerShdw blurRad="254000" sx="102000" sy="102000" algn="ctr" rotWithShape="0">
              <a:prstClr val="black">
                <a:alpha val="20000"/>
              </a:prstClr>
            </a:outerShdw>
          </a:effectLst>
        </c:spPr>
      </c:pivotFmt>
      <c:pivotFmt>
        <c:idx val="1045"/>
        <c:spPr>
          <a:solidFill>
            <a:schemeClr val="accent1"/>
          </a:solidFill>
          <a:ln>
            <a:noFill/>
          </a:ln>
          <a:effectLst>
            <a:outerShdw blurRad="254000" sx="102000" sy="102000" algn="ctr" rotWithShape="0">
              <a:prstClr val="black">
                <a:alpha val="20000"/>
              </a:prstClr>
            </a:outerShdw>
          </a:effectLst>
        </c:spPr>
      </c:pivotFmt>
      <c:pivotFmt>
        <c:idx val="1046"/>
        <c:spPr>
          <a:solidFill>
            <a:schemeClr val="accent1"/>
          </a:solidFill>
          <a:ln>
            <a:noFill/>
          </a:ln>
          <a:effectLst>
            <a:outerShdw blurRad="254000" sx="102000" sy="102000" algn="ctr" rotWithShape="0">
              <a:prstClr val="black">
                <a:alpha val="20000"/>
              </a:prstClr>
            </a:outerShdw>
          </a:effectLst>
        </c:spPr>
      </c:pivotFmt>
      <c:pivotFmt>
        <c:idx val="1047"/>
        <c:spPr>
          <a:solidFill>
            <a:schemeClr val="accent1"/>
          </a:solidFill>
          <a:ln>
            <a:noFill/>
          </a:ln>
          <a:effectLst>
            <a:outerShdw blurRad="254000" sx="102000" sy="102000" algn="ctr" rotWithShape="0">
              <a:prstClr val="black">
                <a:alpha val="20000"/>
              </a:prstClr>
            </a:outerShdw>
          </a:effectLst>
        </c:spPr>
      </c:pivotFmt>
      <c:pivotFmt>
        <c:idx val="1048"/>
        <c:spPr>
          <a:solidFill>
            <a:schemeClr val="accent1"/>
          </a:solidFill>
          <a:ln>
            <a:noFill/>
          </a:ln>
          <a:effectLst>
            <a:outerShdw blurRad="254000" sx="102000" sy="102000" algn="ctr" rotWithShape="0">
              <a:prstClr val="black">
                <a:alpha val="20000"/>
              </a:prstClr>
            </a:outerShdw>
          </a:effectLst>
        </c:spPr>
      </c:pivotFmt>
      <c:pivotFmt>
        <c:idx val="1049"/>
        <c:spPr>
          <a:solidFill>
            <a:schemeClr val="accent1"/>
          </a:solidFill>
          <a:ln>
            <a:noFill/>
          </a:ln>
          <a:effectLst>
            <a:outerShdw blurRad="254000" sx="102000" sy="102000" algn="ctr" rotWithShape="0">
              <a:prstClr val="black">
                <a:alpha val="20000"/>
              </a:prstClr>
            </a:outerShdw>
          </a:effectLst>
        </c:spPr>
      </c:pivotFmt>
      <c:pivotFmt>
        <c:idx val="1050"/>
        <c:spPr>
          <a:solidFill>
            <a:schemeClr val="accent1"/>
          </a:solidFill>
          <a:ln>
            <a:noFill/>
          </a:ln>
          <a:effectLst>
            <a:outerShdw blurRad="254000" sx="102000" sy="102000" algn="ctr" rotWithShape="0">
              <a:prstClr val="black">
                <a:alpha val="20000"/>
              </a:prstClr>
            </a:outerShdw>
          </a:effectLst>
        </c:spPr>
      </c:pivotFmt>
      <c:pivotFmt>
        <c:idx val="1051"/>
        <c:spPr>
          <a:solidFill>
            <a:schemeClr val="accent1"/>
          </a:solidFill>
          <a:ln>
            <a:noFill/>
          </a:ln>
          <a:effectLst>
            <a:outerShdw blurRad="254000" sx="102000" sy="102000" algn="ctr" rotWithShape="0">
              <a:prstClr val="black">
                <a:alpha val="20000"/>
              </a:prstClr>
            </a:outerShdw>
          </a:effectLst>
        </c:spPr>
      </c:pivotFmt>
      <c:pivotFmt>
        <c:idx val="1052"/>
        <c:spPr>
          <a:solidFill>
            <a:schemeClr val="accent1"/>
          </a:solidFill>
          <a:ln>
            <a:noFill/>
          </a:ln>
          <a:effectLst>
            <a:outerShdw blurRad="254000" sx="102000" sy="102000" algn="ctr" rotWithShape="0">
              <a:prstClr val="black">
                <a:alpha val="20000"/>
              </a:prstClr>
            </a:outerShdw>
          </a:effectLst>
        </c:spPr>
      </c:pivotFmt>
      <c:pivotFmt>
        <c:idx val="1053"/>
        <c:spPr>
          <a:solidFill>
            <a:schemeClr val="accent1"/>
          </a:solidFill>
          <a:ln>
            <a:noFill/>
          </a:ln>
          <a:effectLst>
            <a:outerShdw blurRad="254000" sx="102000" sy="102000" algn="ctr" rotWithShape="0">
              <a:prstClr val="black">
                <a:alpha val="20000"/>
              </a:prstClr>
            </a:outerShdw>
          </a:effectLst>
        </c:spPr>
      </c:pivotFmt>
      <c:pivotFmt>
        <c:idx val="1054"/>
        <c:spPr>
          <a:solidFill>
            <a:schemeClr val="accent1"/>
          </a:solidFill>
          <a:ln>
            <a:noFill/>
          </a:ln>
          <a:effectLst>
            <a:outerShdw blurRad="254000" sx="102000" sy="102000" algn="ctr" rotWithShape="0">
              <a:prstClr val="black">
                <a:alpha val="20000"/>
              </a:prstClr>
            </a:outerShdw>
          </a:effectLst>
        </c:spPr>
      </c:pivotFmt>
      <c:pivotFmt>
        <c:idx val="1055"/>
        <c:spPr>
          <a:solidFill>
            <a:schemeClr val="accent1"/>
          </a:solidFill>
          <a:ln>
            <a:noFill/>
          </a:ln>
          <a:effectLst>
            <a:outerShdw blurRad="254000" sx="102000" sy="102000" algn="ctr" rotWithShape="0">
              <a:prstClr val="black">
                <a:alpha val="20000"/>
              </a:prstClr>
            </a:outerShdw>
          </a:effectLst>
        </c:spPr>
      </c:pivotFmt>
      <c:pivotFmt>
        <c:idx val="1056"/>
        <c:spPr>
          <a:solidFill>
            <a:schemeClr val="accent1"/>
          </a:solidFill>
          <a:ln>
            <a:noFill/>
          </a:ln>
          <a:effectLst>
            <a:outerShdw blurRad="254000" sx="102000" sy="102000" algn="ctr" rotWithShape="0">
              <a:prstClr val="black">
                <a:alpha val="20000"/>
              </a:prstClr>
            </a:outerShdw>
          </a:effectLst>
        </c:spPr>
      </c:pivotFmt>
      <c:pivotFmt>
        <c:idx val="1057"/>
        <c:spPr>
          <a:solidFill>
            <a:schemeClr val="accent1"/>
          </a:solidFill>
          <a:ln>
            <a:noFill/>
          </a:ln>
          <a:effectLst>
            <a:outerShdw blurRad="254000" sx="102000" sy="102000" algn="ctr" rotWithShape="0">
              <a:prstClr val="black">
                <a:alpha val="20000"/>
              </a:prstClr>
            </a:outerShdw>
          </a:effectLst>
        </c:spPr>
      </c:pivotFmt>
      <c:pivotFmt>
        <c:idx val="1058"/>
        <c:spPr>
          <a:solidFill>
            <a:schemeClr val="accent1"/>
          </a:solidFill>
          <a:ln>
            <a:noFill/>
          </a:ln>
          <a:effectLst>
            <a:outerShdw blurRad="254000" sx="102000" sy="102000" algn="ctr" rotWithShape="0">
              <a:prstClr val="black">
                <a:alpha val="20000"/>
              </a:prstClr>
            </a:outerShdw>
          </a:effectLst>
        </c:spPr>
      </c:pivotFmt>
      <c:pivotFmt>
        <c:idx val="1059"/>
        <c:spPr>
          <a:solidFill>
            <a:schemeClr val="accent1"/>
          </a:solidFill>
          <a:ln>
            <a:noFill/>
          </a:ln>
          <a:effectLst>
            <a:outerShdw blurRad="254000" sx="102000" sy="102000" algn="ctr" rotWithShape="0">
              <a:prstClr val="black">
                <a:alpha val="20000"/>
              </a:prstClr>
            </a:outerShdw>
          </a:effectLst>
        </c:spPr>
      </c:pivotFmt>
      <c:pivotFmt>
        <c:idx val="1060"/>
        <c:spPr>
          <a:solidFill>
            <a:schemeClr val="accent1"/>
          </a:solidFill>
          <a:ln>
            <a:noFill/>
          </a:ln>
          <a:effectLst>
            <a:outerShdw blurRad="254000" sx="102000" sy="102000" algn="ctr" rotWithShape="0">
              <a:prstClr val="black">
                <a:alpha val="20000"/>
              </a:prstClr>
            </a:outerShdw>
          </a:effectLst>
        </c:spPr>
      </c:pivotFmt>
      <c:pivotFmt>
        <c:idx val="1061"/>
        <c:spPr>
          <a:solidFill>
            <a:schemeClr val="accent1"/>
          </a:solidFill>
          <a:ln>
            <a:noFill/>
          </a:ln>
          <a:effectLst>
            <a:outerShdw blurRad="254000" sx="102000" sy="102000" algn="ctr" rotWithShape="0">
              <a:prstClr val="black">
                <a:alpha val="20000"/>
              </a:prstClr>
            </a:outerShdw>
          </a:effectLst>
        </c:spPr>
      </c:pivotFmt>
      <c:pivotFmt>
        <c:idx val="1062"/>
        <c:spPr>
          <a:solidFill>
            <a:schemeClr val="accent1"/>
          </a:solidFill>
          <a:ln>
            <a:noFill/>
          </a:ln>
          <a:effectLst>
            <a:outerShdw blurRad="254000" sx="102000" sy="102000" algn="ctr" rotWithShape="0">
              <a:prstClr val="black">
                <a:alpha val="20000"/>
              </a:prstClr>
            </a:outerShdw>
          </a:effectLst>
        </c:spPr>
      </c:pivotFmt>
      <c:pivotFmt>
        <c:idx val="1063"/>
        <c:spPr>
          <a:solidFill>
            <a:schemeClr val="accent1"/>
          </a:solidFill>
          <a:ln>
            <a:noFill/>
          </a:ln>
          <a:effectLst>
            <a:outerShdw blurRad="254000" sx="102000" sy="102000" algn="ctr" rotWithShape="0">
              <a:prstClr val="black">
                <a:alpha val="20000"/>
              </a:prstClr>
            </a:outerShdw>
          </a:effectLst>
        </c:spPr>
      </c:pivotFmt>
      <c:pivotFmt>
        <c:idx val="1064"/>
        <c:spPr>
          <a:solidFill>
            <a:schemeClr val="accent1"/>
          </a:solidFill>
          <a:ln>
            <a:noFill/>
          </a:ln>
          <a:effectLst>
            <a:outerShdw blurRad="254000" sx="102000" sy="102000" algn="ctr" rotWithShape="0">
              <a:prstClr val="black">
                <a:alpha val="20000"/>
              </a:prstClr>
            </a:outerShdw>
          </a:effectLst>
        </c:spPr>
      </c:pivotFmt>
      <c:pivotFmt>
        <c:idx val="1065"/>
        <c:spPr>
          <a:solidFill>
            <a:schemeClr val="accent1"/>
          </a:solidFill>
          <a:ln>
            <a:noFill/>
          </a:ln>
          <a:effectLst>
            <a:outerShdw blurRad="254000" sx="102000" sy="102000" algn="ctr" rotWithShape="0">
              <a:prstClr val="black">
                <a:alpha val="20000"/>
              </a:prstClr>
            </a:outerShdw>
          </a:effectLst>
        </c:spPr>
      </c:pivotFmt>
      <c:pivotFmt>
        <c:idx val="1066"/>
        <c:spPr>
          <a:solidFill>
            <a:schemeClr val="accent1"/>
          </a:solidFill>
          <a:ln>
            <a:noFill/>
          </a:ln>
          <a:effectLst>
            <a:outerShdw blurRad="254000" sx="102000" sy="102000" algn="ctr" rotWithShape="0">
              <a:prstClr val="black">
                <a:alpha val="20000"/>
              </a:prstClr>
            </a:outerShdw>
          </a:effectLst>
        </c:spPr>
      </c:pivotFmt>
      <c:pivotFmt>
        <c:idx val="1067"/>
        <c:spPr>
          <a:solidFill>
            <a:schemeClr val="accent1"/>
          </a:solidFill>
          <a:ln>
            <a:noFill/>
          </a:ln>
          <a:effectLst>
            <a:outerShdw blurRad="254000" sx="102000" sy="102000" algn="ctr" rotWithShape="0">
              <a:prstClr val="black">
                <a:alpha val="20000"/>
              </a:prstClr>
            </a:outerShdw>
          </a:effectLst>
        </c:spPr>
      </c:pivotFmt>
      <c:pivotFmt>
        <c:idx val="1068"/>
        <c:spPr>
          <a:solidFill>
            <a:schemeClr val="accent1"/>
          </a:solidFill>
          <a:ln>
            <a:noFill/>
          </a:ln>
          <a:effectLst>
            <a:outerShdw blurRad="254000" sx="102000" sy="102000" algn="ctr" rotWithShape="0">
              <a:prstClr val="black">
                <a:alpha val="20000"/>
              </a:prstClr>
            </a:outerShdw>
          </a:effectLst>
        </c:spPr>
      </c:pivotFmt>
      <c:pivotFmt>
        <c:idx val="1069"/>
        <c:spPr>
          <a:solidFill>
            <a:schemeClr val="accent1"/>
          </a:solidFill>
          <a:ln>
            <a:noFill/>
          </a:ln>
          <a:effectLst>
            <a:outerShdw blurRad="254000" sx="102000" sy="102000" algn="ctr" rotWithShape="0">
              <a:prstClr val="black">
                <a:alpha val="20000"/>
              </a:prstClr>
            </a:outerShdw>
          </a:effectLst>
        </c:spPr>
      </c:pivotFmt>
      <c:pivotFmt>
        <c:idx val="1070"/>
        <c:spPr>
          <a:solidFill>
            <a:schemeClr val="accent1"/>
          </a:solidFill>
          <a:ln>
            <a:noFill/>
          </a:ln>
          <a:effectLst>
            <a:outerShdw blurRad="254000" sx="102000" sy="102000" algn="ctr" rotWithShape="0">
              <a:prstClr val="black">
                <a:alpha val="20000"/>
              </a:prstClr>
            </a:outerShdw>
          </a:effectLst>
        </c:spPr>
      </c:pivotFmt>
      <c:pivotFmt>
        <c:idx val="1071"/>
        <c:spPr>
          <a:solidFill>
            <a:schemeClr val="accent1"/>
          </a:solidFill>
          <a:ln>
            <a:noFill/>
          </a:ln>
          <a:effectLst>
            <a:outerShdw blurRad="254000" sx="102000" sy="102000" algn="ctr" rotWithShape="0">
              <a:prstClr val="black">
                <a:alpha val="20000"/>
              </a:prstClr>
            </a:outerShdw>
          </a:effectLst>
        </c:spPr>
      </c:pivotFmt>
      <c:pivotFmt>
        <c:idx val="1072"/>
        <c:spPr>
          <a:solidFill>
            <a:schemeClr val="accent1"/>
          </a:solidFill>
          <a:ln>
            <a:noFill/>
          </a:ln>
          <a:effectLst>
            <a:outerShdw blurRad="254000" sx="102000" sy="102000" algn="ctr" rotWithShape="0">
              <a:prstClr val="black">
                <a:alpha val="20000"/>
              </a:prstClr>
            </a:outerShdw>
          </a:effectLst>
        </c:spPr>
      </c:pivotFmt>
      <c:pivotFmt>
        <c:idx val="1073"/>
        <c:spPr>
          <a:solidFill>
            <a:schemeClr val="accent1"/>
          </a:solidFill>
          <a:ln>
            <a:noFill/>
          </a:ln>
          <a:effectLst>
            <a:outerShdw blurRad="254000" sx="102000" sy="102000" algn="ctr" rotWithShape="0">
              <a:prstClr val="black">
                <a:alpha val="20000"/>
              </a:prstClr>
            </a:outerShdw>
          </a:effectLst>
        </c:spPr>
      </c:pivotFmt>
      <c:pivotFmt>
        <c:idx val="1074"/>
        <c:spPr>
          <a:solidFill>
            <a:schemeClr val="accent1"/>
          </a:solidFill>
          <a:ln>
            <a:noFill/>
          </a:ln>
          <a:effectLst>
            <a:outerShdw blurRad="254000" sx="102000" sy="102000" algn="ctr" rotWithShape="0">
              <a:prstClr val="black">
                <a:alpha val="20000"/>
              </a:prstClr>
            </a:outerShdw>
          </a:effectLst>
        </c:spPr>
      </c:pivotFmt>
      <c:pivotFmt>
        <c:idx val="1075"/>
        <c:spPr>
          <a:solidFill>
            <a:schemeClr val="accent1"/>
          </a:solidFill>
          <a:ln>
            <a:noFill/>
          </a:ln>
          <a:effectLst>
            <a:outerShdw blurRad="254000" sx="102000" sy="102000" algn="ctr" rotWithShape="0">
              <a:prstClr val="black">
                <a:alpha val="20000"/>
              </a:prstClr>
            </a:outerShdw>
          </a:effectLst>
        </c:spPr>
      </c:pivotFmt>
      <c:pivotFmt>
        <c:idx val="1076"/>
        <c:spPr>
          <a:solidFill>
            <a:schemeClr val="accent1"/>
          </a:solidFill>
          <a:ln>
            <a:noFill/>
          </a:ln>
          <a:effectLst>
            <a:outerShdw blurRad="254000" sx="102000" sy="102000" algn="ctr" rotWithShape="0">
              <a:prstClr val="black">
                <a:alpha val="20000"/>
              </a:prstClr>
            </a:outerShdw>
          </a:effectLst>
        </c:spPr>
      </c:pivotFmt>
      <c:pivotFmt>
        <c:idx val="1077"/>
        <c:spPr>
          <a:solidFill>
            <a:schemeClr val="accent1"/>
          </a:solidFill>
          <a:ln>
            <a:noFill/>
          </a:ln>
          <a:effectLst>
            <a:outerShdw blurRad="254000" sx="102000" sy="102000" algn="ctr" rotWithShape="0">
              <a:prstClr val="black">
                <a:alpha val="20000"/>
              </a:prstClr>
            </a:outerShdw>
          </a:effectLst>
        </c:spPr>
      </c:pivotFmt>
      <c:pivotFmt>
        <c:idx val="1078"/>
        <c:spPr>
          <a:solidFill>
            <a:schemeClr val="accent1"/>
          </a:solidFill>
          <a:ln>
            <a:noFill/>
          </a:ln>
          <a:effectLst>
            <a:outerShdw blurRad="254000" sx="102000" sy="102000" algn="ctr" rotWithShape="0">
              <a:prstClr val="black">
                <a:alpha val="20000"/>
              </a:prstClr>
            </a:outerShdw>
          </a:effectLst>
        </c:spPr>
      </c:pivotFmt>
      <c:pivotFmt>
        <c:idx val="1079"/>
        <c:spPr>
          <a:solidFill>
            <a:schemeClr val="accent1"/>
          </a:solidFill>
          <a:ln>
            <a:noFill/>
          </a:ln>
          <a:effectLst>
            <a:outerShdw blurRad="254000" sx="102000" sy="102000" algn="ctr" rotWithShape="0">
              <a:prstClr val="black">
                <a:alpha val="20000"/>
              </a:prstClr>
            </a:outerShdw>
          </a:effectLst>
        </c:spPr>
      </c:pivotFmt>
      <c:pivotFmt>
        <c:idx val="1080"/>
        <c:spPr>
          <a:solidFill>
            <a:schemeClr val="accent1"/>
          </a:solidFill>
          <a:ln>
            <a:noFill/>
          </a:ln>
          <a:effectLst>
            <a:outerShdw blurRad="254000" sx="102000" sy="102000" algn="ctr" rotWithShape="0">
              <a:prstClr val="black">
                <a:alpha val="20000"/>
              </a:prstClr>
            </a:outerShdw>
          </a:effectLst>
        </c:spPr>
      </c:pivotFmt>
      <c:pivotFmt>
        <c:idx val="1081"/>
        <c:spPr>
          <a:solidFill>
            <a:schemeClr val="accent1"/>
          </a:solidFill>
          <a:ln>
            <a:noFill/>
          </a:ln>
          <a:effectLst>
            <a:outerShdw blurRad="254000" sx="102000" sy="102000" algn="ctr" rotWithShape="0">
              <a:prstClr val="black">
                <a:alpha val="20000"/>
              </a:prstClr>
            </a:outerShdw>
          </a:effectLst>
        </c:spPr>
      </c:pivotFmt>
      <c:pivotFmt>
        <c:idx val="1082"/>
        <c:spPr>
          <a:solidFill>
            <a:schemeClr val="accent1"/>
          </a:solidFill>
          <a:ln>
            <a:noFill/>
          </a:ln>
          <a:effectLst>
            <a:outerShdw blurRad="254000" sx="102000" sy="102000" algn="ctr" rotWithShape="0">
              <a:prstClr val="black">
                <a:alpha val="20000"/>
              </a:prstClr>
            </a:outerShdw>
          </a:effectLst>
        </c:spPr>
      </c:pivotFmt>
      <c:pivotFmt>
        <c:idx val="1083"/>
        <c:spPr>
          <a:solidFill>
            <a:schemeClr val="accent1"/>
          </a:solidFill>
          <a:ln>
            <a:noFill/>
          </a:ln>
          <a:effectLst>
            <a:outerShdw blurRad="254000" sx="102000" sy="102000" algn="ctr" rotWithShape="0">
              <a:prstClr val="black">
                <a:alpha val="20000"/>
              </a:prstClr>
            </a:outerShdw>
          </a:effectLst>
        </c:spPr>
      </c:pivotFmt>
      <c:pivotFmt>
        <c:idx val="1084"/>
        <c:spPr>
          <a:solidFill>
            <a:schemeClr val="accent1"/>
          </a:solidFill>
          <a:ln>
            <a:noFill/>
          </a:ln>
          <a:effectLst>
            <a:outerShdw blurRad="254000" sx="102000" sy="102000" algn="ctr" rotWithShape="0">
              <a:prstClr val="black">
                <a:alpha val="20000"/>
              </a:prstClr>
            </a:outerShdw>
          </a:effectLst>
        </c:spPr>
      </c:pivotFmt>
      <c:pivotFmt>
        <c:idx val="1085"/>
        <c:spPr>
          <a:solidFill>
            <a:schemeClr val="accent1"/>
          </a:solidFill>
          <a:ln>
            <a:noFill/>
          </a:ln>
          <a:effectLst>
            <a:outerShdw blurRad="254000" sx="102000" sy="102000" algn="ctr" rotWithShape="0">
              <a:prstClr val="black">
                <a:alpha val="20000"/>
              </a:prstClr>
            </a:outerShdw>
          </a:effectLst>
        </c:spPr>
      </c:pivotFmt>
      <c:pivotFmt>
        <c:idx val="1086"/>
        <c:spPr>
          <a:solidFill>
            <a:schemeClr val="accent1"/>
          </a:solidFill>
          <a:ln>
            <a:noFill/>
          </a:ln>
          <a:effectLst>
            <a:outerShdw blurRad="254000" sx="102000" sy="102000" algn="ctr" rotWithShape="0">
              <a:prstClr val="black">
                <a:alpha val="20000"/>
              </a:prstClr>
            </a:outerShdw>
          </a:effectLst>
        </c:spPr>
      </c:pivotFmt>
      <c:pivotFmt>
        <c:idx val="1087"/>
        <c:spPr>
          <a:solidFill>
            <a:schemeClr val="accent1"/>
          </a:solidFill>
          <a:ln>
            <a:noFill/>
          </a:ln>
          <a:effectLst>
            <a:outerShdw blurRad="254000" sx="102000" sy="102000" algn="ctr" rotWithShape="0">
              <a:prstClr val="black">
                <a:alpha val="20000"/>
              </a:prstClr>
            </a:outerShdw>
          </a:effectLst>
        </c:spPr>
      </c:pivotFmt>
      <c:pivotFmt>
        <c:idx val="1088"/>
        <c:spPr>
          <a:solidFill>
            <a:schemeClr val="accent1"/>
          </a:solidFill>
          <a:ln>
            <a:noFill/>
          </a:ln>
          <a:effectLst>
            <a:outerShdw blurRad="254000" sx="102000" sy="102000" algn="ctr" rotWithShape="0">
              <a:prstClr val="black">
                <a:alpha val="20000"/>
              </a:prstClr>
            </a:outerShdw>
          </a:effectLst>
        </c:spPr>
      </c:pivotFmt>
      <c:pivotFmt>
        <c:idx val="1089"/>
        <c:spPr>
          <a:solidFill>
            <a:schemeClr val="accent1"/>
          </a:solidFill>
          <a:ln>
            <a:noFill/>
          </a:ln>
          <a:effectLst>
            <a:outerShdw blurRad="254000" sx="102000" sy="102000" algn="ctr" rotWithShape="0">
              <a:prstClr val="black">
                <a:alpha val="20000"/>
              </a:prstClr>
            </a:outerShdw>
          </a:effectLst>
        </c:spPr>
      </c:pivotFmt>
      <c:pivotFmt>
        <c:idx val="1090"/>
        <c:spPr>
          <a:solidFill>
            <a:schemeClr val="accent1"/>
          </a:solidFill>
          <a:ln>
            <a:noFill/>
          </a:ln>
          <a:effectLst>
            <a:outerShdw blurRad="254000" sx="102000" sy="102000" algn="ctr" rotWithShape="0">
              <a:prstClr val="black">
                <a:alpha val="20000"/>
              </a:prstClr>
            </a:outerShdw>
          </a:effectLst>
        </c:spPr>
      </c:pivotFmt>
      <c:pivotFmt>
        <c:idx val="1091"/>
        <c:spPr>
          <a:solidFill>
            <a:schemeClr val="accent1"/>
          </a:solidFill>
          <a:ln>
            <a:noFill/>
          </a:ln>
          <a:effectLst>
            <a:outerShdw blurRad="254000" sx="102000" sy="102000" algn="ctr" rotWithShape="0">
              <a:prstClr val="black">
                <a:alpha val="20000"/>
              </a:prstClr>
            </a:outerShdw>
          </a:effectLst>
        </c:spPr>
      </c:pivotFmt>
      <c:pivotFmt>
        <c:idx val="1092"/>
        <c:spPr>
          <a:solidFill>
            <a:schemeClr val="accent1"/>
          </a:solidFill>
          <a:ln>
            <a:noFill/>
          </a:ln>
          <a:effectLst>
            <a:outerShdw blurRad="254000" sx="102000" sy="102000" algn="ctr" rotWithShape="0">
              <a:prstClr val="black">
                <a:alpha val="20000"/>
              </a:prstClr>
            </a:outerShdw>
          </a:effectLst>
        </c:spPr>
      </c:pivotFmt>
      <c:pivotFmt>
        <c:idx val="1093"/>
        <c:spPr>
          <a:solidFill>
            <a:schemeClr val="accent1"/>
          </a:solidFill>
          <a:ln>
            <a:noFill/>
          </a:ln>
          <a:effectLst>
            <a:outerShdw blurRad="254000" sx="102000" sy="102000" algn="ctr" rotWithShape="0">
              <a:prstClr val="black">
                <a:alpha val="20000"/>
              </a:prstClr>
            </a:outerShdw>
          </a:effectLst>
        </c:spPr>
      </c:pivotFmt>
      <c:pivotFmt>
        <c:idx val="1094"/>
        <c:spPr>
          <a:solidFill>
            <a:schemeClr val="accent1"/>
          </a:solidFill>
          <a:ln>
            <a:noFill/>
          </a:ln>
          <a:effectLst>
            <a:outerShdw blurRad="254000" sx="102000" sy="102000" algn="ctr" rotWithShape="0">
              <a:prstClr val="black">
                <a:alpha val="20000"/>
              </a:prstClr>
            </a:outerShdw>
          </a:effectLst>
        </c:spPr>
      </c:pivotFmt>
      <c:pivotFmt>
        <c:idx val="1095"/>
        <c:spPr>
          <a:solidFill>
            <a:schemeClr val="accent1"/>
          </a:solidFill>
          <a:ln>
            <a:noFill/>
          </a:ln>
          <a:effectLst>
            <a:outerShdw blurRad="254000" sx="102000" sy="102000" algn="ctr" rotWithShape="0">
              <a:prstClr val="black">
                <a:alpha val="20000"/>
              </a:prstClr>
            </a:outerShdw>
          </a:effectLst>
        </c:spPr>
      </c:pivotFmt>
      <c:pivotFmt>
        <c:idx val="1096"/>
        <c:spPr>
          <a:solidFill>
            <a:schemeClr val="accent1"/>
          </a:solidFill>
          <a:ln>
            <a:noFill/>
          </a:ln>
          <a:effectLst>
            <a:outerShdw blurRad="254000" sx="102000" sy="102000" algn="ctr" rotWithShape="0">
              <a:prstClr val="black">
                <a:alpha val="20000"/>
              </a:prstClr>
            </a:outerShdw>
          </a:effectLst>
        </c:spPr>
      </c:pivotFmt>
      <c:pivotFmt>
        <c:idx val="1097"/>
        <c:spPr>
          <a:solidFill>
            <a:schemeClr val="accent1"/>
          </a:solidFill>
          <a:ln>
            <a:noFill/>
          </a:ln>
          <a:effectLst>
            <a:outerShdw blurRad="254000" sx="102000" sy="102000" algn="ctr" rotWithShape="0">
              <a:prstClr val="black">
                <a:alpha val="20000"/>
              </a:prstClr>
            </a:outerShdw>
          </a:effectLst>
        </c:spPr>
      </c:pivotFmt>
      <c:pivotFmt>
        <c:idx val="1098"/>
        <c:spPr>
          <a:solidFill>
            <a:schemeClr val="accent1"/>
          </a:solidFill>
          <a:ln>
            <a:noFill/>
          </a:ln>
          <a:effectLst>
            <a:outerShdw blurRad="254000" sx="102000" sy="102000" algn="ctr" rotWithShape="0">
              <a:prstClr val="black">
                <a:alpha val="20000"/>
              </a:prstClr>
            </a:outerShdw>
          </a:effectLst>
        </c:spPr>
      </c:pivotFmt>
      <c:pivotFmt>
        <c:idx val="1099"/>
        <c:spPr>
          <a:solidFill>
            <a:schemeClr val="accent1"/>
          </a:solidFill>
          <a:ln>
            <a:noFill/>
          </a:ln>
          <a:effectLst>
            <a:outerShdw blurRad="254000" sx="102000" sy="102000" algn="ctr" rotWithShape="0">
              <a:prstClr val="black">
                <a:alpha val="20000"/>
              </a:prstClr>
            </a:outerShdw>
          </a:effectLst>
        </c:spPr>
      </c:pivotFmt>
      <c:pivotFmt>
        <c:idx val="1100"/>
        <c:spPr>
          <a:solidFill>
            <a:schemeClr val="accent1"/>
          </a:solidFill>
          <a:ln>
            <a:noFill/>
          </a:ln>
          <a:effectLst>
            <a:outerShdw blurRad="254000" sx="102000" sy="102000" algn="ctr" rotWithShape="0">
              <a:prstClr val="black">
                <a:alpha val="20000"/>
              </a:prstClr>
            </a:outerShdw>
          </a:effectLst>
        </c:spPr>
      </c:pivotFmt>
      <c:pivotFmt>
        <c:idx val="1101"/>
        <c:spPr>
          <a:solidFill>
            <a:schemeClr val="accent1"/>
          </a:solidFill>
          <a:ln>
            <a:noFill/>
          </a:ln>
          <a:effectLst>
            <a:outerShdw blurRad="254000" sx="102000" sy="102000" algn="ctr" rotWithShape="0">
              <a:prstClr val="black">
                <a:alpha val="20000"/>
              </a:prstClr>
            </a:outerShdw>
          </a:effectLst>
        </c:spPr>
      </c:pivotFmt>
      <c:pivotFmt>
        <c:idx val="1102"/>
        <c:spPr>
          <a:solidFill>
            <a:schemeClr val="accent1"/>
          </a:solidFill>
          <a:ln>
            <a:noFill/>
          </a:ln>
          <a:effectLst>
            <a:outerShdw blurRad="254000" sx="102000" sy="102000" algn="ctr" rotWithShape="0">
              <a:prstClr val="black">
                <a:alpha val="20000"/>
              </a:prstClr>
            </a:outerShdw>
          </a:effectLst>
        </c:spPr>
      </c:pivotFmt>
      <c:pivotFmt>
        <c:idx val="1103"/>
        <c:spPr>
          <a:solidFill>
            <a:schemeClr val="accent1"/>
          </a:solidFill>
          <a:ln>
            <a:noFill/>
          </a:ln>
          <a:effectLst>
            <a:outerShdw blurRad="254000" sx="102000" sy="102000" algn="ctr" rotWithShape="0">
              <a:prstClr val="black">
                <a:alpha val="20000"/>
              </a:prstClr>
            </a:outerShdw>
          </a:effectLst>
        </c:spPr>
      </c:pivotFmt>
      <c:pivotFmt>
        <c:idx val="1104"/>
        <c:spPr>
          <a:solidFill>
            <a:schemeClr val="accent1"/>
          </a:solidFill>
          <a:ln>
            <a:noFill/>
          </a:ln>
          <a:effectLst>
            <a:outerShdw blurRad="254000" sx="102000" sy="102000" algn="ctr" rotWithShape="0">
              <a:prstClr val="black">
                <a:alpha val="20000"/>
              </a:prstClr>
            </a:outerShdw>
          </a:effectLst>
        </c:spPr>
      </c:pivotFmt>
      <c:pivotFmt>
        <c:idx val="1105"/>
        <c:spPr>
          <a:solidFill>
            <a:schemeClr val="accent1"/>
          </a:solidFill>
          <a:ln>
            <a:noFill/>
          </a:ln>
          <a:effectLst>
            <a:outerShdw blurRad="254000" sx="102000" sy="102000" algn="ctr" rotWithShape="0">
              <a:prstClr val="black">
                <a:alpha val="20000"/>
              </a:prstClr>
            </a:outerShdw>
          </a:effectLst>
        </c:spPr>
      </c:pivotFmt>
      <c:pivotFmt>
        <c:idx val="1106"/>
        <c:spPr>
          <a:solidFill>
            <a:schemeClr val="accent1"/>
          </a:solidFill>
          <a:ln>
            <a:noFill/>
          </a:ln>
          <a:effectLst>
            <a:outerShdw blurRad="254000" sx="102000" sy="102000" algn="ctr" rotWithShape="0">
              <a:prstClr val="black">
                <a:alpha val="20000"/>
              </a:prstClr>
            </a:outerShdw>
          </a:effectLst>
        </c:spPr>
      </c:pivotFmt>
      <c:pivotFmt>
        <c:idx val="1107"/>
        <c:spPr>
          <a:solidFill>
            <a:schemeClr val="accent1"/>
          </a:solidFill>
          <a:ln>
            <a:noFill/>
          </a:ln>
          <a:effectLst>
            <a:outerShdw blurRad="254000" sx="102000" sy="102000" algn="ctr" rotWithShape="0">
              <a:prstClr val="black">
                <a:alpha val="20000"/>
              </a:prstClr>
            </a:outerShdw>
          </a:effectLst>
        </c:spPr>
      </c:pivotFmt>
      <c:pivotFmt>
        <c:idx val="1108"/>
        <c:spPr>
          <a:solidFill>
            <a:schemeClr val="accent1"/>
          </a:solidFill>
          <a:ln>
            <a:noFill/>
          </a:ln>
          <a:effectLst>
            <a:outerShdw blurRad="254000" sx="102000" sy="102000" algn="ctr" rotWithShape="0">
              <a:prstClr val="black">
                <a:alpha val="20000"/>
              </a:prstClr>
            </a:outerShdw>
          </a:effectLst>
        </c:spPr>
      </c:pivotFmt>
      <c:pivotFmt>
        <c:idx val="1109"/>
        <c:spPr>
          <a:solidFill>
            <a:schemeClr val="accent1"/>
          </a:solidFill>
          <a:ln>
            <a:noFill/>
          </a:ln>
          <a:effectLst>
            <a:outerShdw blurRad="254000" sx="102000" sy="102000" algn="ctr" rotWithShape="0">
              <a:prstClr val="black">
                <a:alpha val="20000"/>
              </a:prstClr>
            </a:outerShdw>
          </a:effectLst>
        </c:spPr>
      </c:pivotFmt>
      <c:pivotFmt>
        <c:idx val="1110"/>
        <c:spPr>
          <a:solidFill>
            <a:schemeClr val="accent1"/>
          </a:solidFill>
          <a:ln>
            <a:noFill/>
          </a:ln>
          <a:effectLst>
            <a:outerShdw blurRad="254000" sx="102000" sy="102000" algn="ctr" rotWithShape="0">
              <a:prstClr val="black">
                <a:alpha val="20000"/>
              </a:prstClr>
            </a:outerShdw>
          </a:effectLst>
        </c:spPr>
      </c:pivotFmt>
      <c:pivotFmt>
        <c:idx val="1111"/>
        <c:spPr>
          <a:solidFill>
            <a:schemeClr val="accent1"/>
          </a:solidFill>
          <a:ln>
            <a:noFill/>
          </a:ln>
          <a:effectLst>
            <a:outerShdw blurRad="254000" sx="102000" sy="102000" algn="ctr" rotWithShape="0">
              <a:prstClr val="black">
                <a:alpha val="20000"/>
              </a:prstClr>
            </a:outerShdw>
          </a:effectLst>
        </c:spPr>
      </c:pivotFmt>
      <c:pivotFmt>
        <c:idx val="1112"/>
        <c:spPr>
          <a:solidFill>
            <a:schemeClr val="accent1"/>
          </a:solidFill>
          <a:ln>
            <a:noFill/>
          </a:ln>
          <a:effectLst>
            <a:outerShdw blurRad="254000" sx="102000" sy="102000" algn="ctr" rotWithShape="0">
              <a:prstClr val="black">
                <a:alpha val="20000"/>
              </a:prstClr>
            </a:outerShdw>
          </a:effectLst>
        </c:spPr>
      </c:pivotFmt>
      <c:pivotFmt>
        <c:idx val="1113"/>
        <c:spPr>
          <a:solidFill>
            <a:schemeClr val="accent1"/>
          </a:solidFill>
          <a:ln>
            <a:noFill/>
          </a:ln>
          <a:effectLst>
            <a:outerShdw blurRad="254000" sx="102000" sy="102000" algn="ctr" rotWithShape="0">
              <a:prstClr val="black">
                <a:alpha val="20000"/>
              </a:prstClr>
            </a:outerShdw>
          </a:effectLst>
        </c:spPr>
      </c:pivotFmt>
      <c:pivotFmt>
        <c:idx val="1114"/>
        <c:spPr>
          <a:solidFill>
            <a:schemeClr val="accent1"/>
          </a:solidFill>
          <a:ln>
            <a:noFill/>
          </a:ln>
          <a:effectLst>
            <a:outerShdw blurRad="254000" sx="102000" sy="102000" algn="ctr" rotWithShape="0">
              <a:prstClr val="black">
                <a:alpha val="20000"/>
              </a:prstClr>
            </a:outerShdw>
          </a:effectLst>
        </c:spPr>
      </c:pivotFmt>
      <c:pivotFmt>
        <c:idx val="1115"/>
        <c:spPr>
          <a:solidFill>
            <a:schemeClr val="accent1"/>
          </a:solidFill>
          <a:ln>
            <a:noFill/>
          </a:ln>
          <a:effectLst>
            <a:outerShdw blurRad="254000" sx="102000" sy="102000" algn="ctr" rotWithShape="0">
              <a:prstClr val="black">
                <a:alpha val="20000"/>
              </a:prstClr>
            </a:outerShdw>
          </a:effectLst>
        </c:spPr>
      </c:pivotFmt>
      <c:pivotFmt>
        <c:idx val="1116"/>
        <c:spPr>
          <a:solidFill>
            <a:schemeClr val="accent1"/>
          </a:solidFill>
          <a:ln>
            <a:noFill/>
          </a:ln>
          <a:effectLst>
            <a:outerShdw blurRad="254000" sx="102000" sy="102000" algn="ctr" rotWithShape="0">
              <a:prstClr val="black">
                <a:alpha val="20000"/>
              </a:prstClr>
            </a:outerShdw>
          </a:effectLst>
        </c:spPr>
      </c:pivotFmt>
      <c:pivotFmt>
        <c:idx val="1117"/>
        <c:spPr>
          <a:solidFill>
            <a:schemeClr val="accent1"/>
          </a:solidFill>
          <a:ln>
            <a:noFill/>
          </a:ln>
          <a:effectLst>
            <a:outerShdw blurRad="254000" sx="102000" sy="102000" algn="ctr" rotWithShape="0">
              <a:prstClr val="black">
                <a:alpha val="20000"/>
              </a:prstClr>
            </a:outerShdw>
          </a:effectLst>
        </c:spPr>
      </c:pivotFmt>
      <c:pivotFmt>
        <c:idx val="1118"/>
        <c:spPr>
          <a:solidFill>
            <a:schemeClr val="accent1"/>
          </a:solidFill>
          <a:ln>
            <a:noFill/>
          </a:ln>
          <a:effectLst>
            <a:outerShdw blurRad="254000" sx="102000" sy="102000" algn="ctr" rotWithShape="0">
              <a:prstClr val="black">
                <a:alpha val="20000"/>
              </a:prstClr>
            </a:outerShdw>
          </a:effectLst>
        </c:spPr>
      </c:pivotFmt>
      <c:pivotFmt>
        <c:idx val="1119"/>
        <c:spPr>
          <a:solidFill>
            <a:schemeClr val="accent1"/>
          </a:solidFill>
          <a:ln>
            <a:noFill/>
          </a:ln>
          <a:effectLst>
            <a:outerShdw blurRad="254000" sx="102000" sy="102000" algn="ctr" rotWithShape="0">
              <a:prstClr val="black">
                <a:alpha val="20000"/>
              </a:prstClr>
            </a:outerShdw>
          </a:effectLst>
        </c:spPr>
      </c:pivotFmt>
      <c:pivotFmt>
        <c:idx val="1120"/>
        <c:spPr>
          <a:solidFill>
            <a:schemeClr val="accent1"/>
          </a:solidFill>
          <a:ln>
            <a:noFill/>
          </a:ln>
          <a:effectLst>
            <a:outerShdw blurRad="254000" sx="102000" sy="102000" algn="ctr" rotWithShape="0">
              <a:prstClr val="black">
                <a:alpha val="20000"/>
              </a:prstClr>
            </a:outerShdw>
          </a:effectLst>
        </c:spPr>
      </c:pivotFmt>
      <c:pivotFmt>
        <c:idx val="1121"/>
        <c:spPr>
          <a:solidFill>
            <a:schemeClr val="accent1"/>
          </a:solidFill>
          <a:ln>
            <a:noFill/>
          </a:ln>
          <a:effectLst>
            <a:outerShdw blurRad="254000" sx="102000" sy="102000" algn="ctr" rotWithShape="0">
              <a:prstClr val="black">
                <a:alpha val="20000"/>
              </a:prstClr>
            </a:outerShdw>
          </a:effectLst>
        </c:spPr>
      </c:pivotFmt>
      <c:pivotFmt>
        <c:idx val="1122"/>
        <c:spPr>
          <a:solidFill>
            <a:schemeClr val="accent1"/>
          </a:solidFill>
          <a:ln>
            <a:noFill/>
          </a:ln>
          <a:effectLst>
            <a:outerShdw blurRad="254000" sx="102000" sy="102000" algn="ctr" rotWithShape="0">
              <a:prstClr val="black">
                <a:alpha val="20000"/>
              </a:prstClr>
            </a:outerShdw>
          </a:effectLst>
        </c:spPr>
      </c:pivotFmt>
      <c:pivotFmt>
        <c:idx val="1123"/>
        <c:spPr>
          <a:solidFill>
            <a:schemeClr val="accent1"/>
          </a:solidFill>
          <a:ln>
            <a:noFill/>
          </a:ln>
          <a:effectLst>
            <a:outerShdw blurRad="254000" sx="102000" sy="102000" algn="ctr" rotWithShape="0">
              <a:prstClr val="black">
                <a:alpha val="20000"/>
              </a:prstClr>
            </a:outerShdw>
          </a:effectLst>
        </c:spPr>
      </c:pivotFmt>
      <c:pivotFmt>
        <c:idx val="1124"/>
        <c:spPr>
          <a:solidFill>
            <a:schemeClr val="accent1"/>
          </a:solidFill>
          <a:ln>
            <a:noFill/>
          </a:ln>
          <a:effectLst>
            <a:outerShdw blurRad="254000" sx="102000" sy="102000" algn="ctr" rotWithShape="0">
              <a:prstClr val="black">
                <a:alpha val="20000"/>
              </a:prstClr>
            </a:outerShdw>
          </a:effectLst>
        </c:spPr>
      </c:pivotFmt>
      <c:pivotFmt>
        <c:idx val="1125"/>
        <c:spPr>
          <a:solidFill>
            <a:schemeClr val="accent1"/>
          </a:solidFill>
          <a:ln>
            <a:noFill/>
          </a:ln>
          <a:effectLst>
            <a:outerShdw blurRad="254000" sx="102000" sy="102000" algn="ctr" rotWithShape="0">
              <a:prstClr val="black">
                <a:alpha val="20000"/>
              </a:prstClr>
            </a:outerShdw>
          </a:effectLst>
        </c:spPr>
      </c:pivotFmt>
      <c:pivotFmt>
        <c:idx val="1126"/>
        <c:spPr>
          <a:solidFill>
            <a:schemeClr val="accent1"/>
          </a:solidFill>
          <a:ln>
            <a:noFill/>
          </a:ln>
          <a:effectLst>
            <a:outerShdw blurRad="254000" sx="102000" sy="102000" algn="ctr" rotWithShape="0">
              <a:prstClr val="black">
                <a:alpha val="20000"/>
              </a:prstClr>
            </a:outerShdw>
          </a:effectLst>
        </c:spPr>
      </c:pivotFmt>
      <c:pivotFmt>
        <c:idx val="1127"/>
        <c:spPr>
          <a:solidFill>
            <a:schemeClr val="accent1"/>
          </a:solidFill>
          <a:ln>
            <a:noFill/>
          </a:ln>
          <a:effectLst>
            <a:outerShdw blurRad="254000" sx="102000" sy="102000" algn="ctr" rotWithShape="0">
              <a:prstClr val="black">
                <a:alpha val="20000"/>
              </a:prstClr>
            </a:outerShdw>
          </a:effectLst>
        </c:spPr>
      </c:pivotFmt>
      <c:pivotFmt>
        <c:idx val="112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6645224000294717"/>
          <c:y val="3.0193166928520265E-2"/>
          <c:w val="0.65766948444084228"/>
          <c:h val="0.59933817270199663"/>
        </c:manualLayout>
      </c:layout>
      <c:pieChart>
        <c:varyColors val="1"/>
        <c:ser>
          <c:idx val="0"/>
          <c:order val="0"/>
          <c:tx>
            <c:strRef>
              <c:f>'REV PROD '!$C$9</c:f>
              <c:strCache>
                <c:ptCount val="1"/>
                <c:pt idx="0">
                  <c:v>Entered per user</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327-499E-A686-FE5F5916EF9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327-499E-A686-FE5F5916EF9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327-499E-A686-FE5F5916EF9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327-499E-A686-FE5F5916EF9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327-499E-A686-FE5F5916EF9B}"/>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327-499E-A686-FE5F5916EF9B}"/>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F327-499E-A686-FE5F5916EF9B}"/>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F327-499E-A686-FE5F5916EF9B}"/>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F327-499E-A686-FE5F5916EF9B}"/>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80F7-4441-9A85-26EF3D59EBAC}"/>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80F7-4441-9A85-26EF3D59EBAC}"/>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7CB4-439A-9361-11AB59D14E0E}"/>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F6DD-425F-90A2-1160777929E8}"/>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1BCC-4D68-9EFC-8DB38AB8D715}"/>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999E-4EBB-BF0D-F520534F780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'REV PROD '!$B$10:$B$15</c:f>
              <c:strCache>
                <c:ptCount val="5"/>
                <c:pt idx="0">
                  <c:v>JOY</c:v>
                </c:pt>
                <c:pt idx="1">
                  <c:v>*INNLINK2WAY*</c:v>
                </c:pt>
                <c:pt idx="2">
                  <c:v>SAMI</c:v>
                </c:pt>
                <c:pt idx="3">
                  <c:v>NITHIN</c:v>
                </c:pt>
                <c:pt idx="4">
                  <c:v>0</c:v>
                </c:pt>
              </c:strCache>
            </c:strRef>
          </c:cat>
          <c:val>
            <c:numRef>
              <c:f>'REV PROD '!$C$10:$C$15</c:f>
              <c:numCache>
                <c:formatCode>_(* #,##0.00_);_(* \(#,##0.00\);_(* "-"??_);_(@_)</c:formatCode>
                <c:ptCount val="5"/>
                <c:pt idx="0">
                  <c:v>10742.27</c:v>
                </c:pt>
                <c:pt idx="1">
                  <c:v>6576.68</c:v>
                </c:pt>
                <c:pt idx="2">
                  <c:v>1072.5</c:v>
                </c:pt>
                <c:pt idx="3">
                  <c:v>0</c:v>
                </c:pt>
                <c:pt idx="4">
                  <c:v>0</c:v>
                </c:pt>
              </c:numCache>
            </c:numRef>
          </c:val>
          <c:extLst>
            <c:ext xmlns:c16="http://schemas.microsoft.com/office/drawing/2014/chart" uri="{C3380CC4-5D6E-409C-BE32-E72D297353CC}">
              <c16:uniqueId val="{00000068-D4A8-4A92-B3FF-A939503495CA}"/>
            </c:ext>
          </c:extLst>
        </c:ser>
        <c:ser>
          <c:idx val="1"/>
          <c:order val="1"/>
          <c:tx>
            <c:strRef>
              <c:f>'REV PROD '!$D$9</c:f>
              <c:strCache>
                <c:ptCount val="1"/>
                <c:pt idx="0">
                  <c:v>Entered </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F327-499E-A686-FE5F5916EF9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F327-499E-A686-FE5F5916EF9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F327-499E-A686-FE5F5916EF9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F327-499E-A686-FE5F5916EF9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F327-499E-A686-FE5F5916EF9B}"/>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F327-499E-A686-FE5F5916EF9B}"/>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F327-499E-A686-FE5F5916EF9B}"/>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F327-499E-A686-FE5F5916EF9B}"/>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F327-499E-A686-FE5F5916EF9B}"/>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80F7-4441-9A85-26EF3D59EBAC}"/>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80F7-4441-9A85-26EF3D59EBAC}"/>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7CB4-439A-9361-11AB59D14E0E}"/>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F6DD-425F-90A2-1160777929E8}"/>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1BCC-4D68-9EFC-8DB38AB8D715}"/>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999E-4EBB-BF0D-F520534F780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'REV PROD '!$B$10:$B$15</c:f>
              <c:strCache>
                <c:ptCount val="5"/>
                <c:pt idx="0">
                  <c:v>JOY</c:v>
                </c:pt>
                <c:pt idx="1">
                  <c:v>*INNLINK2WAY*</c:v>
                </c:pt>
                <c:pt idx="2">
                  <c:v>SAMI</c:v>
                </c:pt>
                <c:pt idx="3">
                  <c:v>NITHIN</c:v>
                </c:pt>
                <c:pt idx="4">
                  <c:v>0</c:v>
                </c:pt>
              </c:strCache>
            </c:strRef>
          </c:cat>
          <c:val>
            <c:numRef>
              <c:f>'REV PROD '!$D$10:$D$15</c:f>
              <c:numCache>
                <c:formatCode>General</c:formatCode>
                <c:ptCount val="5"/>
                <c:pt idx="0">
                  <c:v>8</c:v>
                </c:pt>
                <c:pt idx="1">
                  <c:v>11</c:v>
                </c:pt>
                <c:pt idx="2">
                  <c:v>2</c:v>
                </c:pt>
                <c:pt idx="3">
                  <c:v>2</c:v>
                </c:pt>
                <c:pt idx="4">
                  <c:v>0</c:v>
                </c:pt>
              </c:numCache>
            </c:numRef>
          </c:val>
          <c:extLst>
            <c:ext xmlns:c16="http://schemas.microsoft.com/office/drawing/2014/chart" uri="{C3380CC4-5D6E-409C-BE32-E72D297353CC}">
              <c16:uniqueId val="{00000069-D4A8-4A92-B3FF-A939503495CA}"/>
            </c:ext>
          </c:extLst>
        </c:ser>
        <c:ser>
          <c:idx val="2"/>
          <c:order val="2"/>
          <c:tx>
            <c:strRef>
              <c:f>'REV PROD '!$E$9</c:f>
              <c:strCache>
                <c:ptCount val="1"/>
                <c:pt idx="0">
                  <c:v>Errors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F327-499E-A686-FE5F5916EF9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F327-499E-A686-FE5F5916EF9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F327-499E-A686-FE5F5916EF9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F327-499E-A686-FE5F5916EF9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F327-499E-A686-FE5F5916EF9B}"/>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F327-499E-A686-FE5F5916EF9B}"/>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F327-499E-A686-FE5F5916EF9B}"/>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F327-499E-A686-FE5F5916EF9B}"/>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F327-499E-A686-FE5F5916EF9B}"/>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80F7-4441-9A85-26EF3D59EBAC}"/>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80F7-4441-9A85-26EF3D59EBAC}"/>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7-7CB4-439A-9361-11AB59D14E0E}"/>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F6DD-425F-90A2-1160777929E8}"/>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3-1BCC-4D68-9EFC-8DB38AB8D715}"/>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9-999E-4EBB-BF0D-F520534F780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'REV PROD '!$B$10:$B$15</c:f>
              <c:strCache>
                <c:ptCount val="5"/>
                <c:pt idx="0">
                  <c:v>JOY</c:v>
                </c:pt>
                <c:pt idx="1">
                  <c:v>*INNLINK2WAY*</c:v>
                </c:pt>
                <c:pt idx="2">
                  <c:v>SAMI</c:v>
                </c:pt>
                <c:pt idx="3">
                  <c:v>NITHIN</c:v>
                </c:pt>
                <c:pt idx="4">
                  <c:v>0</c:v>
                </c:pt>
              </c:strCache>
            </c:strRef>
          </c:cat>
          <c:val>
            <c:numRef>
              <c:f>'REV PROD '!$E$10:$E$15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6A-D4A8-4A92-B3FF-A939503495CA}"/>
            </c:ext>
          </c:extLst>
        </c:ser>
        <c:ser>
          <c:idx val="3"/>
          <c:order val="3"/>
          <c:tx>
            <c:strRef>
              <c:f>'REV PROD '!$F$9</c:f>
              <c:strCache>
                <c:ptCount val="1"/>
                <c:pt idx="0">
                  <c:v>Checked</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F327-499E-A686-FE5F5916EF9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F327-499E-A686-FE5F5916EF9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F327-499E-A686-FE5F5916EF9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F327-499E-A686-FE5F5916EF9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F327-499E-A686-FE5F5916EF9B}"/>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F327-499E-A686-FE5F5916EF9B}"/>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F327-499E-A686-FE5F5916EF9B}"/>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5-F327-499E-A686-FE5F5916EF9B}"/>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7-F327-499E-A686-FE5F5916EF9B}"/>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5-80F7-4441-9A85-26EF3D59EBAC}"/>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7-80F7-4441-9A85-26EF3D59EBAC}"/>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F-7CB4-439A-9361-11AB59D14E0E}"/>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F6DD-425F-90A2-1160777929E8}"/>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1BCC-4D68-9EFC-8DB38AB8D715}"/>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7-999E-4EBB-BF0D-F520534F780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'REV PROD '!$B$10:$B$15</c:f>
              <c:strCache>
                <c:ptCount val="5"/>
                <c:pt idx="0">
                  <c:v>JOY</c:v>
                </c:pt>
                <c:pt idx="1">
                  <c:v>*INNLINK2WAY*</c:v>
                </c:pt>
                <c:pt idx="2">
                  <c:v>SAMI</c:v>
                </c:pt>
                <c:pt idx="3">
                  <c:v>NITHIN</c:v>
                </c:pt>
                <c:pt idx="4">
                  <c:v>0</c:v>
                </c:pt>
              </c:strCache>
            </c:strRef>
          </c:cat>
          <c:val>
            <c:numRef>
              <c:f>'REV PROD '!$F$10:$F$15</c:f>
              <c:numCache>
                <c:formatCode>General</c:formatCode>
                <c:ptCount val="5"/>
                <c:pt idx="0">
                  <c:v>0</c:v>
                </c:pt>
                <c:pt idx="1">
                  <c:v>1</c:v>
                </c:pt>
                <c:pt idx="2">
                  <c:v>0</c:v>
                </c:pt>
                <c:pt idx="3">
                  <c:v>0</c:v>
                </c:pt>
                <c:pt idx="4">
                  <c:v>0</c:v>
                </c:pt>
              </c:numCache>
            </c:numRef>
          </c:val>
          <c:extLst>
            <c:ext xmlns:c16="http://schemas.microsoft.com/office/drawing/2014/chart" uri="{C3380CC4-5D6E-409C-BE32-E72D297353CC}">
              <c16:uniqueId val="{0000006B-D4A8-4A92-B3FF-A939503495CA}"/>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
          <c:y val="0.60140121388003043"/>
          <c:w val="1"/>
          <c:h val="0.3985987690997844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[23-08-2025 Entered On.xlsm]REV PROD !PivotTable1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CA"/>
              <a:t>Nights Booked per Room</a:t>
            </a:r>
          </a:p>
        </c:rich>
      </c:tx>
      <c:layout>
        <c:manualLayout>
          <c:xMode val="edge"/>
          <c:yMode val="edge"/>
          <c:x val="0.42987330384000061"/>
          <c:y val="1.975609033970247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162456606934891E-2"/>
          <c:y val="0.1013318875751732"/>
          <c:w val="0.95351451543890886"/>
          <c:h val="0.75717747504681643"/>
        </c:manualLayout>
      </c:layout>
      <c:barChart>
        <c:barDir val="col"/>
        <c:grouping val="clustered"/>
        <c:varyColors val="0"/>
        <c:ser>
          <c:idx val="0"/>
          <c:order val="0"/>
          <c:tx>
            <c:strRef>
              <c:f>'REV PROD '!$C$100</c:f>
              <c:strCache>
                <c:ptCount val="1"/>
                <c:pt idx="0">
                  <c:v>Room Nights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 PROD '!$B$101:$B$107</c:f>
              <c:strCache>
                <c:ptCount val="6"/>
                <c:pt idx="0">
                  <c:v>0</c:v>
                </c:pt>
                <c:pt idx="1">
                  <c:v>SK</c:v>
                </c:pt>
                <c:pt idx="2">
                  <c:v>1BA</c:v>
                </c:pt>
                <c:pt idx="3">
                  <c:v>PM</c:v>
                </c:pt>
                <c:pt idx="4">
                  <c:v>BS</c:v>
                </c:pt>
                <c:pt idx="5">
                  <c:v>FS</c:v>
                </c:pt>
              </c:strCache>
            </c:strRef>
          </c:cat>
          <c:val>
            <c:numRef>
              <c:f>'REV PROD '!$C$101:$C$107</c:f>
              <c:numCache>
                <c:formatCode>General</c:formatCode>
                <c:ptCount val="6"/>
                <c:pt idx="0">
                  <c:v>0</c:v>
                </c:pt>
                <c:pt idx="1">
                  <c:v>43</c:v>
                </c:pt>
                <c:pt idx="2">
                  <c:v>1</c:v>
                </c:pt>
                <c:pt idx="3">
                  <c:v>0</c:v>
                </c:pt>
                <c:pt idx="4">
                  <c:v>10</c:v>
                </c:pt>
                <c:pt idx="5">
                  <c:v>1</c:v>
                </c:pt>
              </c:numCache>
            </c:numRef>
          </c:val>
          <c:extLst>
            <c:ext xmlns:c16="http://schemas.microsoft.com/office/drawing/2014/chart" uri="{C3380CC4-5D6E-409C-BE32-E72D297353CC}">
              <c16:uniqueId val="{00000000-F5E2-4F53-96EE-2BC4A962D07E}"/>
            </c:ext>
          </c:extLst>
        </c:ser>
        <c:ser>
          <c:idx val="1"/>
          <c:order val="1"/>
          <c:tx>
            <c:strRef>
              <c:f>'REV PROD '!$D$100</c:f>
              <c:strCache>
                <c:ptCount val="1"/>
                <c:pt idx="0">
                  <c:v>Entered No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 PROD '!$B$101:$B$107</c:f>
              <c:strCache>
                <c:ptCount val="6"/>
                <c:pt idx="0">
                  <c:v>0</c:v>
                </c:pt>
                <c:pt idx="1">
                  <c:v>SK</c:v>
                </c:pt>
                <c:pt idx="2">
                  <c:v>1BA</c:v>
                </c:pt>
                <c:pt idx="3">
                  <c:v>PM</c:v>
                </c:pt>
                <c:pt idx="4">
                  <c:v>BS</c:v>
                </c:pt>
                <c:pt idx="5">
                  <c:v>FS</c:v>
                </c:pt>
              </c:strCache>
            </c:strRef>
          </c:cat>
          <c:val>
            <c:numRef>
              <c:f>'REV PROD '!$D$101:$D$107</c:f>
              <c:numCache>
                <c:formatCode>General</c:formatCode>
                <c:ptCount val="6"/>
                <c:pt idx="0">
                  <c:v>0</c:v>
                </c:pt>
                <c:pt idx="1">
                  <c:v>13</c:v>
                </c:pt>
                <c:pt idx="2">
                  <c:v>3</c:v>
                </c:pt>
                <c:pt idx="3">
                  <c:v>2</c:v>
                </c:pt>
                <c:pt idx="4">
                  <c:v>4</c:v>
                </c:pt>
                <c:pt idx="5">
                  <c:v>1</c:v>
                </c:pt>
              </c:numCache>
            </c:numRef>
          </c:val>
          <c:extLst>
            <c:ext xmlns:c16="http://schemas.microsoft.com/office/drawing/2014/chart" uri="{C3380CC4-5D6E-409C-BE32-E72D297353CC}">
              <c16:uniqueId val="{00000001-DF65-4507-929A-2EAEA2D62EB8}"/>
            </c:ext>
          </c:extLst>
        </c:ser>
        <c:dLbls>
          <c:dLblPos val="inEnd"/>
          <c:showLegendKey val="0"/>
          <c:showVal val="1"/>
          <c:showCatName val="0"/>
          <c:showSerName val="0"/>
          <c:showPercent val="0"/>
          <c:showBubbleSize val="0"/>
        </c:dLbls>
        <c:gapWidth val="100"/>
        <c:overlap val="-24"/>
        <c:axId val="604165744"/>
        <c:axId val="604164664"/>
      </c:barChart>
      <c:catAx>
        <c:axId val="60416574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164664"/>
        <c:crosses val="autoZero"/>
        <c:auto val="1"/>
        <c:lblAlgn val="ctr"/>
        <c:lblOffset val="100"/>
        <c:noMultiLvlLbl val="0"/>
      </c:catAx>
      <c:valAx>
        <c:axId val="604164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165744"/>
        <c:crosses val="autoZero"/>
        <c:crossBetween val="between"/>
      </c:valAx>
      <c:spPr>
        <a:noFill/>
        <a:ln>
          <a:noFill/>
        </a:ln>
        <a:effectLst/>
      </c:spPr>
    </c:plotArea>
    <c:legend>
      <c:legendPos val="r"/>
      <c:layout>
        <c:manualLayout>
          <c:xMode val="edge"/>
          <c:yMode val="edge"/>
          <c:x val="0.71849973425966218"/>
          <c:y val="1.0314976606925725E-2"/>
          <c:w val="7.4221533629998199E-2"/>
          <c:h val="0.104259650380829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[23-08-2025 Entered On.xlsm]REV PROD !PivotTable2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i="1"/>
              <a:t>Total</a:t>
            </a:r>
            <a:r>
              <a:rPr lang="en-US" i="1" baseline="0"/>
              <a:t> Room </a:t>
            </a:r>
            <a:r>
              <a:rPr lang="en-US" i="1"/>
              <a:t>Pick</a:t>
            </a:r>
            <a:r>
              <a:rPr lang="en-US" i="1" baseline="0"/>
              <a:t> up by Arrival Dates</a:t>
            </a:r>
            <a:endParaRPr lang="en-US" i="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919053432626566E-2"/>
          <c:y val="0.18066401088805753"/>
          <c:w val="0.91372383973646309"/>
          <c:h val="0.73575899781960108"/>
        </c:manualLayout>
      </c:layout>
      <c:areaChart>
        <c:grouping val="standard"/>
        <c:varyColors val="0"/>
        <c:ser>
          <c:idx val="0"/>
          <c:order val="0"/>
          <c:tx>
            <c:strRef>
              <c:f>'REV PROD '!$C$128</c:f>
              <c:strCache>
                <c:ptCount val="1"/>
                <c:pt idx="0">
                  <c:v>Total</c:v>
                </c:pt>
              </c:strCache>
            </c:strRef>
          </c:tx>
          <c:spPr>
            <a:solidFill>
              <a:schemeClr val="accent1"/>
            </a:solidFill>
            <a:ln w="25400">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 PROD '!$B$129:$B$139</c:f>
              <c:strCache>
                <c:ptCount val="10"/>
                <c:pt idx="0">
                  <c:v>23/08/2025</c:v>
                </c:pt>
                <c:pt idx="1">
                  <c:v>24/08/2025</c:v>
                </c:pt>
                <c:pt idx="2">
                  <c:v>25/08/2025</c:v>
                </c:pt>
                <c:pt idx="3">
                  <c:v>26/08/2025</c:v>
                </c:pt>
                <c:pt idx="4">
                  <c:v>28/08/2025</c:v>
                </c:pt>
                <c:pt idx="5">
                  <c:v>01/09/2025</c:v>
                </c:pt>
                <c:pt idx="6">
                  <c:v>07/09/2025</c:v>
                </c:pt>
                <c:pt idx="7">
                  <c:v>24/09/2025</c:v>
                </c:pt>
                <c:pt idx="8">
                  <c:v>28/09/2025</c:v>
                </c:pt>
                <c:pt idx="9">
                  <c:v>01/10/2025</c:v>
                </c:pt>
              </c:strCache>
            </c:strRef>
          </c:cat>
          <c:val>
            <c:numRef>
              <c:f>'REV PROD '!$C$129:$C$139</c:f>
              <c:numCache>
                <c:formatCode>General</c:formatCode>
                <c:ptCount val="10"/>
                <c:pt idx="0">
                  <c:v>7</c:v>
                </c:pt>
                <c:pt idx="1">
                  <c:v>5</c:v>
                </c:pt>
                <c:pt idx="2">
                  <c:v>1</c:v>
                </c:pt>
                <c:pt idx="3">
                  <c:v>1</c:v>
                </c:pt>
                <c:pt idx="4">
                  <c:v>2</c:v>
                </c:pt>
                <c:pt idx="5">
                  <c:v>1</c:v>
                </c:pt>
                <c:pt idx="6">
                  <c:v>1</c:v>
                </c:pt>
                <c:pt idx="7">
                  <c:v>2</c:v>
                </c:pt>
                <c:pt idx="8">
                  <c:v>1</c:v>
                </c:pt>
                <c:pt idx="9">
                  <c:v>1</c:v>
                </c:pt>
              </c:numCache>
            </c:numRef>
          </c:val>
          <c:extLst>
            <c:ext xmlns:c16="http://schemas.microsoft.com/office/drawing/2014/chart" uri="{C3380CC4-5D6E-409C-BE32-E72D297353CC}">
              <c16:uniqueId val="{00000000-051C-4EB8-82EA-D4A790D38E84}"/>
            </c:ext>
          </c:extLst>
        </c:ser>
        <c:dLbls>
          <c:showLegendKey val="0"/>
          <c:showVal val="1"/>
          <c:showCatName val="0"/>
          <c:showSerName val="0"/>
          <c:showPercent val="0"/>
          <c:showBubbleSize val="0"/>
        </c:dLbls>
        <c:axId val="1111684048"/>
        <c:axId val="1111697776"/>
      </c:areaChart>
      <c:dateAx>
        <c:axId val="1111684048"/>
        <c:scaling>
          <c:orientation val="minMax"/>
        </c:scaling>
        <c:delete val="0"/>
        <c:axPos val="b"/>
        <c:numFmt formatCode="m/d/yyyy" sourceLinked="0"/>
        <c:majorTickMark val="none"/>
        <c:minorTickMark val="in"/>
        <c:tickLblPos val="nextTo"/>
        <c:spPr>
          <a:noFill/>
          <a:ln w="9525" cap="flat" cmpd="sng" algn="ctr">
            <a:solidFill>
              <a:schemeClr val="tx1">
                <a:lumMod val="15000"/>
                <a:lumOff val="85000"/>
              </a:schemeClr>
            </a:solidFill>
            <a:round/>
          </a:ln>
          <a:effectLst/>
        </c:spPr>
        <c:txPr>
          <a:bodyPr rot="-294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1697776"/>
        <c:crosses val="autoZero"/>
        <c:auto val="0"/>
        <c:lblOffset val="100"/>
        <c:baseTimeUnit val="days"/>
      </c:dateAx>
      <c:valAx>
        <c:axId val="11116977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1684048"/>
        <c:crossesAt val="1"/>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[23-08-2025 Entered On.xlsm]REV PROD !PivotTable1</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pivotFmt>
      <c:pivotFmt>
        <c:idx val="31"/>
        <c:spPr>
          <a:solidFill>
            <a:schemeClr val="accent1"/>
          </a:solidFill>
          <a:ln>
            <a:noFill/>
          </a:ln>
          <a:effectLst>
            <a:outerShdw blurRad="254000" sx="102000" sy="102000" algn="ctr" rotWithShape="0">
              <a:prstClr val="black">
                <a:alpha val="20000"/>
              </a:prstClr>
            </a:outerShdw>
          </a:effectLst>
        </c:spPr>
      </c:pivotFmt>
      <c:pivotFmt>
        <c:idx val="32"/>
      </c:pivotFmt>
      <c:pivotFmt>
        <c:idx val="33"/>
        <c:spPr>
          <a:solidFill>
            <a:schemeClr val="accent1"/>
          </a:solidFill>
          <a:ln>
            <a:noFill/>
          </a:ln>
          <a:effectLst>
            <a:outerShdw blurRad="254000" sx="102000" sy="102000" algn="ctr" rotWithShape="0">
              <a:prstClr val="black">
                <a:alpha val="20000"/>
              </a:prstClr>
            </a:outerShdw>
          </a:effectLst>
        </c:spPr>
      </c:pivotFmt>
      <c:pivotFmt>
        <c:idx val="34"/>
      </c:pivotFmt>
      <c:pivotFmt>
        <c:idx val="35"/>
        <c:spPr>
          <a:solidFill>
            <a:schemeClr val="accent1"/>
          </a:solidFill>
          <a:ln>
            <a:noFill/>
          </a:ln>
          <a:effectLst>
            <a:outerShdw blurRad="254000" sx="102000" sy="102000" algn="ctr" rotWithShape="0">
              <a:prstClr val="black">
                <a:alpha val="20000"/>
              </a:prstClr>
            </a:outerShdw>
          </a:effectLst>
        </c:spPr>
      </c:pivotFmt>
      <c:pivotFmt>
        <c:idx val="36"/>
      </c:pivotFmt>
      <c:pivotFmt>
        <c:idx val="37"/>
        <c:spPr>
          <a:solidFill>
            <a:schemeClr val="accent1"/>
          </a:solidFill>
          <a:ln>
            <a:noFill/>
          </a:ln>
          <a:effectLst>
            <a:outerShdw blurRad="254000" sx="102000" sy="102000" algn="ctr" rotWithShape="0">
              <a:prstClr val="black">
                <a:alpha val="20000"/>
              </a:prstClr>
            </a:outerShdw>
          </a:effectLst>
        </c:spPr>
      </c:pivotFmt>
      <c:pivotFmt>
        <c:idx val="38"/>
      </c:pivotFmt>
      <c:pivotFmt>
        <c:idx val="39"/>
        <c:spPr>
          <a:solidFill>
            <a:schemeClr val="accent1"/>
          </a:solidFill>
          <a:ln>
            <a:noFill/>
          </a:ln>
          <a:effectLst>
            <a:outerShdw blurRad="254000" sx="102000" sy="102000" algn="ctr" rotWithShape="0">
              <a:prstClr val="black">
                <a:alpha val="20000"/>
              </a:prstClr>
            </a:outerShdw>
          </a:effectLst>
        </c:spPr>
      </c:pivotFmt>
      <c:pivotFmt>
        <c:idx val="40"/>
      </c:pivotFmt>
      <c:pivotFmt>
        <c:idx val="41"/>
        <c:spPr>
          <a:solidFill>
            <a:schemeClr val="accent1"/>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solidFill>
            <a:schemeClr val="accent1"/>
          </a:solidFill>
          <a:ln>
            <a:noFill/>
          </a:ln>
          <a:effectLst>
            <a:outerShdw blurRad="254000" sx="102000" sy="102000" algn="ctr" rotWithShape="0">
              <a:prstClr val="black">
                <a:alpha val="20000"/>
              </a:prstClr>
            </a:outerShdw>
          </a:effectLst>
        </c:spPr>
      </c:pivotFmt>
      <c:pivotFmt>
        <c:idx val="72"/>
        <c:spPr>
          <a:solidFill>
            <a:schemeClr val="accent1"/>
          </a:solidFill>
          <a:ln>
            <a:noFill/>
          </a:ln>
          <a:effectLst>
            <a:outerShdw blurRad="254000" sx="102000" sy="102000" algn="ctr" rotWithShape="0">
              <a:prstClr val="black">
                <a:alpha val="20000"/>
              </a:prstClr>
            </a:outerShdw>
          </a:effectLst>
        </c:spPr>
      </c:pivotFmt>
      <c:pivotFmt>
        <c:idx val="73"/>
        <c:spPr>
          <a:solidFill>
            <a:schemeClr val="accent1"/>
          </a:solidFill>
          <a:ln>
            <a:noFill/>
          </a:ln>
          <a:effectLst>
            <a:outerShdw blurRad="254000" sx="102000" sy="102000" algn="ctr" rotWithShape="0">
              <a:prstClr val="black">
                <a:alpha val="20000"/>
              </a:prstClr>
            </a:outerShdw>
          </a:effectLst>
        </c:spPr>
      </c:pivotFmt>
      <c:pivotFmt>
        <c:idx val="74"/>
        <c:spPr>
          <a:solidFill>
            <a:schemeClr val="accent1"/>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pivotFmt>
      <c:pivotFmt>
        <c:idx val="76"/>
        <c:spPr>
          <a:solidFill>
            <a:schemeClr val="accent1"/>
          </a:solidFill>
          <a:ln>
            <a:noFill/>
          </a:ln>
          <a:effectLst>
            <a:outerShdw blurRad="254000" sx="102000" sy="102000" algn="ctr" rotWithShape="0">
              <a:prstClr val="black">
                <a:alpha val="20000"/>
              </a:prstClr>
            </a:outerShdw>
          </a:effectLst>
        </c:spPr>
      </c:pivotFmt>
      <c:pivotFmt>
        <c:idx val="77"/>
        <c:spPr>
          <a:solidFill>
            <a:schemeClr val="accent1"/>
          </a:solidFill>
          <a:ln>
            <a:noFill/>
          </a:ln>
          <a:effectLst>
            <a:outerShdw blurRad="254000" sx="102000" sy="102000" algn="ctr" rotWithShape="0">
              <a:prstClr val="black">
                <a:alpha val="20000"/>
              </a:prstClr>
            </a:outerShdw>
          </a:effectLst>
        </c:spPr>
      </c:pivotFmt>
      <c:pivotFmt>
        <c:idx val="78"/>
        <c:spPr>
          <a:solidFill>
            <a:schemeClr val="accent1"/>
          </a:solidFill>
          <a:ln>
            <a:noFill/>
          </a:ln>
          <a:effectLst>
            <a:outerShdw blurRad="254000" sx="102000" sy="102000" algn="ctr" rotWithShape="0">
              <a:prstClr val="black">
                <a:alpha val="20000"/>
              </a:prstClr>
            </a:outerShdw>
          </a:effectLst>
        </c:spPr>
      </c:pivotFmt>
      <c:pivotFmt>
        <c:idx val="7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80"/>
        <c:spPr>
          <a:solidFill>
            <a:schemeClr val="accent1"/>
          </a:solidFill>
          <a:ln>
            <a:noFill/>
          </a:ln>
          <a:effectLst>
            <a:outerShdw blurRad="254000" sx="102000" sy="102000" algn="ctr" rotWithShape="0">
              <a:prstClr val="black">
                <a:alpha val="20000"/>
              </a:prstClr>
            </a:outerShdw>
          </a:effectLst>
        </c:spPr>
      </c:pivotFmt>
      <c:pivotFmt>
        <c:idx val="81"/>
        <c:spPr>
          <a:solidFill>
            <a:schemeClr val="accent1"/>
          </a:solidFill>
          <a:ln>
            <a:noFill/>
          </a:ln>
          <a:effectLst>
            <a:outerShdw blurRad="254000" sx="102000" sy="102000" algn="ctr" rotWithShape="0">
              <a:prstClr val="black">
                <a:alpha val="20000"/>
              </a:prstClr>
            </a:outerShdw>
          </a:effectLst>
        </c:spPr>
      </c:pivotFmt>
      <c:pivotFmt>
        <c:idx val="82"/>
        <c:spPr>
          <a:solidFill>
            <a:schemeClr val="accent1"/>
          </a:solidFill>
          <a:ln>
            <a:noFill/>
          </a:ln>
          <a:effectLst>
            <a:outerShdw blurRad="254000" sx="102000" sy="102000" algn="ctr" rotWithShape="0">
              <a:prstClr val="black">
                <a:alpha val="20000"/>
              </a:prstClr>
            </a:outerShdw>
          </a:effectLst>
        </c:spPr>
      </c:pivotFmt>
      <c:pivotFmt>
        <c:idx val="83"/>
        <c:spPr>
          <a:solidFill>
            <a:schemeClr val="accent1"/>
          </a:solidFill>
          <a:ln>
            <a:noFill/>
          </a:ln>
          <a:effectLst>
            <a:outerShdw blurRad="254000" sx="102000" sy="102000" algn="ctr" rotWithShape="0">
              <a:prstClr val="black">
                <a:alpha val="20000"/>
              </a:prstClr>
            </a:outerShdw>
          </a:effectLst>
        </c:spPr>
      </c:pivotFmt>
      <c:pivotFmt>
        <c:idx val="84"/>
        <c:spPr>
          <a:solidFill>
            <a:schemeClr val="accent1"/>
          </a:solidFill>
          <a:ln>
            <a:noFill/>
          </a:ln>
          <a:effectLst>
            <a:outerShdw blurRad="254000" sx="102000" sy="102000" algn="ctr" rotWithShape="0">
              <a:prstClr val="black">
                <a:alpha val="20000"/>
              </a:prstClr>
            </a:outerShdw>
          </a:effectLst>
        </c:spPr>
      </c:pivotFmt>
      <c:pivotFmt>
        <c:idx val="85"/>
        <c:spPr>
          <a:solidFill>
            <a:schemeClr val="accent1"/>
          </a:solidFill>
          <a:ln>
            <a:noFill/>
          </a:ln>
          <a:effectLst>
            <a:outerShdw blurRad="254000" sx="102000" sy="102000" algn="ctr" rotWithShape="0">
              <a:prstClr val="black">
                <a:alpha val="20000"/>
              </a:prstClr>
            </a:outerShdw>
          </a:effectLst>
        </c:spPr>
      </c:pivotFmt>
      <c:pivotFmt>
        <c:idx val="86"/>
        <c:spPr>
          <a:solidFill>
            <a:schemeClr val="accent1"/>
          </a:solidFill>
          <a:ln>
            <a:noFill/>
          </a:ln>
          <a:effectLst>
            <a:outerShdw blurRad="254000" sx="102000" sy="102000" algn="ctr" rotWithShape="0">
              <a:prstClr val="black">
                <a:alpha val="20000"/>
              </a:prstClr>
            </a:outerShdw>
          </a:effectLst>
        </c:spPr>
      </c:pivotFmt>
      <c:pivotFmt>
        <c:idx val="87"/>
        <c:spPr>
          <a:solidFill>
            <a:schemeClr val="accent1"/>
          </a:solidFill>
          <a:ln>
            <a:noFill/>
          </a:ln>
          <a:effectLst>
            <a:outerShdw blurRad="254000" sx="102000" sy="102000" algn="ctr" rotWithShape="0">
              <a:prstClr val="black">
                <a:alpha val="20000"/>
              </a:prstClr>
            </a:outerShdw>
          </a:effectLst>
        </c:spPr>
      </c:pivotFmt>
      <c:pivotFmt>
        <c:idx val="88"/>
        <c:spPr>
          <a:solidFill>
            <a:schemeClr val="accent1"/>
          </a:solidFill>
          <a:ln>
            <a:noFill/>
          </a:ln>
          <a:effectLst>
            <a:outerShdw blurRad="254000" sx="102000" sy="102000" algn="ctr" rotWithShape="0">
              <a:prstClr val="black">
                <a:alpha val="20000"/>
              </a:prstClr>
            </a:outerShdw>
          </a:effectLst>
        </c:spPr>
      </c:pivotFmt>
      <c:pivotFmt>
        <c:idx val="89"/>
        <c:spPr>
          <a:solidFill>
            <a:schemeClr val="accent1"/>
          </a:solidFill>
          <a:ln>
            <a:noFill/>
          </a:ln>
          <a:effectLst>
            <a:outerShdw blurRad="254000" sx="102000" sy="102000" algn="ctr" rotWithShape="0">
              <a:prstClr val="black">
                <a:alpha val="20000"/>
              </a:prstClr>
            </a:outerShdw>
          </a:effectLst>
        </c:spPr>
      </c:pivotFmt>
      <c:pivotFmt>
        <c:idx val="90"/>
        <c:spPr>
          <a:solidFill>
            <a:schemeClr val="accent1"/>
          </a:solidFill>
          <a:ln>
            <a:noFill/>
          </a:ln>
          <a:effectLst>
            <a:outerShdw blurRad="254000" sx="102000" sy="102000" algn="ctr" rotWithShape="0">
              <a:prstClr val="black">
                <a:alpha val="20000"/>
              </a:prstClr>
            </a:outerShdw>
          </a:effectLst>
        </c:spPr>
      </c:pivotFmt>
      <c:pivotFmt>
        <c:idx val="91"/>
        <c:spPr>
          <a:solidFill>
            <a:schemeClr val="accent1"/>
          </a:solidFill>
          <a:ln>
            <a:noFill/>
          </a:ln>
          <a:effectLst>
            <a:outerShdw blurRad="254000" sx="102000" sy="102000" algn="ctr" rotWithShape="0">
              <a:prstClr val="black">
                <a:alpha val="20000"/>
              </a:prstClr>
            </a:outerShdw>
          </a:effectLst>
        </c:spPr>
      </c:pivotFmt>
      <c:pivotFmt>
        <c:idx val="92"/>
        <c:spPr>
          <a:solidFill>
            <a:schemeClr val="accent1"/>
          </a:solidFill>
          <a:ln>
            <a:noFill/>
          </a:ln>
          <a:effectLst>
            <a:outerShdw blurRad="254000" sx="102000" sy="102000" algn="ctr" rotWithShape="0">
              <a:prstClr val="black">
                <a:alpha val="20000"/>
              </a:prstClr>
            </a:outerShdw>
          </a:effectLst>
        </c:spPr>
      </c:pivotFmt>
      <c:pivotFmt>
        <c:idx val="93"/>
        <c:spPr>
          <a:solidFill>
            <a:schemeClr val="accent1"/>
          </a:solidFill>
          <a:ln>
            <a:noFill/>
          </a:ln>
          <a:effectLst>
            <a:outerShdw blurRad="254000" sx="102000" sy="102000" algn="ctr" rotWithShape="0">
              <a:prstClr val="black">
                <a:alpha val="20000"/>
              </a:prstClr>
            </a:outerShdw>
          </a:effectLst>
        </c:spPr>
      </c:pivotFmt>
      <c:pivotFmt>
        <c:idx val="94"/>
        <c:spPr>
          <a:solidFill>
            <a:schemeClr val="accent1"/>
          </a:solidFill>
          <a:ln>
            <a:noFill/>
          </a:ln>
          <a:effectLst>
            <a:outerShdw blurRad="254000" sx="102000" sy="102000" algn="ctr" rotWithShape="0">
              <a:prstClr val="black">
                <a:alpha val="20000"/>
              </a:prstClr>
            </a:outerShdw>
          </a:effectLst>
        </c:spPr>
      </c:pivotFmt>
      <c:pivotFmt>
        <c:idx val="95"/>
        <c:spPr>
          <a:solidFill>
            <a:schemeClr val="accent1"/>
          </a:solidFill>
          <a:ln>
            <a:noFill/>
          </a:ln>
          <a:effectLst>
            <a:outerShdw blurRad="254000" sx="102000" sy="102000" algn="ctr" rotWithShape="0">
              <a:prstClr val="black">
                <a:alpha val="20000"/>
              </a:prstClr>
            </a:outerShdw>
          </a:effectLst>
        </c:spPr>
      </c:pivotFmt>
      <c:pivotFmt>
        <c:idx val="96"/>
        <c:spPr>
          <a:solidFill>
            <a:schemeClr val="accent1"/>
          </a:solidFill>
          <a:ln>
            <a:noFill/>
          </a:ln>
          <a:effectLst>
            <a:outerShdw blurRad="254000" sx="102000" sy="102000" algn="ctr" rotWithShape="0">
              <a:prstClr val="black">
                <a:alpha val="20000"/>
              </a:prstClr>
            </a:outerShdw>
          </a:effectLst>
        </c:spPr>
      </c:pivotFmt>
      <c:pivotFmt>
        <c:idx val="97"/>
        <c:spPr>
          <a:solidFill>
            <a:schemeClr val="accent1"/>
          </a:solidFill>
          <a:ln>
            <a:noFill/>
          </a:ln>
          <a:effectLst>
            <a:outerShdw blurRad="254000" sx="102000" sy="102000" algn="ctr" rotWithShape="0">
              <a:prstClr val="black">
                <a:alpha val="20000"/>
              </a:prstClr>
            </a:outerShdw>
          </a:effectLst>
        </c:spPr>
      </c:pivotFmt>
      <c:pivotFmt>
        <c:idx val="98"/>
        <c:spPr>
          <a:solidFill>
            <a:schemeClr val="accent1"/>
          </a:solidFill>
          <a:ln>
            <a:noFill/>
          </a:ln>
          <a:effectLst>
            <a:outerShdw blurRad="254000" sx="102000" sy="102000" algn="ctr" rotWithShape="0">
              <a:prstClr val="black">
                <a:alpha val="20000"/>
              </a:prstClr>
            </a:outerShdw>
          </a:effectLst>
        </c:spPr>
      </c:pivotFmt>
      <c:pivotFmt>
        <c:idx val="99"/>
        <c:spPr>
          <a:solidFill>
            <a:schemeClr val="accent1"/>
          </a:solidFill>
          <a:ln>
            <a:noFill/>
          </a:ln>
          <a:effectLst>
            <a:outerShdw blurRad="254000" sx="102000" sy="102000" algn="ctr" rotWithShape="0">
              <a:prstClr val="black">
                <a:alpha val="20000"/>
              </a:prstClr>
            </a:outerShdw>
          </a:effectLst>
        </c:spPr>
      </c:pivotFmt>
      <c:pivotFmt>
        <c:idx val="100"/>
        <c:spPr>
          <a:solidFill>
            <a:schemeClr val="accent1"/>
          </a:solidFill>
          <a:ln>
            <a:noFill/>
          </a:ln>
          <a:effectLst>
            <a:outerShdw blurRad="254000" sx="102000" sy="102000" algn="ctr" rotWithShape="0">
              <a:prstClr val="black">
                <a:alpha val="20000"/>
              </a:prstClr>
            </a:outerShdw>
          </a:effectLst>
        </c:spPr>
      </c:pivotFmt>
      <c:pivotFmt>
        <c:idx val="101"/>
        <c:spPr>
          <a:solidFill>
            <a:schemeClr val="accent1"/>
          </a:solidFill>
          <a:ln>
            <a:noFill/>
          </a:ln>
          <a:effectLst>
            <a:outerShdw blurRad="254000" sx="102000" sy="102000" algn="ctr" rotWithShape="0">
              <a:prstClr val="black">
                <a:alpha val="20000"/>
              </a:prstClr>
            </a:outerShdw>
          </a:effectLst>
        </c:spPr>
      </c:pivotFmt>
      <c:pivotFmt>
        <c:idx val="102"/>
        <c:spPr>
          <a:solidFill>
            <a:schemeClr val="accent1"/>
          </a:solidFill>
          <a:ln>
            <a:noFill/>
          </a:ln>
          <a:effectLst>
            <a:outerShdw blurRad="254000" sx="102000" sy="102000" algn="ctr" rotWithShape="0">
              <a:prstClr val="black">
                <a:alpha val="20000"/>
              </a:prstClr>
            </a:outerShdw>
          </a:effectLst>
        </c:spPr>
      </c:pivotFmt>
      <c:pivotFmt>
        <c:idx val="103"/>
        <c:spPr>
          <a:solidFill>
            <a:schemeClr val="accent1"/>
          </a:solidFill>
          <a:ln>
            <a:noFill/>
          </a:ln>
          <a:effectLst>
            <a:outerShdw blurRad="254000" sx="102000" sy="102000" algn="ctr" rotWithShape="0">
              <a:prstClr val="black">
                <a:alpha val="20000"/>
              </a:prstClr>
            </a:outerShdw>
          </a:effectLst>
        </c:spPr>
      </c:pivotFmt>
      <c:pivotFmt>
        <c:idx val="104"/>
        <c:spPr>
          <a:solidFill>
            <a:schemeClr val="accent1"/>
          </a:solidFill>
          <a:ln>
            <a:noFill/>
          </a:ln>
          <a:effectLst>
            <a:outerShdw blurRad="254000" sx="102000" sy="102000" algn="ctr" rotWithShape="0">
              <a:prstClr val="black">
                <a:alpha val="20000"/>
              </a:prstClr>
            </a:outerShdw>
          </a:effectLst>
        </c:spPr>
      </c:pivotFmt>
      <c:pivotFmt>
        <c:idx val="105"/>
        <c:spPr>
          <a:solidFill>
            <a:schemeClr val="accent1"/>
          </a:solidFill>
          <a:ln>
            <a:noFill/>
          </a:ln>
          <a:effectLst>
            <a:outerShdw blurRad="254000" sx="102000" sy="102000" algn="ctr" rotWithShape="0">
              <a:prstClr val="black">
                <a:alpha val="20000"/>
              </a:prstClr>
            </a:outerShdw>
          </a:effectLst>
        </c:spPr>
      </c:pivotFmt>
      <c:pivotFmt>
        <c:idx val="106"/>
        <c:spPr>
          <a:solidFill>
            <a:schemeClr val="accent1"/>
          </a:solidFill>
          <a:ln>
            <a:noFill/>
          </a:ln>
          <a:effectLst>
            <a:outerShdw blurRad="254000" sx="102000" sy="102000" algn="ctr" rotWithShape="0">
              <a:prstClr val="black">
                <a:alpha val="20000"/>
              </a:prstClr>
            </a:outerShdw>
          </a:effectLst>
        </c:spPr>
      </c:pivotFmt>
      <c:pivotFmt>
        <c:idx val="107"/>
        <c:spPr>
          <a:solidFill>
            <a:schemeClr val="accent1"/>
          </a:solidFill>
          <a:ln>
            <a:noFill/>
          </a:ln>
          <a:effectLst>
            <a:outerShdw blurRad="254000" sx="102000" sy="102000" algn="ctr" rotWithShape="0">
              <a:prstClr val="black">
                <a:alpha val="20000"/>
              </a:prstClr>
            </a:outerShdw>
          </a:effectLst>
        </c:spPr>
      </c:pivotFmt>
      <c:pivotFmt>
        <c:idx val="10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a:outerShdw blurRad="254000" sx="102000" sy="102000" algn="ctr" rotWithShape="0">
              <a:prstClr val="black">
                <a:alpha val="20000"/>
              </a:prstClr>
            </a:outerShdw>
          </a:effectLst>
        </c:spPr>
      </c:pivotFmt>
      <c:pivotFmt>
        <c:idx val="110"/>
        <c:spPr>
          <a:solidFill>
            <a:schemeClr val="accent1"/>
          </a:solidFill>
          <a:ln>
            <a:noFill/>
          </a:ln>
          <a:effectLst>
            <a:outerShdw blurRad="254000" sx="102000" sy="102000" algn="ctr" rotWithShape="0">
              <a:prstClr val="black">
                <a:alpha val="20000"/>
              </a:prstClr>
            </a:outerShdw>
          </a:effectLst>
        </c:spPr>
      </c:pivotFmt>
      <c:pivotFmt>
        <c:idx val="111"/>
        <c:spPr>
          <a:solidFill>
            <a:schemeClr val="accent1"/>
          </a:solidFill>
          <a:ln>
            <a:noFill/>
          </a:ln>
          <a:effectLst>
            <a:outerShdw blurRad="254000" sx="102000" sy="102000" algn="ctr" rotWithShape="0">
              <a:prstClr val="black">
                <a:alpha val="20000"/>
              </a:prstClr>
            </a:outerShdw>
          </a:effectLst>
        </c:spPr>
      </c:pivotFmt>
      <c:pivotFmt>
        <c:idx val="112"/>
        <c:spPr>
          <a:solidFill>
            <a:schemeClr val="accent1"/>
          </a:solidFill>
          <a:ln>
            <a:noFill/>
          </a:ln>
          <a:effectLst>
            <a:outerShdw blurRad="254000" sx="102000" sy="102000" algn="ctr" rotWithShape="0">
              <a:prstClr val="black">
                <a:alpha val="20000"/>
              </a:prstClr>
            </a:outerShdw>
          </a:effectLst>
        </c:spPr>
      </c:pivotFmt>
      <c:pivotFmt>
        <c:idx val="113"/>
        <c:spPr>
          <a:solidFill>
            <a:schemeClr val="accent1"/>
          </a:solidFill>
          <a:ln>
            <a:noFill/>
          </a:ln>
          <a:effectLst>
            <a:outerShdw blurRad="254000" sx="102000" sy="102000" algn="ctr" rotWithShape="0">
              <a:prstClr val="black">
                <a:alpha val="20000"/>
              </a:prstClr>
            </a:outerShdw>
          </a:effectLst>
        </c:spPr>
      </c:pivotFmt>
      <c:pivotFmt>
        <c:idx val="114"/>
        <c:spPr>
          <a:solidFill>
            <a:schemeClr val="accent1"/>
          </a:solidFill>
          <a:ln>
            <a:noFill/>
          </a:ln>
          <a:effectLst>
            <a:outerShdw blurRad="254000" sx="102000" sy="102000" algn="ctr" rotWithShape="0">
              <a:prstClr val="black">
                <a:alpha val="20000"/>
              </a:prstClr>
            </a:outerShdw>
          </a:effectLst>
        </c:spPr>
      </c:pivotFmt>
      <c:pivotFmt>
        <c:idx val="115"/>
        <c:spPr>
          <a:solidFill>
            <a:schemeClr val="accent1"/>
          </a:solidFill>
          <a:ln>
            <a:noFill/>
          </a:ln>
          <a:effectLst>
            <a:outerShdw blurRad="254000" sx="102000" sy="102000" algn="ctr" rotWithShape="0">
              <a:prstClr val="black">
                <a:alpha val="20000"/>
              </a:prstClr>
            </a:outerShdw>
          </a:effectLst>
        </c:spPr>
      </c:pivotFmt>
      <c:pivotFmt>
        <c:idx val="116"/>
        <c:spPr>
          <a:solidFill>
            <a:schemeClr val="accent1"/>
          </a:solidFill>
          <a:ln>
            <a:noFill/>
          </a:ln>
          <a:effectLst>
            <a:outerShdw blurRad="254000" sx="102000" sy="102000" algn="ctr" rotWithShape="0">
              <a:prstClr val="black">
                <a:alpha val="20000"/>
              </a:prstClr>
            </a:outerShdw>
          </a:effectLst>
        </c:spPr>
      </c:pivotFmt>
      <c:pivotFmt>
        <c:idx val="117"/>
        <c:spPr>
          <a:solidFill>
            <a:schemeClr val="accent1"/>
          </a:solidFill>
          <a:ln>
            <a:noFill/>
          </a:ln>
          <a:effectLst>
            <a:outerShdw blurRad="254000" sx="102000" sy="102000" algn="ctr" rotWithShape="0">
              <a:prstClr val="black">
                <a:alpha val="20000"/>
              </a:prstClr>
            </a:outerShdw>
          </a:effectLst>
        </c:spPr>
      </c:pivotFmt>
      <c:pivotFmt>
        <c:idx val="118"/>
        <c:spPr>
          <a:solidFill>
            <a:schemeClr val="accent1"/>
          </a:solidFill>
          <a:ln>
            <a:noFill/>
          </a:ln>
          <a:effectLst>
            <a:outerShdw blurRad="254000" sx="102000" sy="102000" algn="ctr" rotWithShape="0">
              <a:prstClr val="black">
                <a:alpha val="20000"/>
              </a:prstClr>
            </a:outerShdw>
          </a:effectLst>
        </c:spPr>
      </c:pivotFmt>
      <c:pivotFmt>
        <c:idx val="119"/>
        <c:spPr>
          <a:solidFill>
            <a:schemeClr val="accent1"/>
          </a:solidFill>
          <a:ln>
            <a:noFill/>
          </a:ln>
          <a:effectLst>
            <a:outerShdw blurRad="254000" sx="102000" sy="102000" algn="ctr" rotWithShape="0">
              <a:prstClr val="black">
                <a:alpha val="20000"/>
              </a:prstClr>
            </a:outerShdw>
          </a:effectLst>
        </c:spPr>
      </c:pivotFmt>
      <c:pivotFmt>
        <c:idx val="120"/>
        <c:spPr>
          <a:solidFill>
            <a:schemeClr val="accent1"/>
          </a:solidFill>
          <a:ln>
            <a:noFill/>
          </a:ln>
          <a:effectLst>
            <a:outerShdw blurRad="254000" sx="102000" sy="102000" algn="ctr" rotWithShape="0">
              <a:prstClr val="black">
                <a:alpha val="20000"/>
              </a:prstClr>
            </a:outerShdw>
          </a:effectLst>
        </c:spPr>
      </c:pivotFmt>
      <c:pivotFmt>
        <c:idx val="121"/>
        <c:spPr>
          <a:solidFill>
            <a:schemeClr val="accent1"/>
          </a:solidFill>
          <a:ln>
            <a:noFill/>
          </a:ln>
          <a:effectLst>
            <a:outerShdw blurRad="254000" sx="102000" sy="102000" algn="ctr" rotWithShape="0">
              <a:prstClr val="black">
                <a:alpha val="20000"/>
              </a:prstClr>
            </a:outerShdw>
          </a:effectLst>
        </c:spPr>
      </c:pivotFmt>
      <c:pivotFmt>
        <c:idx val="122"/>
        <c:spPr>
          <a:solidFill>
            <a:schemeClr val="accent1"/>
          </a:solidFill>
          <a:ln>
            <a:noFill/>
          </a:ln>
          <a:effectLst>
            <a:outerShdw blurRad="254000" sx="102000" sy="102000" algn="ctr" rotWithShape="0">
              <a:prstClr val="black">
                <a:alpha val="20000"/>
              </a:prstClr>
            </a:outerShdw>
          </a:effectLst>
        </c:spPr>
      </c:pivotFmt>
      <c:pivotFmt>
        <c:idx val="123"/>
        <c:spPr>
          <a:solidFill>
            <a:schemeClr val="accent1"/>
          </a:solidFill>
          <a:ln>
            <a:noFill/>
          </a:ln>
          <a:effectLst>
            <a:outerShdw blurRad="254000" sx="102000" sy="102000" algn="ctr" rotWithShape="0">
              <a:prstClr val="black">
                <a:alpha val="20000"/>
              </a:prstClr>
            </a:outerShdw>
          </a:effectLst>
        </c:spPr>
      </c:pivotFmt>
      <c:pivotFmt>
        <c:idx val="124"/>
        <c:spPr>
          <a:solidFill>
            <a:schemeClr val="accent1"/>
          </a:solidFill>
          <a:ln>
            <a:noFill/>
          </a:ln>
          <a:effectLst>
            <a:outerShdw blurRad="254000" sx="102000" sy="102000" algn="ctr" rotWithShape="0">
              <a:prstClr val="black">
                <a:alpha val="20000"/>
              </a:prstClr>
            </a:outerShdw>
          </a:effectLst>
        </c:spPr>
      </c:pivotFmt>
      <c:pivotFmt>
        <c:idx val="125"/>
        <c:spPr>
          <a:solidFill>
            <a:schemeClr val="accent1"/>
          </a:solidFill>
          <a:ln>
            <a:noFill/>
          </a:ln>
          <a:effectLst>
            <a:outerShdw blurRad="254000" sx="102000" sy="102000" algn="ctr" rotWithShape="0">
              <a:prstClr val="black">
                <a:alpha val="20000"/>
              </a:prstClr>
            </a:outerShdw>
          </a:effectLst>
        </c:spPr>
      </c:pivotFmt>
      <c:pivotFmt>
        <c:idx val="126"/>
        <c:spPr>
          <a:solidFill>
            <a:schemeClr val="accent1"/>
          </a:solidFill>
          <a:ln>
            <a:noFill/>
          </a:ln>
          <a:effectLst>
            <a:outerShdw blurRad="254000" sx="102000" sy="102000" algn="ctr" rotWithShape="0">
              <a:prstClr val="black">
                <a:alpha val="20000"/>
              </a:prstClr>
            </a:outerShdw>
          </a:effectLst>
        </c:spPr>
      </c:pivotFmt>
      <c:pivotFmt>
        <c:idx val="127"/>
        <c:spPr>
          <a:solidFill>
            <a:schemeClr val="accent1"/>
          </a:solidFill>
          <a:ln>
            <a:noFill/>
          </a:ln>
          <a:effectLst>
            <a:outerShdw blurRad="254000" sx="102000" sy="102000" algn="ctr" rotWithShape="0">
              <a:prstClr val="black">
                <a:alpha val="20000"/>
              </a:prstClr>
            </a:outerShdw>
          </a:effectLst>
        </c:spPr>
      </c:pivotFmt>
      <c:pivotFmt>
        <c:idx val="128"/>
        <c:spPr>
          <a:solidFill>
            <a:schemeClr val="accent1"/>
          </a:solidFill>
          <a:ln>
            <a:noFill/>
          </a:ln>
          <a:effectLst>
            <a:outerShdw blurRad="254000" sx="102000" sy="102000" algn="ctr" rotWithShape="0">
              <a:prstClr val="black">
                <a:alpha val="20000"/>
              </a:prstClr>
            </a:outerShdw>
          </a:effectLst>
        </c:spPr>
      </c:pivotFmt>
      <c:pivotFmt>
        <c:idx val="129"/>
        <c:spPr>
          <a:solidFill>
            <a:schemeClr val="accent1"/>
          </a:solidFill>
          <a:ln>
            <a:noFill/>
          </a:ln>
          <a:effectLst>
            <a:outerShdw blurRad="254000" sx="102000" sy="102000" algn="ctr" rotWithShape="0">
              <a:prstClr val="black">
                <a:alpha val="20000"/>
              </a:prstClr>
            </a:outerShdw>
          </a:effectLst>
        </c:spPr>
      </c:pivotFmt>
      <c:pivotFmt>
        <c:idx val="130"/>
        <c:spPr>
          <a:solidFill>
            <a:schemeClr val="accent1"/>
          </a:solidFill>
          <a:ln>
            <a:noFill/>
          </a:ln>
          <a:effectLst>
            <a:outerShdw blurRad="254000" sx="102000" sy="102000" algn="ctr" rotWithShape="0">
              <a:prstClr val="black">
                <a:alpha val="20000"/>
              </a:prstClr>
            </a:outerShdw>
          </a:effectLst>
        </c:spPr>
      </c:pivotFmt>
      <c:pivotFmt>
        <c:idx val="131"/>
        <c:spPr>
          <a:solidFill>
            <a:schemeClr val="accent1"/>
          </a:solidFill>
          <a:ln>
            <a:noFill/>
          </a:ln>
          <a:effectLst>
            <a:outerShdw blurRad="254000" sx="102000" sy="102000" algn="ctr" rotWithShape="0">
              <a:prstClr val="black">
                <a:alpha val="20000"/>
              </a:prstClr>
            </a:outerShdw>
          </a:effectLst>
        </c:spPr>
      </c:pivotFmt>
      <c:pivotFmt>
        <c:idx val="132"/>
        <c:spPr>
          <a:solidFill>
            <a:schemeClr val="accent1"/>
          </a:solidFill>
          <a:ln>
            <a:noFill/>
          </a:ln>
          <a:effectLst>
            <a:outerShdw blurRad="254000" sx="102000" sy="102000" algn="ctr" rotWithShape="0">
              <a:prstClr val="black">
                <a:alpha val="20000"/>
              </a:prstClr>
            </a:outerShdw>
          </a:effectLst>
        </c:spPr>
      </c:pivotFmt>
      <c:pivotFmt>
        <c:idx val="133"/>
        <c:spPr>
          <a:solidFill>
            <a:schemeClr val="accent1"/>
          </a:solidFill>
          <a:ln>
            <a:noFill/>
          </a:ln>
          <a:effectLst>
            <a:outerShdw blurRad="254000" sx="102000" sy="102000" algn="ctr" rotWithShape="0">
              <a:prstClr val="black">
                <a:alpha val="20000"/>
              </a:prstClr>
            </a:outerShdw>
          </a:effectLst>
        </c:spPr>
      </c:pivotFmt>
      <c:pivotFmt>
        <c:idx val="134"/>
        <c:spPr>
          <a:solidFill>
            <a:schemeClr val="accent1"/>
          </a:solidFill>
          <a:ln>
            <a:noFill/>
          </a:ln>
          <a:effectLst>
            <a:outerShdw blurRad="254000" sx="102000" sy="102000" algn="ctr" rotWithShape="0">
              <a:prstClr val="black">
                <a:alpha val="20000"/>
              </a:prstClr>
            </a:outerShdw>
          </a:effectLst>
        </c:spPr>
      </c:pivotFmt>
      <c:pivotFmt>
        <c:idx val="135"/>
        <c:spPr>
          <a:solidFill>
            <a:schemeClr val="accent1"/>
          </a:solidFill>
          <a:ln>
            <a:noFill/>
          </a:ln>
          <a:effectLst>
            <a:outerShdw blurRad="254000" sx="102000" sy="102000" algn="ctr" rotWithShape="0">
              <a:prstClr val="black">
                <a:alpha val="20000"/>
              </a:prstClr>
            </a:outerShdw>
          </a:effectLst>
        </c:spPr>
      </c:pivotFmt>
      <c:pivotFmt>
        <c:idx val="136"/>
        <c:spPr>
          <a:solidFill>
            <a:schemeClr val="accent1"/>
          </a:solidFill>
          <a:ln>
            <a:noFill/>
          </a:ln>
          <a:effectLst>
            <a:outerShdw blurRad="254000" sx="102000" sy="102000" algn="ctr" rotWithShape="0">
              <a:prstClr val="black">
                <a:alpha val="20000"/>
              </a:prstClr>
            </a:outerShdw>
          </a:effectLst>
        </c:spPr>
      </c:pivotFmt>
      <c:pivotFmt>
        <c:idx val="137"/>
        <c:spPr>
          <a:solidFill>
            <a:schemeClr val="accent1"/>
          </a:solidFill>
          <a:ln>
            <a:noFill/>
          </a:ln>
          <a:effectLst>
            <a:outerShdw blurRad="254000" sx="102000" sy="102000" algn="ctr" rotWithShape="0">
              <a:prstClr val="black">
                <a:alpha val="20000"/>
              </a:prstClr>
            </a:outerShdw>
          </a:effectLst>
        </c:spPr>
      </c:pivotFmt>
      <c:pivotFmt>
        <c:idx val="138"/>
        <c:spPr>
          <a:solidFill>
            <a:schemeClr val="accent1"/>
          </a:solidFill>
          <a:ln>
            <a:noFill/>
          </a:ln>
          <a:effectLst>
            <a:outerShdw blurRad="254000" sx="102000" sy="102000" algn="ctr" rotWithShape="0">
              <a:prstClr val="black">
                <a:alpha val="20000"/>
              </a:prstClr>
            </a:outerShdw>
          </a:effectLst>
        </c:spPr>
      </c:pivotFmt>
      <c:pivotFmt>
        <c:idx val="139"/>
        <c:spPr>
          <a:solidFill>
            <a:schemeClr val="accent1"/>
          </a:solidFill>
          <a:ln>
            <a:noFill/>
          </a:ln>
          <a:effectLst>
            <a:outerShdw blurRad="254000" sx="102000" sy="102000" algn="ctr" rotWithShape="0">
              <a:prstClr val="black">
                <a:alpha val="20000"/>
              </a:prstClr>
            </a:outerShdw>
          </a:effectLst>
        </c:spPr>
      </c:pivotFmt>
      <c:pivotFmt>
        <c:idx val="140"/>
        <c:spPr>
          <a:solidFill>
            <a:schemeClr val="accent1"/>
          </a:solidFill>
          <a:ln>
            <a:noFill/>
          </a:ln>
          <a:effectLst>
            <a:outerShdw blurRad="254000" sx="102000" sy="102000" algn="ctr" rotWithShape="0">
              <a:prstClr val="black">
                <a:alpha val="20000"/>
              </a:prstClr>
            </a:outerShdw>
          </a:effectLst>
        </c:spPr>
      </c:pivotFmt>
      <c:pivotFmt>
        <c:idx val="141"/>
        <c:spPr>
          <a:solidFill>
            <a:schemeClr val="accent1"/>
          </a:solidFill>
          <a:ln>
            <a:noFill/>
          </a:ln>
          <a:effectLst>
            <a:outerShdw blurRad="254000" sx="102000" sy="102000" algn="ctr" rotWithShape="0">
              <a:prstClr val="black">
                <a:alpha val="20000"/>
              </a:prstClr>
            </a:outerShdw>
          </a:effectLst>
        </c:spPr>
      </c:pivotFmt>
      <c:pivotFmt>
        <c:idx val="142"/>
        <c:spPr>
          <a:solidFill>
            <a:schemeClr val="accent1"/>
          </a:solidFill>
          <a:ln>
            <a:noFill/>
          </a:ln>
          <a:effectLst>
            <a:outerShdw blurRad="254000" sx="102000" sy="102000" algn="ctr" rotWithShape="0">
              <a:prstClr val="black">
                <a:alpha val="20000"/>
              </a:prstClr>
            </a:outerShdw>
          </a:effectLst>
        </c:spPr>
      </c:pivotFmt>
      <c:pivotFmt>
        <c:idx val="143"/>
        <c:spPr>
          <a:solidFill>
            <a:schemeClr val="accent1"/>
          </a:solidFill>
          <a:ln>
            <a:noFill/>
          </a:ln>
          <a:effectLst>
            <a:outerShdw blurRad="254000" sx="102000" sy="102000" algn="ctr" rotWithShape="0">
              <a:prstClr val="black">
                <a:alpha val="20000"/>
              </a:prstClr>
            </a:outerShdw>
          </a:effectLst>
        </c:spPr>
      </c:pivotFmt>
      <c:pivotFmt>
        <c:idx val="144"/>
        <c:spPr>
          <a:solidFill>
            <a:schemeClr val="accent1"/>
          </a:solidFill>
          <a:ln>
            <a:noFill/>
          </a:ln>
          <a:effectLst>
            <a:outerShdw blurRad="254000" sx="102000" sy="102000" algn="ctr" rotWithShape="0">
              <a:prstClr val="black">
                <a:alpha val="20000"/>
              </a:prstClr>
            </a:outerShdw>
          </a:effectLst>
        </c:spPr>
      </c:pivotFmt>
      <c:pivotFmt>
        <c:idx val="145"/>
        <c:spPr>
          <a:solidFill>
            <a:schemeClr val="accent1"/>
          </a:solidFill>
          <a:ln>
            <a:noFill/>
          </a:ln>
          <a:effectLst>
            <a:outerShdw blurRad="254000" sx="102000" sy="102000" algn="ctr" rotWithShape="0">
              <a:prstClr val="black">
                <a:alpha val="20000"/>
              </a:prstClr>
            </a:outerShdw>
          </a:effectLst>
        </c:spPr>
      </c:pivotFmt>
      <c:pivotFmt>
        <c:idx val="146"/>
        <c:spPr>
          <a:solidFill>
            <a:schemeClr val="accent1"/>
          </a:solidFill>
          <a:ln>
            <a:noFill/>
          </a:ln>
          <a:effectLst>
            <a:outerShdw blurRad="254000" sx="102000" sy="102000" algn="ctr" rotWithShape="0">
              <a:prstClr val="black">
                <a:alpha val="20000"/>
              </a:prstClr>
            </a:outerShdw>
          </a:effectLst>
        </c:spPr>
      </c:pivotFmt>
      <c:pivotFmt>
        <c:idx val="147"/>
        <c:spPr>
          <a:solidFill>
            <a:schemeClr val="accent1"/>
          </a:solidFill>
          <a:ln>
            <a:noFill/>
          </a:ln>
          <a:effectLst>
            <a:outerShdw blurRad="254000" sx="102000" sy="102000" algn="ctr" rotWithShape="0">
              <a:prstClr val="black">
                <a:alpha val="20000"/>
              </a:prstClr>
            </a:outerShdw>
          </a:effectLst>
        </c:spPr>
      </c:pivotFmt>
      <c:pivotFmt>
        <c:idx val="148"/>
        <c:spPr>
          <a:solidFill>
            <a:schemeClr val="accent1"/>
          </a:solidFill>
          <a:ln>
            <a:noFill/>
          </a:ln>
          <a:effectLst>
            <a:outerShdw blurRad="254000" sx="102000" sy="102000" algn="ctr" rotWithShape="0">
              <a:prstClr val="black">
                <a:alpha val="20000"/>
              </a:prstClr>
            </a:outerShdw>
          </a:effectLst>
        </c:spPr>
      </c:pivotFmt>
      <c:pivotFmt>
        <c:idx val="149"/>
        <c:spPr>
          <a:solidFill>
            <a:schemeClr val="accent1"/>
          </a:solidFill>
          <a:ln>
            <a:noFill/>
          </a:ln>
          <a:effectLst>
            <a:outerShdw blurRad="254000" sx="102000" sy="102000" algn="ctr" rotWithShape="0">
              <a:prstClr val="black">
                <a:alpha val="20000"/>
              </a:prstClr>
            </a:outerShdw>
          </a:effectLst>
        </c:spPr>
      </c:pivotFmt>
      <c:pivotFmt>
        <c:idx val="150"/>
        <c:spPr>
          <a:solidFill>
            <a:schemeClr val="accent1"/>
          </a:solidFill>
          <a:ln>
            <a:noFill/>
          </a:ln>
          <a:effectLst>
            <a:outerShdw blurRad="254000" sx="102000" sy="102000" algn="ctr" rotWithShape="0">
              <a:prstClr val="black">
                <a:alpha val="20000"/>
              </a:prstClr>
            </a:outerShdw>
          </a:effectLst>
        </c:spPr>
      </c:pivotFmt>
      <c:pivotFmt>
        <c:idx val="151"/>
        <c:spPr>
          <a:solidFill>
            <a:schemeClr val="accent1"/>
          </a:solidFill>
          <a:ln>
            <a:noFill/>
          </a:ln>
          <a:effectLst>
            <a:outerShdw blurRad="254000" sx="102000" sy="102000" algn="ctr" rotWithShape="0">
              <a:prstClr val="black">
                <a:alpha val="20000"/>
              </a:prstClr>
            </a:outerShdw>
          </a:effectLst>
        </c:spPr>
      </c:pivotFmt>
      <c:pivotFmt>
        <c:idx val="152"/>
        <c:spPr>
          <a:solidFill>
            <a:schemeClr val="accent1"/>
          </a:solidFill>
          <a:ln>
            <a:noFill/>
          </a:ln>
          <a:effectLst>
            <a:outerShdw blurRad="254000" sx="102000" sy="102000" algn="ctr" rotWithShape="0">
              <a:prstClr val="black">
                <a:alpha val="20000"/>
              </a:prstClr>
            </a:outerShdw>
          </a:effectLst>
        </c:spPr>
      </c:pivotFmt>
      <c:pivotFmt>
        <c:idx val="153"/>
        <c:spPr>
          <a:solidFill>
            <a:schemeClr val="accent1"/>
          </a:solidFill>
          <a:ln>
            <a:noFill/>
          </a:ln>
          <a:effectLst>
            <a:outerShdw blurRad="254000" sx="102000" sy="102000" algn="ctr" rotWithShape="0">
              <a:prstClr val="black">
                <a:alpha val="20000"/>
              </a:prstClr>
            </a:outerShdw>
          </a:effectLst>
        </c:spPr>
      </c:pivotFmt>
      <c:pivotFmt>
        <c:idx val="154"/>
        <c:spPr>
          <a:solidFill>
            <a:schemeClr val="accent1"/>
          </a:solidFill>
          <a:ln>
            <a:noFill/>
          </a:ln>
          <a:effectLst>
            <a:outerShdw blurRad="254000" sx="102000" sy="102000" algn="ctr" rotWithShape="0">
              <a:prstClr val="black">
                <a:alpha val="20000"/>
              </a:prstClr>
            </a:outerShdw>
          </a:effectLst>
        </c:spPr>
      </c:pivotFmt>
      <c:pivotFmt>
        <c:idx val="155"/>
        <c:spPr>
          <a:solidFill>
            <a:schemeClr val="accent1"/>
          </a:solidFill>
          <a:ln>
            <a:noFill/>
          </a:ln>
          <a:effectLst>
            <a:outerShdw blurRad="254000" sx="102000" sy="102000" algn="ctr" rotWithShape="0">
              <a:prstClr val="black">
                <a:alpha val="20000"/>
              </a:prstClr>
            </a:outerShdw>
          </a:effectLst>
        </c:spPr>
      </c:pivotFmt>
      <c:pivotFmt>
        <c:idx val="156"/>
        <c:spPr>
          <a:solidFill>
            <a:schemeClr val="accent1"/>
          </a:solidFill>
          <a:ln>
            <a:noFill/>
          </a:ln>
          <a:effectLst>
            <a:outerShdw blurRad="254000" sx="102000" sy="102000" algn="ctr" rotWithShape="0">
              <a:prstClr val="black">
                <a:alpha val="20000"/>
              </a:prstClr>
            </a:outerShdw>
          </a:effectLst>
        </c:spPr>
      </c:pivotFmt>
      <c:pivotFmt>
        <c:idx val="157"/>
        <c:spPr>
          <a:solidFill>
            <a:schemeClr val="accent1"/>
          </a:solidFill>
          <a:ln>
            <a:noFill/>
          </a:ln>
          <a:effectLst>
            <a:outerShdw blurRad="254000" sx="102000" sy="102000" algn="ctr" rotWithShape="0">
              <a:prstClr val="black">
                <a:alpha val="20000"/>
              </a:prstClr>
            </a:outerShdw>
          </a:effectLst>
        </c:spPr>
      </c:pivotFmt>
      <c:pivotFmt>
        <c:idx val="158"/>
        <c:spPr>
          <a:solidFill>
            <a:schemeClr val="accent1"/>
          </a:solidFill>
          <a:ln>
            <a:noFill/>
          </a:ln>
          <a:effectLst>
            <a:outerShdw blurRad="254000" sx="102000" sy="102000" algn="ctr" rotWithShape="0">
              <a:prstClr val="black">
                <a:alpha val="20000"/>
              </a:prstClr>
            </a:outerShdw>
          </a:effectLst>
        </c:spPr>
      </c:pivotFmt>
      <c:pivotFmt>
        <c:idx val="159"/>
        <c:spPr>
          <a:solidFill>
            <a:schemeClr val="accent1"/>
          </a:solidFill>
          <a:ln>
            <a:noFill/>
          </a:ln>
          <a:effectLst>
            <a:outerShdw blurRad="254000" sx="102000" sy="102000" algn="ctr" rotWithShape="0">
              <a:prstClr val="black">
                <a:alpha val="20000"/>
              </a:prstClr>
            </a:outerShdw>
          </a:effectLst>
        </c:spPr>
      </c:pivotFmt>
      <c:pivotFmt>
        <c:idx val="160"/>
        <c:spPr>
          <a:solidFill>
            <a:schemeClr val="accent1"/>
          </a:solidFill>
          <a:ln>
            <a:noFill/>
          </a:ln>
          <a:effectLst>
            <a:outerShdw blurRad="254000" sx="102000" sy="102000" algn="ctr" rotWithShape="0">
              <a:prstClr val="black">
                <a:alpha val="20000"/>
              </a:prstClr>
            </a:outerShdw>
          </a:effectLst>
        </c:spPr>
      </c:pivotFmt>
      <c:pivotFmt>
        <c:idx val="161"/>
        <c:spPr>
          <a:solidFill>
            <a:schemeClr val="accent1"/>
          </a:solidFill>
          <a:ln>
            <a:noFill/>
          </a:ln>
          <a:effectLst>
            <a:outerShdw blurRad="254000" sx="102000" sy="102000" algn="ctr" rotWithShape="0">
              <a:prstClr val="black">
                <a:alpha val="20000"/>
              </a:prstClr>
            </a:outerShdw>
          </a:effectLst>
        </c:spPr>
      </c:pivotFmt>
      <c:pivotFmt>
        <c:idx val="162"/>
        <c:spPr>
          <a:solidFill>
            <a:schemeClr val="accent1"/>
          </a:solidFill>
          <a:ln>
            <a:noFill/>
          </a:ln>
          <a:effectLst>
            <a:outerShdw blurRad="254000" sx="102000" sy="102000" algn="ctr" rotWithShape="0">
              <a:prstClr val="black">
                <a:alpha val="20000"/>
              </a:prstClr>
            </a:outerShdw>
          </a:effectLst>
        </c:spPr>
      </c:pivotFmt>
      <c:pivotFmt>
        <c:idx val="163"/>
        <c:spPr>
          <a:solidFill>
            <a:schemeClr val="accent1"/>
          </a:solidFill>
          <a:ln>
            <a:noFill/>
          </a:ln>
          <a:effectLst>
            <a:outerShdw blurRad="254000" sx="102000" sy="102000" algn="ctr" rotWithShape="0">
              <a:prstClr val="black">
                <a:alpha val="20000"/>
              </a:prstClr>
            </a:outerShdw>
          </a:effectLst>
        </c:spPr>
      </c:pivotFmt>
      <c:pivotFmt>
        <c:idx val="164"/>
        <c:spPr>
          <a:solidFill>
            <a:schemeClr val="accent1"/>
          </a:solidFill>
          <a:ln>
            <a:noFill/>
          </a:ln>
          <a:effectLst>
            <a:outerShdw blurRad="254000" sx="102000" sy="102000" algn="ctr" rotWithShape="0">
              <a:prstClr val="black">
                <a:alpha val="20000"/>
              </a:prstClr>
            </a:outerShdw>
          </a:effectLst>
        </c:spPr>
      </c:pivotFmt>
      <c:pivotFmt>
        <c:idx val="165"/>
        <c:spPr>
          <a:solidFill>
            <a:schemeClr val="accent1"/>
          </a:solidFill>
          <a:ln>
            <a:noFill/>
          </a:ln>
          <a:effectLst>
            <a:outerShdw blurRad="254000" sx="102000" sy="102000" algn="ctr" rotWithShape="0">
              <a:prstClr val="black">
                <a:alpha val="20000"/>
              </a:prstClr>
            </a:outerShdw>
          </a:effectLst>
        </c:spPr>
      </c:pivotFmt>
      <c:pivotFmt>
        <c:idx val="166"/>
        <c:spPr>
          <a:solidFill>
            <a:schemeClr val="accent1"/>
          </a:solidFill>
          <a:ln>
            <a:noFill/>
          </a:ln>
          <a:effectLst>
            <a:outerShdw blurRad="254000" sx="102000" sy="102000" algn="ctr" rotWithShape="0">
              <a:prstClr val="black">
                <a:alpha val="20000"/>
              </a:prstClr>
            </a:outerShdw>
          </a:effectLst>
        </c:spPr>
      </c:pivotFmt>
      <c:pivotFmt>
        <c:idx val="167"/>
        <c:spPr>
          <a:solidFill>
            <a:schemeClr val="accent1"/>
          </a:solidFill>
          <a:ln>
            <a:noFill/>
          </a:ln>
          <a:effectLst>
            <a:outerShdw blurRad="254000" sx="102000" sy="102000" algn="ctr" rotWithShape="0">
              <a:prstClr val="black">
                <a:alpha val="20000"/>
              </a:prstClr>
            </a:outerShdw>
          </a:effectLst>
        </c:spPr>
      </c:pivotFmt>
      <c:pivotFmt>
        <c:idx val="168"/>
        <c:spPr>
          <a:solidFill>
            <a:schemeClr val="accent1"/>
          </a:solidFill>
          <a:ln>
            <a:noFill/>
          </a:ln>
          <a:effectLst>
            <a:outerShdw blurRad="254000" sx="102000" sy="102000" algn="ctr" rotWithShape="0">
              <a:prstClr val="black">
                <a:alpha val="20000"/>
              </a:prstClr>
            </a:outerShdw>
          </a:effectLst>
        </c:spPr>
      </c:pivotFmt>
      <c:pivotFmt>
        <c:idx val="169"/>
        <c:spPr>
          <a:solidFill>
            <a:schemeClr val="accent1"/>
          </a:solidFill>
          <a:ln>
            <a:noFill/>
          </a:ln>
          <a:effectLst>
            <a:outerShdw blurRad="254000" sx="102000" sy="102000" algn="ctr" rotWithShape="0">
              <a:prstClr val="black">
                <a:alpha val="20000"/>
              </a:prstClr>
            </a:outerShdw>
          </a:effectLst>
        </c:spPr>
      </c:pivotFmt>
      <c:pivotFmt>
        <c:idx val="170"/>
        <c:spPr>
          <a:solidFill>
            <a:schemeClr val="accent1"/>
          </a:solidFill>
          <a:ln>
            <a:noFill/>
          </a:ln>
          <a:effectLst>
            <a:outerShdw blurRad="254000" sx="102000" sy="102000" algn="ctr" rotWithShape="0">
              <a:prstClr val="black">
                <a:alpha val="20000"/>
              </a:prstClr>
            </a:outerShdw>
          </a:effectLst>
        </c:spPr>
      </c:pivotFmt>
      <c:pivotFmt>
        <c:idx val="171"/>
        <c:spPr>
          <a:solidFill>
            <a:schemeClr val="accent1"/>
          </a:solidFill>
          <a:ln>
            <a:noFill/>
          </a:ln>
          <a:effectLst>
            <a:outerShdw blurRad="254000" sx="102000" sy="102000" algn="ctr" rotWithShape="0">
              <a:prstClr val="black">
                <a:alpha val="20000"/>
              </a:prstClr>
            </a:outerShdw>
          </a:effectLst>
        </c:spPr>
      </c:pivotFmt>
      <c:pivotFmt>
        <c:idx val="172"/>
        <c:spPr>
          <a:solidFill>
            <a:schemeClr val="accent1"/>
          </a:solidFill>
          <a:ln>
            <a:noFill/>
          </a:ln>
          <a:effectLst>
            <a:outerShdw blurRad="254000" sx="102000" sy="102000" algn="ctr" rotWithShape="0">
              <a:prstClr val="black">
                <a:alpha val="20000"/>
              </a:prstClr>
            </a:outerShdw>
          </a:effectLst>
        </c:spPr>
      </c:pivotFmt>
      <c:pivotFmt>
        <c:idx val="173"/>
        <c:spPr>
          <a:solidFill>
            <a:schemeClr val="accent1"/>
          </a:solidFill>
          <a:ln>
            <a:noFill/>
          </a:ln>
          <a:effectLst>
            <a:outerShdw blurRad="254000" sx="102000" sy="102000" algn="ctr" rotWithShape="0">
              <a:prstClr val="black">
                <a:alpha val="20000"/>
              </a:prstClr>
            </a:outerShdw>
          </a:effectLst>
        </c:spPr>
      </c:pivotFmt>
      <c:pivotFmt>
        <c:idx val="174"/>
        <c:spPr>
          <a:solidFill>
            <a:schemeClr val="accent1"/>
          </a:solidFill>
          <a:ln>
            <a:noFill/>
          </a:ln>
          <a:effectLst>
            <a:outerShdw blurRad="254000" sx="102000" sy="102000" algn="ctr" rotWithShape="0">
              <a:prstClr val="black">
                <a:alpha val="20000"/>
              </a:prstClr>
            </a:outerShdw>
          </a:effectLst>
        </c:spPr>
      </c:pivotFmt>
      <c:pivotFmt>
        <c:idx val="175"/>
        <c:spPr>
          <a:solidFill>
            <a:schemeClr val="accent1"/>
          </a:solidFill>
          <a:ln>
            <a:noFill/>
          </a:ln>
          <a:effectLst>
            <a:outerShdw blurRad="254000" sx="102000" sy="102000" algn="ctr" rotWithShape="0">
              <a:prstClr val="black">
                <a:alpha val="20000"/>
              </a:prstClr>
            </a:outerShdw>
          </a:effectLst>
        </c:spPr>
      </c:pivotFmt>
      <c:pivotFmt>
        <c:idx val="176"/>
        <c:spPr>
          <a:solidFill>
            <a:schemeClr val="accent1"/>
          </a:solidFill>
          <a:ln>
            <a:noFill/>
          </a:ln>
          <a:effectLst>
            <a:outerShdw blurRad="254000" sx="102000" sy="102000" algn="ctr" rotWithShape="0">
              <a:prstClr val="black">
                <a:alpha val="20000"/>
              </a:prstClr>
            </a:outerShdw>
          </a:effectLst>
        </c:spPr>
      </c:pivotFmt>
      <c:pivotFmt>
        <c:idx val="177"/>
        <c:spPr>
          <a:solidFill>
            <a:schemeClr val="accent1"/>
          </a:solidFill>
          <a:ln>
            <a:noFill/>
          </a:ln>
          <a:effectLst>
            <a:outerShdw blurRad="254000" sx="102000" sy="102000" algn="ctr" rotWithShape="0">
              <a:prstClr val="black">
                <a:alpha val="20000"/>
              </a:prstClr>
            </a:outerShdw>
          </a:effectLst>
        </c:spPr>
      </c:pivotFmt>
      <c:pivotFmt>
        <c:idx val="178"/>
        <c:spPr>
          <a:solidFill>
            <a:schemeClr val="accent1"/>
          </a:solidFill>
          <a:ln>
            <a:noFill/>
          </a:ln>
          <a:effectLst>
            <a:outerShdw blurRad="254000" sx="102000" sy="102000" algn="ctr" rotWithShape="0">
              <a:prstClr val="black">
                <a:alpha val="20000"/>
              </a:prstClr>
            </a:outerShdw>
          </a:effectLst>
        </c:spPr>
      </c:pivotFmt>
      <c:pivotFmt>
        <c:idx val="179"/>
        <c:spPr>
          <a:solidFill>
            <a:schemeClr val="accent1"/>
          </a:solidFill>
          <a:ln>
            <a:noFill/>
          </a:ln>
          <a:effectLst>
            <a:outerShdw blurRad="254000" sx="102000" sy="102000" algn="ctr" rotWithShape="0">
              <a:prstClr val="black">
                <a:alpha val="20000"/>
              </a:prstClr>
            </a:outerShdw>
          </a:effectLst>
        </c:spPr>
      </c:pivotFmt>
      <c:pivotFmt>
        <c:idx val="180"/>
        <c:spPr>
          <a:solidFill>
            <a:schemeClr val="accent1"/>
          </a:solidFill>
          <a:ln>
            <a:noFill/>
          </a:ln>
          <a:effectLst>
            <a:outerShdw blurRad="254000" sx="102000" sy="102000" algn="ctr" rotWithShape="0">
              <a:prstClr val="black">
                <a:alpha val="20000"/>
              </a:prstClr>
            </a:outerShdw>
          </a:effectLst>
        </c:spPr>
      </c:pivotFmt>
      <c:pivotFmt>
        <c:idx val="181"/>
        <c:spPr>
          <a:solidFill>
            <a:schemeClr val="accent1"/>
          </a:solidFill>
          <a:ln>
            <a:noFill/>
          </a:ln>
          <a:effectLst>
            <a:outerShdw blurRad="254000" sx="102000" sy="102000" algn="ctr" rotWithShape="0">
              <a:prstClr val="black">
                <a:alpha val="20000"/>
              </a:prstClr>
            </a:outerShdw>
          </a:effectLst>
        </c:spPr>
      </c:pivotFmt>
      <c:pivotFmt>
        <c:idx val="182"/>
        <c:spPr>
          <a:solidFill>
            <a:schemeClr val="accent1"/>
          </a:solidFill>
          <a:ln>
            <a:noFill/>
          </a:ln>
          <a:effectLst>
            <a:outerShdw blurRad="254000" sx="102000" sy="102000" algn="ctr" rotWithShape="0">
              <a:prstClr val="black">
                <a:alpha val="20000"/>
              </a:prstClr>
            </a:outerShdw>
          </a:effectLst>
        </c:spPr>
      </c:pivotFmt>
      <c:pivotFmt>
        <c:idx val="183"/>
        <c:spPr>
          <a:solidFill>
            <a:schemeClr val="accent1"/>
          </a:solidFill>
          <a:ln>
            <a:noFill/>
          </a:ln>
          <a:effectLst>
            <a:outerShdw blurRad="254000" sx="102000" sy="102000" algn="ctr" rotWithShape="0">
              <a:prstClr val="black">
                <a:alpha val="20000"/>
              </a:prstClr>
            </a:outerShdw>
          </a:effectLst>
        </c:spPr>
      </c:pivotFmt>
      <c:pivotFmt>
        <c:idx val="184"/>
        <c:spPr>
          <a:solidFill>
            <a:schemeClr val="accent1"/>
          </a:solidFill>
          <a:ln>
            <a:noFill/>
          </a:ln>
          <a:effectLst>
            <a:outerShdw blurRad="254000" sx="102000" sy="102000" algn="ctr" rotWithShape="0">
              <a:prstClr val="black">
                <a:alpha val="20000"/>
              </a:prstClr>
            </a:outerShdw>
          </a:effectLst>
        </c:spPr>
      </c:pivotFmt>
      <c:pivotFmt>
        <c:idx val="185"/>
        <c:spPr>
          <a:solidFill>
            <a:schemeClr val="accent1"/>
          </a:solidFill>
          <a:ln>
            <a:noFill/>
          </a:ln>
          <a:effectLst>
            <a:outerShdw blurRad="254000" sx="102000" sy="102000" algn="ctr" rotWithShape="0">
              <a:prstClr val="black">
                <a:alpha val="20000"/>
              </a:prstClr>
            </a:outerShdw>
          </a:effectLst>
        </c:spPr>
      </c:pivotFmt>
      <c:pivotFmt>
        <c:idx val="186"/>
        <c:spPr>
          <a:solidFill>
            <a:schemeClr val="accent1"/>
          </a:solidFill>
          <a:ln>
            <a:noFill/>
          </a:ln>
          <a:effectLst>
            <a:outerShdw blurRad="254000" sx="102000" sy="102000" algn="ctr" rotWithShape="0">
              <a:prstClr val="black">
                <a:alpha val="20000"/>
              </a:prstClr>
            </a:outerShdw>
          </a:effectLst>
        </c:spPr>
      </c:pivotFmt>
      <c:pivotFmt>
        <c:idx val="187"/>
        <c:spPr>
          <a:solidFill>
            <a:schemeClr val="accent1"/>
          </a:solidFill>
          <a:ln>
            <a:noFill/>
          </a:ln>
          <a:effectLst>
            <a:outerShdw blurRad="254000" sx="102000" sy="102000" algn="ctr" rotWithShape="0">
              <a:prstClr val="black">
                <a:alpha val="20000"/>
              </a:prstClr>
            </a:outerShdw>
          </a:effectLst>
        </c:spPr>
      </c:pivotFmt>
      <c:pivotFmt>
        <c:idx val="188"/>
        <c:spPr>
          <a:solidFill>
            <a:schemeClr val="accent1"/>
          </a:solidFill>
          <a:ln>
            <a:noFill/>
          </a:ln>
          <a:effectLst>
            <a:outerShdw blurRad="254000" sx="102000" sy="102000" algn="ctr" rotWithShape="0">
              <a:prstClr val="black">
                <a:alpha val="20000"/>
              </a:prstClr>
            </a:outerShdw>
          </a:effectLst>
        </c:spPr>
      </c:pivotFmt>
      <c:pivotFmt>
        <c:idx val="189"/>
        <c:spPr>
          <a:solidFill>
            <a:schemeClr val="accent1"/>
          </a:solidFill>
          <a:ln>
            <a:noFill/>
          </a:ln>
          <a:effectLst>
            <a:outerShdw blurRad="254000" sx="102000" sy="102000" algn="ctr" rotWithShape="0">
              <a:prstClr val="black">
                <a:alpha val="20000"/>
              </a:prstClr>
            </a:outerShdw>
          </a:effectLst>
        </c:spPr>
      </c:pivotFmt>
      <c:pivotFmt>
        <c:idx val="190"/>
        <c:spPr>
          <a:solidFill>
            <a:schemeClr val="accent1"/>
          </a:solidFill>
          <a:ln>
            <a:noFill/>
          </a:ln>
          <a:effectLst>
            <a:outerShdw blurRad="254000" sx="102000" sy="102000" algn="ctr" rotWithShape="0">
              <a:prstClr val="black">
                <a:alpha val="20000"/>
              </a:prstClr>
            </a:outerShdw>
          </a:effectLst>
        </c:spPr>
      </c:pivotFmt>
      <c:pivotFmt>
        <c:idx val="191"/>
        <c:spPr>
          <a:solidFill>
            <a:schemeClr val="accent1"/>
          </a:solidFill>
          <a:ln>
            <a:noFill/>
          </a:ln>
          <a:effectLst>
            <a:outerShdw blurRad="254000" sx="102000" sy="102000" algn="ctr" rotWithShape="0">
              <a:prstClr val="black">
                <a:alpha val="20000"/>
              </a:prstClr>
            </a:outerShdw>
          </a:effectLst>
        </c:spPr>
      </c:pivotFmt>
      <c:pivotFmt>
        <c:idx val="192"/>
        <c:spPr>
          <a:solidFill>
            <a:schemeClr val="accent1"/>
          </a:solidFill>
          <a:ln>
            <a:noFill/>
          </a:ln>
          <a:effectLst>
            <a:outerShdw blurRad="254000" sx="102000" sy="102000" algn="ctr" rotWithShape="0">
              <a:prstClr val="black">
                <a:alpha val="20000"/>
              </a:prstClr>
            </a:outerShdw>
          </a:effectLst>
        </c:spPr>
      </c:pivotFmt>
      <c:pivotFmt>
        <c:idx val="193"/>
        <c:spPr>
          <a:solidFill>
            <a:schemeClr val="accent1"/>
          </a:solidFill>
          <a:ln>
            <a:noFill/>
          </a:ln>
          <a:effectLst>
            <a:outerShdw blurRad="254000" sx="102000" sy="102000" algn="ctr" rotWithShape="0">
              <a:prstClr val="black">
                <a:alpha val="20000"/>
              </a:prstClr>
            </a:outerShdw>
          </a:effectLst>
        </c:spPr>
      </c:pivotFmt>
      <c:pivotFmt>
        <c:idx val="194"/>
        <c:spPr>
          <a:solidFill>
            <a:schemeClr val="accent1"/>
          </a:solidFill>
          <a:ln>
            <a:noFill/>
          </a:ln>
          <a:effectLst>
            <a:outerShdw blurRad="254000" sx="102000" sy="102000" algn="ctr" rotWithShape="0">
              <a:prstClr val="black">
                <a:alpha val="20000"/>
              </a:prstClr>
            </a:outerShdw>
          </a:effectLst>
        </c:spPr>
      </c:pivotFmt>
      <c:pivotFmt>
        <c:idx val="195"/>
        <c:spPr>
          <a:solidFill>
            <a:schemeClr val="accent1"/>
          </a:solidFill>
          <a:ln>
            <a:noFill/>
          </a:ln>
          <a:effectLst>
            <a:outerShdw blurRad="254000" sx="102000" sy="102000" algn="ctr" rotWithShape="0">
              <a:prstClr val="black">
                <a:alpha val="20000"/>
              </a:prstClr>
            </a:outerShdw>
          </a:effectLst>
        </c:spPr>
      </c:pivotFmt>
      <c:pivotFmt>
        <c:idx val="196"/>
        <c:spPr>
          <a:solidFill>
            <a:schemeClr val="accent1"/>
          </a:solidFill>
          <a:ln>
            <a:noFill/>
          </a:ln>
          <a:effectLst>
            <a:outerShdw blurRad="254000" sx="102000" sy="102000" algn="ctr" rotWithShape="0">
              <a:prstClr val="black">
                <a:alpha val="20000"/>
              </a:prstClr>
            </a:outerShdw>
          </a:effectLst>
        </c:spPr>
      </c:pivotFmt>
      <c:pivotFmt>
        <c:idx val="197"/>
        <c:spPr>
          <a:solidFill>
            <a:schemeClr val="accent1"/>
          </a:solidFill>
          <a:ln>
            <a:noFill/>
          </a:ln>
          <a:effectLst>
            <a:outerShdw blurRad="254000" sx="102000" sy="102000" algn="ctr" rotWithShape="0">
              <a:prstClr val="black">
                <a:alpha val="20000"/>
              </a:prstClr>
            </a:outerShdw>
          </a:effectLst>
        </c:spPr>
      </c:pivotFmt>
      <c:pivotFmt>
        <c:idx val="198"/>
        <c:spPr>
          <a:solidFill>
            <a:schemeClr val="accent1"/>
          </a:solidFill>
          <a:ln>
            <a:noFill/>
          </a:ln>
          <a:effectLst>
            <a:outerShdw blurRad="254000" sx="102000" sy="102000" algn="ctr" rotWithShape="0">
              <a:prstClr val="black">
                <a:alpha val="20000"/>
              </a:prstClr>
            </a:outerShdw>
          </a:effectLst>
        </c:spPr>
      </c:pivotFmt>
      <c:pivotFmt>
        <c:idx val="199"/>
        <c:spPr>
          <a:solidFill>
            <a:schemeClr val="accent1"/>
          </a:solidFill>
          <a:ln>
            <a:noFill/>
          </a:ln>
          <a:effectLst>
            <a:outerShdw blurRad="254000" sx="102000" sy="102000" algn="ctr" rotWithShape="0">
              <a:prstClr val="black">
                <a:alpha val="20000"/>
              </a:prstClr>
            </a:outerShdw>
          </a:effectLst>
        </c:spPr>
      </c:pivotFmt>
      <c:pivotFmt>
        <c:idx val="200"/>
        <c:spPr>
          <a:solidFill>
            <a:schemeClr val="accent1"/>
          </a:solidFill>
          <a:ln>
            <a:noFill/>
          </a:ln>
          <a:effectLst>
            <a:outerShdw blurRad="254000" sx="102000" sy="102000" algn="ctr" rotWithShape="0">
              <a:prstClr val="black">
                <a:alpha val="20000"/>
              </a:prstClr>
            </a:outerShdw>
          </a:effectLst>
        </c:spPr>
      </c:pivotFmt>
      <c:pivotFmt>
        <c:idx val="201"/>
        <c:spPr>
          <a:solidFill>
            <a:schemeClr val="accent1"/>
          </a:solidFill>
          <a:ln>
            <a:noFill/>
          </a:ln>
          <a:effectLst>
            <a:outerShdw blurRad="254000" sx="102000" sy="102000" algn="ctr" rotWithShape="0">
              <a:prstClr val="black">
                <a:alpha val="20000"/>
              </a:prstClr>
            </a:outerShdw>
          </a:effectLst>
        </c:spPr>
      </c:pivotFmt>
      <c:pivotFmt>
        <c:idx val="202"/>
        <c:spPr>
          <a:solidFill>
            <a:schemeClr val="accent1"/>
          </a:solidFill>
          <a:ln>
            <a:noFill/>
          </a:ln>
          <a:effectLst>
            <a:outerShdw blurRad="254000" sx="102000" sy="102000" algn="ctr" rotWithShape="0">
              <a:prstClr val="black">
                <a:alpha val="20000"/>
              </a:prstClr>
            </a:outerShdw>
          </a:effectLst>
        </c:spPr>
      </c:pivotFmt>
      <c:pivotFmt>
        <c:idx val="203"/>
        <c:spPr>
          <a:solidFill>
            <a:schemeClr val="accent1"/>
          </a:solidFill>
          <a:ln>
            <a:noFill/>
          </a:ln>
          <a:effectLst>
            <a:outerShdw blurRad="254000" sx="102000" sy="102000" algn="ctr" rotWithShape="0">
              <a:prstClr val="black">
                <a:alpha val="20000"/>
              </a:prstClr>
            </a:outerShdw>
          </a:effectLst>
        </c:spPr>
      </c:pivotFmt>
      <c:pivotFmt>
        <c:idx val="204"/>
        <c:spPr>
          <a:solidFill>
            <a:schemeClr val="accent1"/>
          </a:solidFill>
          <a:ln>
            <a:noFill/>
          </a:ln>
          <a:effectLst>
            <a:outerShdw blurRad="254000" sx="102000" sy="102000" algn="ctr" rotWithShape="0">
              <a:prstClr val="black">
                <a:alpha val="20000"/>
              </a:prstClr>
            </a:outerShdw>
          </a:effectLst>
        </c:spPr>
      </c:pivotFmt>
      <c:pivotFmt>
        <c:idx val="205"/>
        <c:spPr>
          <a:solidFill>
            <a:schemeClr val="accent1"/>
          </a:solidFill>
          <a:ln>
            <a:noFill/>
          </a:ln>
          <a:effectLst>
            <a:outerShdw blurRad="254000" sx="102000" sy="102000" algn="ctr" rotWithShape="0">
              <a:prstClr val="black">
                <a:alpha val="20000"/>
              </a:prstClr>
            </a:outerShdw>
          </a:effectLst>
        </c:spPr>
      </c:pivotFmt>
      <c:pivotFmt>
        <c:idx val="206"/>
        <c:spPr>
          <a:solidFill>
            <a:schemeClr val="accent1"/>
          </a:solidFill>
          <a:ln>
            <a:noFill/>
          </a:ln>
          <a:effectLst>
            <a:outerShdw blurRad="254000" sx="102000" sy="102000" algn="ctr" rotWithShape="0">
              <a:prstClr val="black">
                <a:alpha val="20000"/>
              </a:prstClr>
            </a:outerShdw>
          </a:effectLst>
        </c:spPr>
      </c:pivotFmt>
      <c:pivotFmt>
        <c:idx val="207"/>
        <c:spPr>
          <a:solidFill>
            <a:schemeClr val="accent1"/>
          </a:solidFill>
          <a:ln>
            <a:noFill/>
          </a:ln>
          <a:effectLst>
            <a:outerShdw blurRad="254000" sx="102000" sy="102000" algn="ctr" rotWithShape="0">
              <a:prstClr val="black">
                <a:alpha val="20000"/>
              </a:prstClr>
            </a:outerShdw>
          </a:effectLst>
        </c:spPr>
      </c:pivotFmt>
      <c:pivotFmt>
        <c:idx val="208"/>
        <c:spPr>
          <a:solidFill>
            <a:schemeClr val="accent1"/>
          </a:solidFill>
          <a:ln>
            <a:noFill/>
          </a:ln>
          <a:effectLst>
            <a:outerShdw blurRad="254000" sx="102000" sy="102000" algn="ctr" rotWithShape="0">
              <a:prstClr val="black">
                <a:alpha val="20000"/>
              </a:prstClr>
            </a:outerShdw>
          </a:effectLst>
        </c:spPr>
      </c:pivotFmt>
      <c:pivotFmt>
        <c:idx val="209"/>
        <c:spPr>
          <a:solidFill>
            <a:schemeClr val="accent1"/>
          </a:solidFill>
          <a:ln>
            <a:noFill/>
          </a:ln>
          <a:effectLst>
            <a:outerShdw blurRad="254000" sx="102000" sy="102000" algn="ctr" rotWithShape="0">
              <a:prstClr val="black">
                <a:alpha val="20000"/>
              </a:prstClr>
            </a:outerShdw>
          </a:effectLst>
        </c:spPr>
      </c:pivotFmt>
      <c:pivotFmt>
        <c:idx val="210"/>
        <c:spPr>
          <a:solidFill>
            <a:schemeClr val="accent1"/>
          </a:solidFill>
          <a:ln>
            <a:noFill/>
          </a:ln>
          <a:effectLst>
            <a:outerShdw blurRad="254000" sx="102000" sy="102000" algn="ctr" rotWithShape="0">
              <a:prstClr val="black">
                <a:alpha val="20000"/>
              </a:prstClr>
            </a:outerShdw>
          </a:effectLst>
        </c:spPr>
      </c:pivotFmt>
      <c:pivotFmt>
        <c:idx val="211"/>
        <c:spPr>
          <a:solidFill>
            <a:schemeClr val="accent1"/>
          </a:solidFill>
          <a:ln>
            <a:noFill/>
          </a:ln>
          <a:effectLst>
            <a:outerShdw blurRad="254000" sx="102000" sy="102000" algn="ctr" rotWithShape="0">
              <a:prstClr val="black">
                <a:alpha val="20000"/>
              </a:prstClr>
            </a:outerShdw>
          </a:effectLst>
        </c:spPr>
      </c:pivotFmt>
      <c:pivotFmt>
        <c:idx val="212"/>
        <c:spPr>
          <a:solidFill>
            <a:schemeClr val="accent1"/>
          </a:solidFill>
          <a:ln>
            <a:noFill/>
          </a:ln>
          <a:effectLst>
            <a:outerShdw blurRad="254000" sx="102000" sy="102000" algn="ctr" rotWithShape="0">
              <a:prstClr val="black">
                <a:alpha val="20000"/>
              </a:prstClr>
            </a:outerShdw>
          </a:effectLst>
        </c:spPr>
      </c:pivotFmt>
      <c:pivotFmt>
        <c:idx val="213"/>
        <c:spPr>
          <a:solidFill>
            <a:schemeClr val="accent1"/>
          </a:solidFill>
          <a:ln>
            <a:noFill/>
          </a:ln>
          <a:effectLst>
            <a:outerShdw blurRad="254000" sx="102000" sy="102000" algn="ctr" rotWithShape="0">
              <a:prstClr val="black">
                <a:alpha val="20000"/>
              </a:prstClr>
            </a:outerShdw>
          </a:effectLst>
        </c:spPr>
      </c:pivotFmt>
      <c:pivotFmt>
        <c:idx val="214"/>
        <c:spPr>
          <a:solidFill>
            <a:schemeClr val="accent1"/>
          </a:solidFill>
          <a:ln>
            <a:noFill/>
          </a:ln>
          <a:effectLst>
            <a:outerShdw blurRad="254000" sx="102000" sy="102000" algn="ctr" rotWithShape="0">
              <a:prstClr val="black">
                <a:alpha val="20000"/>
              </a:prstClr>
            </a:outerShdw>
          </a:effectLst>
        </c:spPr>
      </c:pivotFmt>
      <c:pivotFmt>
        <c:idx val="215"/>
        <c:spPr>
          <a:solidFill>
            <a:schemeClr val="accent1"/>
          </a:solidFill>
          <a:ln>
            <a:noFill/>
          </a:ln>
          <a:effectLst>
            <a:outerShdw blurRad="254000" sx="102000" sy="102000" algn="ctr" rotWithShape="0">
              <a:prstClr val="black">
                <a:alpha val="20000"/>
              </a:prstClr>
            </a:outerShdw>
          </a:effectLst>
        </c:spPr>
      </c:pivotFmt>
      <c:pivotFmt>
        <c:idx val="216"/>
        <c:spPr>
          <a:solidFill>
            <a:schemeClr val="accent1"/>
          </a:solidFill>
          <a:ln>
            <a:noFill/>
          </a:ln>
          <a:effectLst>
            <a:outerShdw blurRad="254000" sx="102000" sy="102000" algn="ctr" rotWithShape="0">
              <a:prstClr val="black">
                <a:alpha val="20000"/>
              </a:prstClr>
            </a:outerShdw>
          </a:effectLst>
        </c:spPr>
      </c:pivotFmt>
      <c:pivotFmt>
        <c:idx val="217"/>
        <c:spPr>
          <a:solidFill>
            <a:schemeClr val="accent1"/>
          </a:solidFill>
          <a:ln>
            <a:noFill/>
          </a:ln>
          <a:effectLst>
            <a:outerShdw blurRad="254000" sx="102000" sy="102000" algn="ctr" rotWithShape="0">
              <a:prstClr val="black">
                <a:alpha val="20000"/>
              </a:prstClr>
            </a:outerShdw>
          </a:effectLst>
        </c:spPr>
      </c:pivotFmt>
      <c:pivotFmt>
        <c:idx val="218"/>
        <c:spPr>
          <a:solidFill>
            <a:schemeClr val="accent1"/>
          </a:solidFill>
          <a:ln>
            <a:noFill/>
          </a:ln>
          <a:effectLst>
            <a:outerShdw blurRad="254000" sx="102000" sy="102000" algn="ctr" rotWithShape="0">
              <a:prstClr val="black">
                <a:alpha val="20000"/>
              </a:prstClr>
            </a:outerShdw>
          </a:effectLst>
        </c:spPr>
      </c:pivotFmt>
      <c:pivotFmt>
        <c:idx val="219"/>
        <c:spPr>
          <a:solidFill>
            <a:schemeClr val="accent1"/>
          </a:solidFill>
          <a:ln>
            <a:noFill/>
          </a:ln>
          <a:effectLst>
            <a:outerShdw blurRad="254000" sx="102000" sy="102000" algn="ctr" rotWithShape="0">
              <a:prstClr val="black">
                <a:alpha val="20000"/>
              </a:prstClr>
            </a:outerShdw>
          </a:effectLst>
        </c:spPr>
      </c:pivotFmt>
      <c:pivotFmt>
        <c:idx val="220"/>
        <c:spPr>
          <a:solidFill>
            <a:schemeClr val="accent1"/>
          </a:solidFill>
          <a:ln>
            <a:noFill/>
          </a:ln>
          <a:effectLst>
            <a:outerShdw blurRad="254000" sx="102000" sy="102000" algn="ctr" rotWithShape="0">
              <a:prstClr val="black">
                <a:alpha val="20000"/>
              </a:prstClr>
            </a:outerShdw>
          </a:effectLst>
        </c:spPr>
      </c:pivotFmt>
      <c:pivotFmt>
        <c:idx val="221"/>
        <c:spPr>
          <a:solidFill>
            <a:schemeClr val="accent1"/>
          </a:solidFill>
          <a:ln>
            <a:noFill/>
          </a:ln>
          <a:effectLst>
            <a:outerShdw blurRad="254000" sx="102000" sy="102000" algn="ctr" rotWithShape="0">
              <a:prstClr val="black">
                <a:alpha val="20000"/>
              </a:prstClr>
            </a:outerShdw>
          </a:effectLst>
        </c:spPr>
      </c:pivotFmt>
      <c:pivotFmt>
        <c:idx val="222"/>
        <c:spPr>
          <a:solidFill>
            <a:schemeClr val="accent1"/>
          </a:solidFill>
          <a:ln>
            <a:noFill/>
          </a:ln>
          <a:effectLst>
            <a:outerShdw blurRad="254000" sx="102000" sy="102000" algn="ctr" rotWithShape="0">
              <a:prstClr val="black">
                <a:alpha val="20000"/>
              </a:prstClr>
            </a:outerShdw>
          </a:effectLst>
        </c:spPr>
      </c:pivotFmt>
      <c:pivotFmt>
        <c:idx val="223"/>
        <c:spPr>
          <a:solidFill>
            <a:schemeClr val="accent1"/>
          </a:solidFill>
          <a:ln>
            <a:noFill/>
          </a:ln>
          <a:effectLst>
            <a:outerShdw blurRad="254000" sx="102000" sy="102000" algn="ctr" rotWithShape="0">
              <a:prstClr val="black">
                <a:alpha val="20000"/>
              </a:prstClr>
            </a:outerShdw>
          </a:effectLst>
        </c:spPr>
      </c:pivotFmt>
      <c:pivotFmt>
        <c:idx val="224"/>
        <c:spPr>
          <a:solidFill>
            <a:schemeClr val="accent1"/>
          </a:solidFill>
          <a:ln>
            <a:noFill/>
          </a:ln>
          <a:effectLst>
            <a:outerShdw blurRad="254000" sx="102000" sy="102000" algn="ctr" rotWithShape="0">
              <a:prstClr val="black">
                <a:alpha val="20000"/>
              </a:prstClr>
            </a:outerShdw>
          </a:effectLst>
        </c:spPr>
      </c:pivotFmt>
      <c:pivotFmt>
        <c:idx val="225"/>
        <c:spPr>
          <a:solidFill>
            <a:schemeClr val="accent1"/>
          </a:solidFill>
          <a:ln>
            <a:noFill/>
          </a:ln>
          <a:effectLst>
            <a:outerShdw blurRad="254000" sx="102000" sy="102000" algn="ctr" rotWithShape="0">
              <a:prstClr val="black">
                <a:alpha val="20000"/>
              </a:prstClr>
            </a:outerShdw>
          </a:effectLst>
        </c:spPr>
      </c:pivotFmt>
      <c:pivotFmt>
        <c:idx val="226"/>
        <c:spPr>
          <a:solidFill>
            <a:schemeClr val="accent1"/>
          </a:solidFill>
          <a:ln>
            <a:noFill/>
          </a:ln>
          <a:effectLst>
            <a:outerShdw blurRad="254000" sx="102000" sy="102000" algn="ctr" rotWithShape="0">
              <a:prstClr val="black">
                <a:alpha val="20000"/>
              </a:prstClr>
            </a:outerShdw>
          </a:effectLst>
        </c:spPr>
      </c:pivotFmt>
      <c:pivotFmt>
        <c:idx val="227"/>
        <c:spPr>
          <a:solidFill>
            <a:schemeClr val="accent1"/>
          </a:solidFill>
          <a:ln>
            <a:noFill/>
          </a:ln>
          <a:effectLst>
            <a:outerShdw blurRad="254000" sx="102000" sy="102000" algn="ctr" rotWithShape="0">
              <a:prstClr val="black">
                <a:alpha val="20000"/>
              </a:prstClr>
            </a:outerShdw>
          </a:effectLst>
        </c:spPr>
      </c:pivotFmt>
      <c:pivotFmt>
        <c:idx val="228"/>
        <c:spPr>
          <a:solidFill>
            <a:schemeClr val="accent1"/>
          </a:solidFill>
          <a:ln>
            <a:noFill/>
          </a:ln>
          <a:effectLst>
            <a:outerShdw blurRad="254000" sx="102000" sy="102000" algn="ctr" rotWithShape="0">
              <a:prstClr val="black">
                <a:alpha val="20000"/>
              </a:prstClr>
            </a:outerShdw>
          </a:effectLst>
        </c:spPr>
      </c:pivotFmt>
      <c:pivotFmt>
        <c:idx val="229"/>
        <c:spPr>
          <a:solidFill>
            <a:schemeClr val="accent1"/>
          </a:solidFill>
          <a:ln>
            <a:noFill/>
          </a:ln>
          <a:effectLst>
            <a:outerShdw blurRad="254000" sx="102000" sy="102000" algn="ctr" rotWithShape="0">
              <a:prstClr val="black">
                <a:alpha val="20000"/>
              </a:prstClr>
            </a:outerShdw>
          </a:effectLst>
        </c:spPr>
      </c:pivotFmt>
      <c:pivotFmt>
        <c:idx val="230"/>
        <c:spPr>
          <a:solidFill>
            <a:schemeClr val="accent1"/>
          </a:solidFill>
          <a:ln>
            <a:noFill/>
          </a:ln>
          <a:effectLst>
            <a:outerShdw blurRad="254000" sx="102000" sy="102000" algn="ctr" rotWithShape="0">
              <a:prstClr val="black">
                <a:alpha val="20000"/>
              </a:prstClr>
            </a:outerShdw>
          </a:effectLst>
        </c:spPr>
      </c:pivotFmt>
      <c:pivotFmt>
        <c:idx val="231"/>
        <c:spPr>
          <a:solidFill>
            <a:schemeClr val="accent1"/>
          </a:solidFill>
          <a:ln>
            <a:noFill/>
          </a:ln>
          <a:effectLst>
            <a:outerShdw blurRad="254000" sx="102000" sy="102000" algn="ctr" rotWithShape="0">
              <a:prstClr val="black">
                <a:alpha val="20000"/>
              </a:prstClr>
            </a:outerShdw>
          </a:effectLst>
        </c:spPr>
      </c:pivotFmt>
      <c:pivotFmt>
        <c:idx val="232"/>
        <c:spPr>
          <a:solidFill>
            <a:schemeClr val="accent1"/>
          </a:solidFill>
          <a:ln>
            <a:noFill/>
          </a:ln>
          <a:effectLst>
            <a:outerShdw blurRad="254000" sx="102000" sy="102000" algn="ctr" rotWithShape="0">
              <a:prstClr val="black">
                <a:alpha val="20000"/>
              </a:prstClr>
            </a:outerShdw>
          </a:effectLst>
        </c:spPr>
      </c:pivotFmt>
      <c:pivotFmt>
        <c:idx val="233"/>
        <c:spPr>
          <a:solidFill>
            <a:schemeClr val="accent1"/>
          </a:solidFill>
          <a:ln>
            <a:noFill/>
          </a:ln>
          <a:effectLst>
            <a:outerShdw blurRad="254000" sx="102000" sy="102000" algn="ctr" rotWithShape="0">
              <a:prstClr val="black">
                <a:alpha val="20000"/>
              </a:prstClr>
            </a:outerShdw>
          </a:effectLst>
        </c:spPr>
      </c:pivotFmt>
      <c:pivotFmt>
        <c:idx val="234"/>
        <c:spPr>
          <a:solidFill>
            <a:schemeClr val="accent1"/>
          </a:solidFill>
          <a:ln>
            <a:noFill/>
          </a:ln>
          <a:effectLst>
            <a:outerShdw blurRad="254000" sx="102000" sy="102000" algn="ctr" rotWithShape="0">
              <a:prstClr val="black">
                <a:alpha val="20000"/>
              </a:prstClr>
            </a:outerShdw>
          </a:effectLst>
        </c:spPr>
      </c:pivotFmt>
      <c:pivotFmt>
        <c:idx val="235"/>
        <c:spPr>
          <a:solidFill>
            <a:schemeClr val="accent1"/>
          </a:solidFill>
          <a:ln>
            <a:noFill/>
          </a:ln>
          <a:effectLst>
            <a:outerShdw blurRad="254000" sx="102000" sy="102000" algn="ctr" rotWithShape="0">
              <a:prstClr val="black">
                <a:alpha val="20000"/>
              </a:prstClr>
            </a:outerShdw>
          </a:effectLst>
        </c:spPr>
      </c:pivotFmt>
      <c:pivotFmt>
        <c:idx val="236"/>
        <c:spPr>
          <a:solidFill>
            <a:schemeClr val="accent1"/>
          </a:solidFill>
          <a:ln>
            <a:noFill/>
          </a:ln>
          <a:effectLst>
            <a:outerShdw blurRad="254000" sx="102000" sy="102000" algn="ctr" rotWithShape="0">
              <a:prstClr val="black">
                <a:alpha val="20000"/>
              </a:prstClr>
            </a:outerShdw>
          </a:effectLst>
        </c:spPr>
      </c:pivotFmt>
      <c:pivotFmt>
        <c:idx val="237"/>
        <c:spPr>
          <a:solidFill>
            <a:schemeClr val="accent1"/>
          </a:solidFill>
          <a:ln>
            <a:noFill/>
          </a:ln>
          <a:effectLst>
            <a:outerShdw blurRad="254000" sx="102000" sy="102000" algn="ctr" rotWithShape="0">
              <a:prstClr val="black">
                <a:alpha val="20000"/>
              </a:prstClr>
            </a:outerShdw>
          </a:effectLst>
        </c:spPr>
      </c:pivotFmt>
      <c:pivotFmt>
        <c:idx val="238"/>
        <c:spPr>
          <a:solidFill>
            <a:schemeClr val="accent1"/>
          </a:solidFill>
          <a:ln>
            <a:noFill/>
          </a:ln>
          <a:effectLst>
            <a:outerShdw blurRad="254000" sx="102000" sy="102000" algn="ctr" rotWithShape="0">
              <a:prstClr val="black">
                <a:alpha val="20000"/>
              </a:prstClr>
            </a:outerShdw>
          </a:effectLst>
        </c:spPr>
      </c:pivotFmt>
      <c:pivotFmt>
        <c:idx val="239"/>
        <c:spPr>
          <a:solidFill>
            <a:schemeClr val="accent1"/>
          </a:solidFill>
          <a:ln>
            <a:noFill/>
          </a:ln>
          <a:effectLst>
            <a:outerShdw blurRad="254000" sx="102000" sy="102000" algn="ctr" rotWithShape="0">
              <a:prstClr val="black">
                <a:alpha val="20000"/>
              </a:prstClr>
            </a:outerShdw>
          </a:effectLst>
        </c:spPr>
      </c:pivotFmt>
      <c:pivotFmt>
        <c:idx val="240"/>
        <c:spPr>
          <a:solidFill>
            <a:schemeClr val="accent1"/>
          </a:solidFill>
          <a:ln>
            <a:noFill/>
          </a:ln>
          <a:effectLst>
            <a:outerShdw blurRad="254000" sx="102000" sy="102000" algn="ctr" rotWithShape="0">
              <a:prstClr val="black">
                <a:alpha val="20000"/>
              </a:prstClr>
            </a:outerShdw>
          </a:effectLst>
        </c:spPr>
      </c:pivotFmt>
      <c:pivotFmt>
        <c:idx val="241"/>
        <c:spPr>
          <a:solidFill>
            <a:schemeClr val="accent1"/>
          </a:solidFill>
          <a:ln>
            <a:noFill/>
          </a:ln>
          <a:effectLst>
            <a:outerShdw blurRad="254000" sx="102000" sy="102000" algn="ctr" rotWithShape="0">
              <a:prstClr val="black">
                <a:alpha val="20000"/>
              </a:prstClr>
            </a:outerShdw>
          </a:effectLst>
        </c:spPr>
      </c:pivotFmt>
      <c:pivotFmt>
        <c:idx val="242"/>
        <c:spPr>
          <a:solidFill>
            <a:schemeClr val="accent1"/>
          </a:solidFill>
          <a:ln>
            <a:noFill/>
          </a:ln>
          <a:effectLst>
            <a:outerShdw blurRad="254000" sx="102000" sy="102000" algn="ctr" rotWithShape="0">
              <a:prstClr val="black">
                <a:alpha val="20000"/>
              </a:prstClr>
            </a:outerShdw>
          </a:effectLst>
        </c:spPr>
      </c:pivotFmt>
      <c:pivotFmt>
        <c:idx val="243"/>
        <c:spPr>
          <a:solidFill>
            <a:schemeClr val="accent1"/>
          </a:solidFill>
          <a:ln>
            <a:noFill/>
          </a:ln>
          <a:effectLst>
            <a:outerShdw blurRad="254000" sx="102000" sy="102000" algn="ctr" rotWithShape="0">
              <a:prstClr val="black">
                <a:alpha val="20000"/>
              </a:prstClr>
            </a:outerShdw>
          </a:effectLst>
        </c:spPr>
      </c:pivotFmt>
      <c:pivotFmt>
        <c:idx val="244"/>
        <c:spPr>
          <a:solidFill>
            <a:schemeClr val="accent1"/>
          </a:solidFill>
          <a:ln>
            <a:noFill/>
          </a:ln>
          <a:effectLst>
            <a:outerShdw blurRad="254000" sx="102000" sy="102000" algn="ctr" rotWithShape="0">
              <a:prstClr val="black">
                <a:alpha val="20000"/>
              </a:prstClr>
            </a:outerShdw>
          </a:effectLst>
        </c:spPr>
      </c:pivotFmt>
      <c:pivotFmt>
        <c:idx val="245"/>
        <c:spPr>
          <a:solidFill>
            <a:schemeClr val="accent1"/>
          </a:solidFill>
          <a:ln>
            <a:noFill/>
          </a:ln>
          <a:effectLst>
            <a:outerShdw blurRad="254000" sx="102000" sy="102000" algn="ctr" rotWithShape="0">
              <a:prstClr val="black">
                <a:alpha val="20000"/>
              </a:prstClr>
            </a:outerShdw>
          </a:effectLst>
        </c:spPr>
      </c:pivotFmt>
      <c:pivotFmt>
        <c:idx val="246"/>
        <c:spPr>
          <a:solidFill>
            <a:schemeClr val="accent1"/>
          </a:solidFill>
          <a:ln>
            <a:noFill/>
          </a:ln>
          <a:effectLst>
            <a:outerShdw blurRad="254000" sx="102000" sy="102000" algn="ctr" rotWithShape="0">
              <a:prstClr val="black">
                <a:alpha val="20000"/>
              </a:prstClr>
            </a:outerShdw>
          </a:effectLst>
        </c:spPr>
      </c:pivotFmt>
      <c:pivotFmt>
        <c:idx val="247"/>
        <c:spPr>
          <a:solidFill>
            <a:schemeClr val="accent1"/>
          </a:solidFill>
          <a:ln>
            <a:noFill/>
          </a:ln>
          <a:effectLst>
            <a:outerShdw blurRad="254000" sx="102000" sy="102000" algn="ctr" rotWithShape="0">
              <a:prstClr val="black">
                <a:alpha val="20000"/>
              </a:prstClr>
            </a:outerShdw>
          </a:effectLst>
        </c:spPr>
      </c:pivotFmt>
      <c:pivotFmt>
        <c:idx val="248"/>
        <c:spPr>
          <a:solidFill>
            <a:schemeClr val="accent1"/>
          </a:solidFill>
          <a:ln>
            <a:noFill/>
          </a:ln>
          <a:effectLst>
            <a:outerShdw blurRad="254000" sx="102000" sy="102000" algn="ctr" rotWithShape="0">
              <a:prstClr val="black">
                <a:alpha val="20000"/>
              </a:prstClr>
            </a:outerShdw>
          </a:effectLst>
        </c:spPr>
      </c:pivotFmt>
      <c:pivotFmt>
        <c:idx val="249"/>
        <c:spPr>
          <a:solidFill>
            <a:schemeClr val="accent1"/>
          </a:solidFill>
          <a:ln>
            <a:noFill/>
          </a:ln>
          <a:effectLst>
            <a:outerShdw blurRad="254000" sx="102000" sy="102000" algn="ctr" rotWithShape="0">
              <a:prstClr val="black">
                <a:alpha val="20000"/>
              </a:prstClr>
            </a:outerShdw>
          </a:effectLst>
        </c:spPr>
      </c:pivotFmt>
      <c:pivotFmt>
        <c:idx val="250"/>
        <c:spPr>
          <a:solidFill>
            <a:schemeClr val="accent1"/>
          </a:solidFill>
          <a:ln>
            <a:noFill/>
          </a:ln>
          <a:effectLst>
            <a:outerShdw blurRad="254000" sx="102000" sy="102000" algn="ctr" rotWithShape="0">
              <a:prstClr val="black">
                <a:alpha val="20000"/>
              </a:prstClr>
            </a:outerShdw>
          </a:effectLst>
        </c:spPr>
      </c:pivotFmt>
      <c:pivotFmt>
        <c:idx val="251"/>
        <c:spPr>
          <a:solidFill>
            <a:schemeClr val="accent1"/>
          </a:solidFill>
          <a:ln>
            <a:noFill/>
          </a:ln>
          <a:effectLst>
            <a:outerShdw blurRad="254000" sx="102000" sy="102000" algn="ctr" rotWithShape="0">
              <a:prstClr val="black">
                <a:alpha val="20000"/>
              </a:prstClr>
            </a:outerShdw>
          </a:effectLst>
        </c:spPr>
      </c:pivotFmt>
      <c:pivotFmt>
        <c:idx val="252"/>
        <c:spPr>
          <a:solidFill>
            <a:schemeClr val="accent1"/>
          </a:solidFill>
          <a:ln>
            <a:noFill/>
          </a:ln>
          <a:effectLst>
            <a:outerShdw blurRad="254000" sx="102000" sy="102000" algn="ctr" rotWithShape="0">
              <a:prstClr val="black">
                <a:alpha val="20000"/>
              </a:prstClr>
            </a:outerShdw>
          </a:effectLst>
        </c:spPr>
      </c:pivotFmt>
      <c:pivotFmt>
        <c:idx val="253"/>
        <c:spPr>
          <a:solidFill>
            <a:schemeClr val="accent1"/>
          </a:solidFill>
          <a:ln>
            <a:noFill/>
          </a:ln>
          <a:effectLst>
            <a:outerShdw blurRad="254000" sx="102000" sy="102000" algn="ctr" rotWithShape="0">
              <a:prstClr val="black">
                <a:alpha val="20000"/>
              </a:prstClr>
            </a:outerShdw>
          </a:effectLst>
        </c:spPr>
      </c:pivotFmt>
      <c:pivotFmt>
        <c:idx val="254"/>
        <c:spPr>
          <a:solidFill>
            <a:schemeClr val="accent1"/>
          </a:solidFill>
          <a:ln>
            <a:noFill/>
          </a:ln>
          <a:effectLst>
            <a:outerShdw blurRad="254000" sx="102000" sy="102000" algn="ctr" rotWithShape="0">
              <a:prstClr val="black">
                <a:alpha val="20000"/>
              </a:prstClr>
            </a:outerShdw>
          </a:effectLst>
        </c:spPr>
      </c:pivotFmt>
      <c:pivotFmt>
        <c:idx val="255"/>
        <c:spPr>
          <a:solidFill>
            <a:schemeClr val="accent1"/>
          </a:solidFill>
          <a:ln>
            <a:noFill/>
          </a:ln>
          <a:effectLst>
            <a:outerShdw blurRad="254000" sx="102000" sy="102000" algn="ctr" rotWithShape="0">
              <a:prstClr val="black">
                <a:alpha val="20000"/>
              </a:prstClr>
            </a:outerShdw>
          </a:effectLst>
        </c:spPr>
      </c:pivotFmt>
      <c:pivotFmt>
        <c:idx val="256"/>
        <c:spPr>
          <a:solidFill>
            <a:schemeClr val="accent1"/>
          </a:solidFill>
          <a:ln>
            <a:noFill/>
          </a:ln>
          <a:effectLst>
            <a:outerShdw blurRad="254000" sx="102000" sy="102000" algn="ctr" rotWithShape="0">
              <a:prstClr val="black">
                <a:alpha val="20000"/>
              </a:prstClr>
            </a:outerShdw>
          </a:effectLst>
        </c:spPr>
      </c:pivotFmt>
      <c:pivotFmt>
        <c:idx val="257"/>
        <c:spPr>
          <a:solidFill>
            <a:schemeClr val="accent1"/>
          </a:solidFill>
          <a:ln>
            <a:noFill/>
          </a:ln>
          <a:effectLst>
            <a:outerShdw blurRad="254000" sx="102000" sy="102000" algn="ctr" rotWithShape="0">
              <a:prstClr val="black">
                <a:alpha val="20000"/>
              </a:prstClr>
            </a:outerShdw>
          </a:effectLst>
        </c:spPr>
      </c:pivotFmt>
      <c:pivotFmt>
        <c:idx val="258"/>
        <c:spPr>
          <a:solidFill>
            <a:schemeClr val="accent1"/>
          </a:solidFill>
          <a:ln>
            <a:noFill/>
          </a:ln>
          <a:effectLst>
            <a:outerShdw blurRad="254000" sx="102000" sy="102000" algn="ctr" rotWithShape="0">
              <a:prstClr val="black">
                <a:alpha val="20000"/>
              </a:prstClr>
            </a:outerShdw>
          </a:effectLst>
        </c:spPr>
      </c:pivotFmt>
      <c:pivotFmt>
        <c:idx val="259"/>
        <c:spPr>
          <a:solidFill>
            <a:schemeClr val="accent1"/>
          </a:solidFill>
          <a:ln>
            <a:noFill/>
          </a:ln>
          <a:effectLst>
            <a:outerShdw blurRad="254000" sx="102000" sy="102000" algn="ctr" rotWithShape="0">
              <a:prstClr val="black">
                <a:alpha val="20000"/>
              </a:prstClr>
            </a:outerShdw>
          </a:effectLst>
        </c:spPr>
      </c:pivotFmt>
      <c:pivotFmt>
        <c:idx val="260"/>
        <c:spPr>
          <a:solidFill>
            <a:schemeClr val="accent1"/>
          </a:solidFill>
          <a:ln>
            <a:noFill/>
          </a:ln>
          <a:effectLst>
            <a:outerShdw blurRad="254000" sx="102000" sy="102000" algn="ctr" rotWithShape="0">
              <a:prstClr val="black">
                <a:alpha val="20000"/>
              </a:prstClr>
            </a:outerShdw>
          </a:effectLst>
        </c:spPr>
      </c:pivotFmt>
      <c:pivotFmt>
        <c:idx val="261"/>
        <c:spPr>
          <a:solidFill>
            <a:schemeClr val="accent1"/>
          </a:solidFill>
          <a:ln>
            <a:noFill/>
          </a:ln>
          <a:effectLst>
            <a:outerShdw blurRad="254000" sx="102000" sy="102000" algn="ctr" rotWithShape="0">
              <a:prstClr val="black">
                <a:alpha val="20000"/>
              </a:prstClr>
            </a:outerShdw>
          </a:effectLst>
        </c:spPr>
      </c:pivotFmt>
      <c:pivotFmt>
        <c:idx val="262"/>
        <c:spPr>
          <a:solidFill>
            <a:schemeClr val="accent1"/>
          </a:solidFill>
          <a:ln>
            <a:noFill/>
          </a:ln>
          <a:effectLst>
            <a:outerShdw blurRad="254000" sx="102000" sy="102000" algn="ctr" rotWithShape="0">
              <a:prstClr val="black">
                <a:alpha val="20000"/>
              </a:prstClr>
            </a:outerShdw>
          </a:effectLst>
        </c:spPr>
      </c:pivotFmt>
      <c:pivotFmt>
        <c:idx val="263"/>
        <c:spPr>
          <a:solidFill>
            <a:schemeClr val="accent1"/>
          </a:solidFill>
          <a:ln>
            <a:noFill/>
          </a:ln>
          <a:effectLst>
            <a:outerShdw blurRad="254000" sx="102000" sy="102000" algn="ctr" rotWithShape="0">
              <a:prstClr val="black">
                <a:alpha val="20000"/>
              </a:prstClr>
            </a:outerShdw>
          </a:effectLst>
        </c:spPr>
      </c:pivotFmt>
      <c:pivotFmt>
        <c:idx val="264"/>
        <c:spPr>
          <a:solidFill>
            <a:schemeClr val="accent1"/>
          </a:solidFill>
          <a:ln>
            <a:noFill/>
          </a:ln>
          <a:effectLst>
            <a:outerShdw blurRad="254000" sx="102000" sy="102000" algn="ctr" rotWithShape="0">
              <a:prstClr val="black">
                <a:alpha val="20000"/>
              </a:prstClr>
            </a:outerShdw>
          </a:effectLst>
        </c:spPr>
      </c:pivotFmt>
      <c:pivotFmt>
        <c:idx val="265"/>
        <c:spPr>
          <a:solidFill>
            <a:schemeClr val="accent1"/>
          </a:solidFill>
          <a:ln>
            <a:noFill/>
          </a:ln>
          <a:effectLst>
            <a:outerShdw blurRad="254000" sx="102000" sy="102000" algn="ctr" rotWithShape="0">
              <a:prstClr val="black">
                <a:alpha val="20000"/>
              </a:prstClr>
            </a:outerShdw>
          </a:effectLst>
        </c:spPr>
      </c:pivotFmt>
      <c:pivotFmt>
        <c:idx val="266"/>
        <c:spPr>
          <a:solidFill>
            <a:schemeClr val="accent1"/>
          </a:solidFill>
          <a:ln>
            <a:noFill/>
          </a:ln>
          <a:effectLst>
            <a:outerShdw blurRad="254000" sx="102000" sy="102000" algn="ctr" rotWithShape="0">
              <a:prstClr val="black">
                <a:alpha val="20000"/>
              </a:prstClr>
            </a:outerShdw>
          </a:effectLst>
        </c:spPr>
      </c:pivotFmt>
      <c:pivotFmt>
        <c:idx val="267"/>
        <c:spPr>
          <a:solidFill>
            <a:schemeClr val="accent1"/>
          </a:solidFill>
          <a:ln>
            <a:noFill/>
          </a:ln>
          <a:effectLst>
            <a:outerShdw blurRad="254000" sx="102000" sy="102000" algn="ctr" rotWithShape="0">
              <a:prstClr val="black">
                <a:alpha val="20000"/>
              </a:prstClr>
            </a:outerShdw>
          </a:effectLst>
        </c:spPr>
      </c:pivotFmt>
      <c:pivotFmt>
        <c:idx val="268"/>
        <c:spPr>
          <a:solidFill>
            <a:schemeClr val="accent1"/>
          </a:solidFill>
          <a:ln>
            <a:noFill/>
          </a:ln>
          <a:effectLst>
            <a:outerShdw blurRad="254000" sx="102000" sy="102000" algn="ctr" rotWithShape="0">
              <a:prstClr val="black">
                <a:alpha val="20000"/>
              </a:prstClr>
            </a:outerShdw>
          </a:effectLst>
        </c:spPr>
      </c:pivotFmt>
      <c:pivotFmt>
        <c:idx val="269"/>
        <c:spPr>
          <a:solidFill>
            <a:schemeClr val="accent1"/>
          </a:solidFill>
          <a:ln>
            <a:noFill/>
          </a:ln>
          <a:effectLst>
            <a:outerShdw blurRad="254000" sx="102000" sy="102000" algn="ctr" rotWithShape="0">
              <a:prstClr val="black">
                <a:alpha val="20000"/>
              </a:prstClr>
            </a:outerShdw>
          </a:effectLst>
        </c:spPr>
      </c:pivotFmt>
      <c:pivotFmt>
        <c:idx val="270"/>
        <c:spPr>
          <a:solidFill>
            <a:schemeClr val="accent1"/>
          </a:solidFill>
          <a:ln>
            <a:noFill/>
          </a:ln>
          <a:effectLst>
            <a:outerShdw blurRad="254000" sx="102000" sy="102000" algn="ctr" rotWithShape="0">
              <a:prstClr val="black">
                <a:alpha val="20000"/>
              </a:prstClr>
            </a:outerShdw>
          </a:effectLst>
        </c:spPr>
      </c:pivotFmt>
      <c:pivotFmt>
        <c:idx val="271"/>
        <c:spPr>
          <a:solidFill>
            <a:schemeClr val="accent1"/>
          </a:solidFill>
          <a:ln>
            <a:noFill/>
          </a:ln>
          <a:effectLst>
            <a:outerShdw blurRad="254000" sx="102000" sy="102000" algn="ctr" rotWithShape="0">
              <a:prstClr val="black">
                <a:alpha val="20000"/>
              </a:prstClr>
            </a:outerShdw>
          </a:effectLst>
        </c:spPr>
      </c:pivotFmt>
      <c:pivotFmt>
        <c:idx val="272"/>
        <c:spPr>
          <a:solidFill>
            <a:schemeClr val="accent1"/>
          </a:solidFill>
          <a:ln>
            <a:noFill/>
          </a:ln>
          <a:effectLst>
            <a:outerShdw blurRad="254000" sx="102000" sy="102000" algn="ctr" rotWithShape="0">
              <a:prstClr val="black">
                <a:alpha val="20000"/>
              </a:prstClr>
            </a:outerShdw>
          </a:effectLst>
        </c:spPr>
      </c:pivotFmt>
      <c:pivotFmt>
        <c:idx val="273"/>
        <c:spPr>
          <a:solidFill>
            <a:schemeClr val="accent1"/>
          </a:solidFill>
          <a:ln>
            <a:noFill/>
          </a:ln>
          <a:effectLst>
            <a:outerShdw blurRad="254000" sx="102000" sy="102000" algn="ctr" rotWithShape="0">
              <a:prstClr val="black">
                <a:alpha val="20000"/>
              </a:prstClr>
            </a:outerShdw>
          </a:effectLst>
        </c:spPr>
      </c:pivotFmt>
      <c:pivotFmt>
        <c:idx val="274"/>
        <c:spPr>
          <a:solidFill>
            <a:schemeClr val="accent1"/>
          </a:solidFill>
          <a:ln>
            <a:noFill/>
          </a:ln>
          <a:effectLst>
            <a:outerShdw blurRad="254000" sx="102000" sy="102000" algn="ctr" rotWithShape="0">
              <a:prstClr val="black">
                <a:alpha val="20000"/>
              </a:prstClr>
            </a:outerShdw>
          </a:effectLst>
        </c:spPr>
      </c:pivotFmt>
      <c:pivotFmt>
        <c:idx val="275"/>
        <c:spPr>
          <a:solidFill>
            <a:schemeClr val="accent1"/>
          </a:solidFill>
          <a:ln>
            <a:noFill/>
          </a:ln>
          <a:effectLst>
            <a:outerShdw blurRad="254000" sx="102000" sy="102000" algn="ctr" rotWithShape="0">
              <a:prstClr val="black">
                <a:alpha val="20000"/>
              </a:prstClr>
            </a:outerShdw>
          </a:effectLst>
        </c:spPr>
      </c:pivotFmt>
      <c:pivotFmt>
        <c:idx val="276"/>
        <c:spPr>
          <a:solidFill>
            <a:schemeClr val="accent1"/>
          </a:solidFill>
          <a:ln>
            <a:noFill/>
          </a:ln>
          <a:effectLst>
            <a:outerShdw blurRad="254000" sx="102000" sy="102000" algn="ctr" rotWithShape="0">
              <a:prstClr val="black">
                <a:alpha val="20000"/>
              </a:prstClr>
            </a:outerShdw>
          </a:effectLst>
        </c:spPr>
      </c:pivotFmt>
      <c:pivotFmt>
        <c:idx val="277"/>
        <c:spPr>
          <a:solidFill>
            <a:schemeClr val="accent1"/>
          </a:solidFill>
          <a:ln>
            <a:noFill/>
          </a:ln>
          <a:effectLst>
            <a:outerShdw blurRad="254000" sx="102000" sy="102000" algn="ctr" rotWithShape="0">
              <a:prstClr val="black">
                <a:alpha val="20000"/>
              </a:prstClr>
            </a:outerShdw>
          </a:effectLst>
        </c:spPr>
      </c:pivotFmt>
      <c:pivotFmt>
        <c:idx val="278"/>
        <c:spPr>
          <a:solidFill>
            <a:schemeClr val="accent1"/>
          </a:solidFill>
          <a:ln>
            <a:noFill/>
          </a:ln>
          <a:effectLst>
            <a:outerShdw blurRad="254000" sx="102000" sy="102000" algn="ctr" rotWithShape="0">
              <a:prstClr val="black">
                <a:alpha val="20000"/>
              </a:prstClr>
            </a:outerShdw>
          </a:effectLst>
        </c:spPr>
      </c:pivotFmt>
      <c:pivotFmt>
        <c:idx val="279"/>
        <c:spPr>
          <a:solidFill>
            <a:schemeClr val="accent1"/>
          </a:solidFill>
          <a:ln>
            <a:noFill/>
          </a:ln>
          <a:effectLst>
            <a:outerShdw blurRad="254000" sx="102000" sy="102000" algn="ctr" rotWithShape="0">
              <a:prstClr val="black">
                <a:alpha val="20000"/>
              </a:prstClr>
            </a:outerShdw>
          </a:effectLst>
        </c:spPr>
      </c:pivotFmt>
      <c:pivotFmt>
        <c:idx val="280"/>
        <c:spPr>
          <a:solidFill>
            <a:schemeClr val="accent1"/>
          </a:solidFill>
          <a:ln>
            <a:noFill/>
          </a:ln>
          <a:effectLst>
            <a:outerShdw blurRad="254000" sx="102000" sy="102000" algn="ctr" rotWithShape="0">
              <a:prstClr val="black">
                <a:alpha val="20000"/>
              </a:prstClr>
            </a:outerShdw>
          </a:effectLst>
        </c:spPr>
      </c:pivotFmt>
      <c:pivotFmt>
        <c:idx val="281"/>
        <c:spPr>
          <a:solidFill>
            <a:schemeClr val="accent1"/>
          </a:solidFill>
          <a:ln>
            <a:noFill/>
          </a:ln>
          <a:effectLst>
            <a:outerShdw blurRad="254000" sx="102000" sy="102000" algn="ctr" rotWithShape="0">
              <a:prstClr val="black">
                <a:alpha val="20000"/>
              </a:prstClr>
            </a:outerShdw>
          </a:effectLst>
        </c:spPr>
      </c:pivotFmt>
      <c:pivotFmt>
        <c:idx val="282"/>
        <c:spPr>
          <a:solidFill>
            <a:schemeClr val="accent1"/>
          </a:solidFill>
          <a:ln>
            <a:noFill/>
          </a:ln>
          <a:effectLst>
            <a:outerShdw blurRad="254000" sx="102000" sy="102000" algn="ctr" rotWithShape="0">
              <a:prstClr val="black">
                <a:alpha val="20000"/>
              </a:prstClr>
            </a:outerShdw>
          </a:effectLst>
        </c:spPr>
      </c:pivotFmt>
      <c:pivotFmt>
        <c:idx val="283"/>
        <c:spPr>
          <a:solidFill>
            <a:schemeClr val="accent1"/>
          </a:solidFill>
          <a:ln>
            <a:noFill/>
          </a:ln>
          <a:effectLst>
            <a:outerShdw blurRad="254000" sx="102000" sy="102000" algn="ctr" rotWithShape="0">
              <a:prstClr val="black">
                <a:alpha val="20000"/>
              </a:prstClr>
            </a:outerShdw>
          </a:effectLst>
        </c:spPr>
      </c:pivotFmt>
      <c:pivotFmt>
        <c:idx val="284"/>
        <c:spPr>
          <a:solidFill>
            <a:schemeClr val="accent1"/>
          </a:solidFill>
          <a:ln>
            <a:noFill/>
          </a:ln>
          <a:effectLst>
            <a:outerShdw blurRad="254000" sx="102000" sy="102000" algn="ctr" rotWithShape="0">
              <a:prstClr val="black">
                <a:alpha val="20000"/>
              </a:prstClr>
            </a:outerShdw>
          </a:effectLst>
        </c:spPr>
      </c:pivotFmt>
      <c:pivotFmt>
        <c:idx val="285"/>
        <c:spPr>
          <a:solidFill>
            <a:schemeClr val="accent1"/>
          </a:solidFill>
          <a:ln>
            <a:noFill/>
          </a:ln>
          <a:effectLst>
            <a:outerShdw blurRad="254000" sx="102000" sy="102000" algn="ctr" rotWithShape="0">
              <a:prstClr val="black">
                <a:alpha val="20000"/>
              </a:prstClr>
            </a:outerShdw>
          </a:effectLst>
        </c:spPr>
      </c:pivotFmt>
      <c:pivotFmt>
        <c:idx val="286"/>
        <c:spPr>
          <a:solidFill>
            <a:schemeClr val="accent1"/>
          </a:solidFill>
          <a:ln>
            <a:noFill/>
          </a:ln>
          <a:effectLst>
            <a:outerShdw blurRad="254000" sx="102000" sy="102000" algn="ctr" rotWithShape="0">
              <a:prstClr val="black">
                <a:alpha val="20000"/>
              </a:prstClr>
            </a:outerShdw>
          </a:effectLst>
        </c:spPr>
      </c:pivotFmt>
      <c:pivotFmt>
        <c:idx val="287"/>
        <c:spPr>
          <a:solidFill>
            <a:schemeClr val="accent1"/>
          </a:solidFill>
          <a:ln>
            <a:noFill/>
          </a:ln>
          <a:effectLst>
            <a:outerShdw blurRad="254000" sx="102000" sy="102000" algn="ctr" rotWithShape="0">
              <a:prstClr val="black">
                <a:alpha val="20000"/>
              </a:prstClr>
            </a:outerShdw>
          </a:effectLst>
        </c:spPr>
      </c:pivotFmt>
      <c:pivotFmt>
        <c:idx val="288"/>
        <c:spPr>
          <a:solidFill>
            <a:schemeClr val="accent1"/>
          </a:solidFill>
          <a:ln>
            <a:noFill/>
          </a:ln>
          <a:effectLst>
            <a:outerShdw blurRad="254000" sx="102000" sy="102000" algn="ctr" rotWithShape="0">
              <a:prstClr val="black">
                <a:alpha val="20000"/>
              </a:prstClr>
            </a:outerShdw>
          </a:effectLst>
        </c:spPr>
      </c:pivotFmt>
      <c:pivotFmt>
        <c:idx val="289"/>
        <c:spPr>
          <a:solidFill>
            <a:schemeClr val="accent1"/>
          </a:solidFill>
          <a:ln>
            <a:noFill/>
          </a:ln>
          <a:effectLst>
            <a:outerShdw blurRad="254000" sx="102000" sy="102000" algn="ctr" rotWithShape="0">
              <a:prstClr val="black">
                <a:alpha val="20000"/>
              </a:prstClr>
            </a:outerShdw>
          </a:effectLst>
        </c:spPr>
      </c:pivotFmt>
      <c:pivotFmt>
        <c:idx val="290"/>
        <c:spPr>
          <a:solidFill>
            <a:schemeClr val="accent1"/>
          </a:solidFill>
          <a:ln>
            <a:noFill/>
          </a:ln>
          <a:effectLst>
            <a:outerShdw blurRad="254000" sx="102000" sy="102000" algn="ctr" rotWithShape="0">
              <a:prstClr val="black">
                <a:alpha val="20000"/>
              </a:prstClr>
            </a:outerShdw>
          </a:effectLst>
        </c:spPr>
      </c:pivotFmt>
      <c:pivotFmt>
        <c:idx val="291"/>
        <c:spPr>
          <a:solidFill>
            <a:schemeClr val="accent1"/>
          </a:solidFill>
          <a:ln>
            <a:noFill/>
          </a:ln>
          <a:effectLst>
            <a:outerShdw blurRad="254000" sx="102000" sy="102000" algn="ctr" rotWithShape="0">
              <a:prstClr val="black">
                <a:alpha val="20000"/>
              </a:prstClr>
            </a:outerShdw>
          </a:effectLst>
        </c:spPr>
      </c:pivotFmt>
      <c:pivotFmt>
        <c:idx val="292"/>
        <c:spPr>
          <a:solidFill>
            <a:schemeClr val="accent1"/>
          </a:solidFill>
          <a:ln>
            <a:noFill/>
          </a:ln>
          <a:effectLst>
            <a:outerShdw blurRad="254000" sx="102000" sy="102000" algn="ctr" rotWithShape="0">
              <a:prstClr val="black">
                <a:alpha val="20000"/>
              </a:prstClr>
            </a:outerShdw>
          </a:effectLst>
        </c:spPr>
      </c:pivotFmt>
      <c:pivotFmt>
        <c:idx val="293"/>
        <c:spPr>
          <a:solidFill>
            <a:schemeClr val="accent1"/>
          </a:solidFill>
          <a:ln>
            <a:noFill/>
          </a:ln>
          <a:effectLst>
            <a:outerShdw blurRad="254000" sx="102000" sy="102000" algn="ctr" rotWithShape="0">
              <a:prstClr val="black">
                <a:alpha val="20000"/>
              </a:prstClr>
            </a:outerShdw>
          </a:effectLst>
        </c:spPr>
      </c:pivotFmt>
      <c:pivotFmt>
        <c:idx val="294"/>
        <c:spPr>
          <a:solidFill>
            <a:schemeClr val="accent1"/>
          </a:solidFill>
          <a:ln>
            <a:noFill/>
          </a:ln>
          <a:effectLst>
            <a:outerShdw blurRad="254000" sx="102000" sy="102000" algn="ctr" rotWithShape="0">
              <a:prstClr val="black">
                <a:alpha val="20000"/>
              </a:prstClr>
            </a:outerShdw>
          </a:effectLst>
        </c:spPr>
      </c:pivotFmt>
      <c:pivotFmt>
        <c:idx val="295"/>
        <c:spPr>
          <a:solidFill>
            <a:schemeClr val="accent1"/>
          </a:solidFill>
          <a:ln>
            <a:noFill/>
          </a:ln>
          <a:effectLst>
            <a:outerShdw blurRad="254000" sx="102000" sy="102000" algn="ctr" rotWithShape="0">
              <a:prstClr val="black">
                <a:alpha val="20000"/>
              </a:prstClr>
            </a:outerShdw>
          </a:effectLst>
        </c:spPr>
      </c:pivotFmt>
      <c:pivotFmt>
        <c:idx val="296"/>
        <c:spPr>
          <a:solidFill>
            <a:schemeClr val="accent1"/>
          </a:solidFill>
          <a:ln>
            <a:noFill/>
          </a:ln>
          <a:effectLst>
            <a:outerShdw blurRad="254000" sx="102000" sy="102000" algn="ctr" rotWithShape="0">
              <a:prstClr val="black">
                <a:alpha val="20000"/>
              </a:prstClr>
            </a:outerShdw>
          </a:effectLst>
        </c:spPr>
      </c:pivotFmt>
      <c:pivotFmt>
        <c:idx val="297"/>
        <c:spPr>
          <a:solidFill>
            <a:schemeClr val="accent1"/>
          </a:solidFill>
          <a:ln>
            <a:noFill/>
          </a:ln>
          <a:effectLst>
            <a:outerShdw blurRad="254000" sx="102000" sy="102000" algn="ctr" rotWithShape="0">
              <a:prstClr val="black">
                <a:alpha val="20000"/>
              </a:prstClr>
            </a:outerShdw>
          </a:effectLst>
        </c:spPr>
      </c:pivotFmt>
      <c:pivotFmt>
        <c:idx val="298"/>
        <c:spPr>
          <a:solidFill>
            <a:schemeClr val="accent1"/>
          </a:solidFill>
          <a:ln>
            <a:noFill/>
          </a:ln>
          <a:effectLst>
            <a:outerShdw blurRad="254000" sx="102000" sy="102000" algn="ctr" rotWithShape="0">
              <a:prstClr val="black">
                <a:alpha val="20000"/>
              </a:prstClr>
            </a:outerShdw>
          </a:effectLst>
        </c:spPr>
      </c:pivotFmt>
      <c:pivotFmt>
        <c:idx val="299"/>
        <c:spPr>
          <a:solidFill>
            <a:schemeClr val="accent1"/>
          </a:solidFill>
          <a:ln>
            <a:noFill/>
          </a:ln>
          <a:effectLst>
            <a:outerShdw blurRad="254000" sx="102000" sy="102000" algn="ctr" rotWithShape="0">
              <a:prstClr val="black">
                <a:alpha val="20000"/>
              </a:prstClr>
            </a:outerShdw>
          </a:effectLst>
        </c:spPr>
      </c:pivotFmt>
      <c:pivotFmt>
        <c:idx val="300"/>
        <c:spPr>
          <a:solidFill>
            <a:schemeClr val="accent1"/>
          </a:solidFill>
          <a:ln>
            <a:noFill/>
          </a:ln>
          <a:effectLst>
            <a:outerShdw blurRad="254000" sx="102000" sy="102000" algn="ctr" rotWithShape="0">
              <a:prstClr val="black">
                <a:alpha val="20000"/>
              </a:prstClr>
            </a:outerShdw>
          </a:effectLst>
        </c:spPr>
      </c:pivotFmt>
      <c:pivotFmt>
        <c:idx val="301"/>
        <c:spPr>
          <a:solidFill>
            <a:schemeClr val="accent1"/>
          </a:solidFill>
          <a:ln>
            <a:noFill/>
          </a:ln>
          <a:effectLst>
            <a:outerShdw blurRad="254000" sx="102000" sy="102000" algn="ctr" rotWithShape="0">
              <a:prstClr val="black">
                <a:alpha val="20000"/>
              </a:prstClr>
            </a:outerShdw>
          </a:effectLst>
        </c:spPr>
      </c:pivotFmt>
      <c:pivotFmt>
        <c:idx val="302"/>
        <c:spPr>
          <a:solidFill>
            <a:schemeClr val="accent1"/>
          </a:solidFill>
          <a:ln>
            <a:noFill/>
          </a:ln>
          <a:effectLst>
            <a:outerShdw blurRad="254000" sx="102000" sy="102000" algn="ctr" rotWithShape="0">
              <a:prstClr val="black">
                <a:alpha val="20000"/>
              </a:prstClr>
            </a:outerShdw>
          </a:effectLst>
        </c:spPr>
      </c:pivotFmt>
      <c:pivotFmt>
        <c:idx val="303"/>
        <c:spPr>
          <a:solidFill>
            <a:schemeClr val="accent1"/>
          </a:solidFill>
          <a:ln>
            <a:noFill/>
          </a:ln>
          <a:effectLst>
            <a:outerShdw blurRad="254000" sx="102000" sy="102000" algn="ctr" rotWithShape="0">
              <a:prstClr val="black">
                <a:alpha val="20000"/>
              </a:prstClr>
            </a:outerShdw>
          </a:effectLst>
        </c:spPr>
      </c:pivotFmt>
      <c:pivotFmt>
        <c:idx val="304"/>
        <c:spPr>
          <a:solidFill>
            <a:schemeClr val="accent1"/>
          </a:solidFill>
          <a:ln>
            <a:noFill/>
          </a:ln>
          <a:effectLst>
            <a:outerShdw blurRad="254000" sx="102000" sy="102000" algn="ctr" rotWithShape="0">
              <a:prstClr val="black">
                <a:alpha val="20000"/>
              </a:prstClr>
            </a:outerShdw>
          </a:effectLst>
        </c:spPr>
      </c:pivotFmt>
      <c:pivotFmt>
        <c:idx val="305"/>
        <c:spPr>
          <a:solidFill>
            <a:schemeClr val="accent1"/>
          </a:solidFill>
          <a:ln>
            <a:noFill/>
          </a:ln>
          <a:effectLst>
            <a:outerShdw blurRad="254000" sx="102000" sy="102000" algn="ctr" rotWithShape="0">
              <a:prstClr val="black">
                <a:alpha val="20000"/>
              </a:prstClr>
            </a:outerShdw>
          </a:effectLst>
        </c:spPr>
      </c:pivotFmt>
      <c:pivotFmt>
        <c:idx val="306"/>
        <c:spPr>
          <a:solidFill>
            <a:schemeClr val="accent1"/>
          </a:solidFill>
          <a:ln>
            <a:noFill/>
          </a:ln>
          <a:effectLst>
            <a:outerShdw blurRad="254000" sx="102000" sy="102000" algn="ctr" rotWithShape="0">
              <a:prstClr val="black">
                <a:alpha val="20000"/>
              </a:prstClr>
            </a:outerShdw>
          </a:effectLst>
        </c:spPr>
      </c:pivotFmt>
      <c:pivotFmt>
        <c:idx val="307"/>
        <c:spPr>
          <a:solidFill>
            <a:schemeClr val="accent1"/>
          </a:solidFill>
          <a:ln>
            <a:noFill/>
          </a:ln>
          <a:effectLst>
            <a:outerShdw blurRad="254000" sx="102000" sy="102000" algn="ctr" rotWithShape="0">
              <a:prstClr val="black">
                <a:alpha val="20000"/>
              </a:prstClr>
            </a:outerShdw>
          </a:effectLst>
        </c:spPr>
      </c:pivotFmt>
      <c:pivotFmt>
        <c:idx val="308"/>
        <c:spPr>
          <a:solidFill>
            <a:schemeClr val="accent1"/>
          </a:solidFill>
          <a:ln>
            <a:noFill/>
          </a:ln>
          <a:effectLst>
            <a:outerShdw blurRad="254000" sx="102000" sy="102000" algn="ctr" rotWithShape="0">
              <a:prstClr val="black">
                <a:alpha val="20000"/>
              </a:prstClr>
            </a:outerShdw>
          </a:effectLst>
        </c:spPr>
      </c:pivotFmt>
      <c:pivotFmt>
        <c:idx val="309"/>
        <c:spPr>
          <a:solidFill>
            <a:schemeClr val="accent1"/>
          </a:solidFill>
          <a:ln>
            <a:noFill/>
          </a:ln>
          <a:effectLst>
            <a:outerShdw blurRad="254000" sx="102000" sy="102000" algn="ctr" rotWithShape="0">
              <a:prstClr val="black">
                <a:alpha val="20000"/>
              </a:prstClr>
            </a:outerShdw>
          </a:effectLst>
        </c:spPr>
      </c:pivotFmt>
      <c:pivotFmt>
        <c:idx val="310"/>
        <c:spPr>
          <a:solidFill>
            <a:schemeClr val="accent1"/>
          </a:solidFill>
          <a:ln>
            <a:noFill/>
          </a:ln>
          <a:effectLst>
            <a:outerShdw blurRad="254000" sx="102000" sy="102000" algn="ctr" rotWithShape="0">
              <a:prstClr val="black">
                <a:alpha val="20000"/>
              </a:prstClr>
            </a:outerShdw>
          </a:effectLst>
        </c:spPr>
      </c:pivotFmt>
      <c:pivotFmt>
        <c:idx val="311"/>
        <c:spPr>
          <a:solidFill>
            <a:schemeClr val="accent1"/>
          </a:solidFill>
          <a:ln>
            <a:noFill/>
          </a:ln>
          <a:effectLst>
            <a:outerShdw blurRad="254000" sx="102000" sy="102000" algn="ctr" rotWithShape="0">
              <a:prstClr val="black">
                <a:alpha val="20000"/>
              </a:prstClr>
            </a:outerShdw>
          </a:effectLst>
        </c:spPr>
      </c:pivotFmt>
      <c:pivotFmt>
        <c:idx val="312"/>
        <c:spPr>
          <a:solidFill>
            <a:schemeClr val="accent1"/>
          </a:solidFill>
          <a:ln>
            <a:noFill/>
          </a:ln>
          <a:effectLst>
            <a:outerShdw blurRad="254000" sx="102000" sy="102000" algn="ctr" rotWithShape="0">
              <a:prstClr val="black">
                <a:alpha val="20000"/>
              </a:prstClr>
            </a:outerShdw>
          </a:effectLst>
        </c:spPr>
      </c:pivotFmt>
      <c:pivotFmt>
        <c:idx val="313"/>
        <c:spPr>
          <a:solidFill>
            <a:schemeClr val="accent1"/>
          </a:solidFill>
          <a:ln>
            <a:noFill/>
          </a:ln>
          <a:effectLst>
            <a:outerShdw blurRad="254000" sx="102000" sy="102000" algn="ctr" rotWithShape="0">
              <a:prstClr val="black">
                <a:alpha val="20000"/>
              </a:prstClr>
            </a:outerShdw>
          </a:effectLst>
        </c:spPr>
      </c:pivotFmt>
      <c:pivotFmt>
        <c:idx val="314"/>
        <c:spPr>
          <a:solidFill>
            <a:schemeClr val="accent1"/>
          </a:solidFill>
          <a:ln>
            <a:noFill/>
          </a:ln>
          <a:effectLst>
            <a:outerShdw blurRad="254000" sx="102000" sy="102000" algn="ctr" rotWithShape="0">
              <a:prstClr val="black">
                <a:alpha val="20000"/>
              </a:prstClr>
            </a:outerShdw>
          </a:effectLst>
        </c:spPr>
      </c:pivotFmt>
      <c:pivotFmt>
        <c:idx val="315"/>
        <c:spPr>
          <a:solidFill>
            <a:schemeClr val="accent1"/>
          </a:solidFill>
          <a:ln>
            <a:noFill/>
          </a:ln>
          <a:effectLst>
            <a:outerShdw blurRad="254000" sx="102000" sy="102000" algn="ctr" rotWithShape="0">
              <a:prstClr val="black">
                <a:alpha val="20000"/>
              </a:prstClr>
            </a:outerShdw>
          </a:effectLst>
        </c:spPr>
      </c:pivotFmt>
      <c:pivotFmt>
        <c:idx val="316"/>
        <c:spPr>
          <a:solidFill>
            <a:schemeClr val="accent1"/>
          </a:solidFill>
          <a:ln>
            <a:noFill/>
          </a:ln>
          <a:effectLst>
            <a:outerShdw blurRad="254000" sx="102000" sy="102000" algn="ctr" rotWithShape="0">
              <a:prstClr val="black">
                <a:alpha val="20000"/>
              </a:prstClr>
            </a:outerShdw>
          </a:effectLst>
        </c:spPr>
      </c:pivotFmt>
      <c:pivotFmt>
        <c:idx val="317"/>
        <c:spPr>
          <a:solidFill>
            <a:schemeClr val="accent1"/>
          </a:solidFill>
          <a:ln>
            <a:noFill/>
          </a:ln>
          <a:effectLst>
            <a:outerShdw blurRad="254000" sx="102000" sy="102000" algn="ctr" rotWithShape="0">
              <a:prstClr val="black">
                <a:alpha val="20000"/>
              </a:prstClr>
            </a:outerShdw>
          </a:effectLst>
        </c:spPr>
      </c:pivotFmt>
      <c:pivotFmt>
        <c:idx val="318"/>
        <c:spPr>
          <a:solidFill>
            <a:schemeClr val="accent1"/>
          </a:solidFill>
          <a:ln>
            <a:noFill/>
          </a:ln>
          <a:effectLst>
            <a:outerShdw blurRad="254000" sx="102000" sy="102000" algn="ctr" rotWithShape="0">
              <a:prstClr val="black">
                <a:alpha val="20000"/>
              </a:prstClr>
            </a:outerShdw>
          </a:effectLst>
        </c:spPr>
      </c:pivotFmt>
      <c:pivotFmt>
        <c:idx val="319"/>
        <c:spPr>
          <a:solidFill>
            <a:schemeClr val="accent1"/>
          </a:solidFill>
          <a:ln>
            <a:noFill/>
          </a:ln>
          <a:effectLst>
            <a:outerShdw blurRad="254000" sx="102000" sy="102000" algn="ctr" rotWithShape="0">
              <a:prstClr val="black">
                <a:alpha val="20000"/>
              </a:prstClr>
            </a:outerShdw>
          </a:effectLst>
        </c:spPr>
      </c:pivotFmt>
      <c:pivotFmt>
        <c:idx val="320"/>
        <c:spPr>
          <a:solidFill>
            <a:schemeClr val="accent1"/>
          </a:solidFill>
          <a:ln>
            <a:noFill/>
          </a:ln>
          <a:effectLst>
            <a:outerShdw blurRad="254000" sx="102000" sy="102000" algn="ctr" rotWithShape="0">
              <a:prstClr val="black">
                <a:alpha val="20000"/>
              </a:prstClr>
            </a:outerShdw>
          </a:effectLst>
        </c:spPr>
      </c:pivotFmt>
      <c:pivotFmt>
        <c:idx val="321"/>
        <c:spPr>
          <a:solidFill>
            <a:schemeClr val="accent1"/>
          </a:solidFill>
          <a:ln>
            <a:noFill/>
          </a:ln>
          <a:effectLst>
            <a:outerShdw blurRad="254000" sx="102000" sy="102000" algn="ctr" rotWithShape="0">
              <a:prstClr val="black">
                <a:alpha val="20000"/>
              </a:prstClr>
            </a:outerShdw>
          </a:effectLst>
        </c:spPr>
      </c:pivotFmt>
      <c:pivotFmt>
        <c:idx val="322"/>
        <c:spPr>
          <a:solidFill>
            <a:schemeClr val="accent1"/>
          </a:solidFill>
          <a:ln>
            <a:noFill/>
          </a:ln>
          <a:effectLst>
            <a:outerShdw blurRad="254000" sx="102000" sy="102000" algn="ctr" rotWithShape="0">
              <a:prstClr val="black">
                <a:alpha val="20000"/>
              </a:prstClr>
            </a:outerShdw>
          </a:effectLst>
        </c:spPr>
      </c:pivotFmt>
      <c:pivotFmt>
        <c:idx val="323"/>
        <c:spPr>
          <a:solidFill>
            <a:schemeClr val="accent1"/>
          </a:solidFill>
          <a:ln>
            <a:noFill/>
          </a:ln>
          <a:effectLst>
            <a:outerShdw blurRad="254000" sx="102000" sy="102000" algn="ctr" rotWithShape="0">
              <a:prstClr val="black">
                <a:alpha val="20000"/>
              </a:prstClr>
            </a:outerShdw>
          </a:effectLst>
        </c:spPr>
      </c:pivotFmt>
      <c:pivotFmt>
        <c:idx val="324"/>
        <c:spPr>
          <a:solidFill>
            <a:schemeClr val="accent1"/>
          </a:solidFill>
          <a:ln>
            <a:noFill/>
          </a:ln>
          <a:effectLst>
            <a:outerShdw blurRad="254000" sx="102000" sy="102000" algn="ctr" rotWithShape="0">
              <a:prstClr val="black">
                <a:alpha val="20000"/>
              </a:prstClr>
            </a:outerShdw>
          </a:effectLst>
        </c:spPr>
      </c:pivotFmt>
      <c:pivotFmt>
        <c:idx val="325"/>
        <c:spPr>
          <a:solidFill>
            <a:schemeClr val="accent1"/>
          </a:solidFill>
          <a:ln>
            <a:noFill/>
          </a:ln>
          <a:effectLst>
            <a:outerShdw blurRad="254000" sx="102000" sy="102000" algn="ctr" rotWithShape="0">
              <a:prstClr val="black">
                <a:alpha val="20000"/>
              </a:prstClr>
            </a:outerShdw>
          </a:effectLst>
        </c:spPr>
      </c:pivotFmt>
      <c:pivotFmt>
        <c:idx val="326"/>
        <c:spPr>
          <a:solidFill>
            <a:schemeClr val="accent1"/>
          </a:solidFill>
          <a:ln>
            <a:noFill/>
          </a:ln>
          <a:effectLst>
            <a:outerShdw blurRad="254000" sx="102000" sy="102000" algn="ctr" rotWithShape="0">
              <a:prstClr val="black">
                <a:alpha val="20000"/>
              </a:prstClr>
            </a:outerShdw>
          </a:effectLst>
        </c:spPr>
      </c:pivotFmt>
      <c:pivotFmt>
        <c:idx val="327"/>
        <c:spPr>
          <a:solidFill>
            <a:schemeClr val="accent1"/>
          </a:solidFill>
          <a:ln>
            <a:noFill/>
          </a:ln>
          <a:effectLst>
            <a:outerShdw blurRad="254000" sx="102000" sy="102000" algn="ctr" rotWithShape="0">
              <a:prstClr val="black">
                <a:alpha val="20000"/>
              </a:prstClr>
            </a:outerShdw>
          </a:effectLst>
        </c:spPr>
      </c:pivotFmt>
      <c:pivotFmt>
        <c:idx val="328"/>
        <c:spPr>
          <a:solidFill>
            <a:schemeClr val="accent1"/>
          </a:solidFill>
          <a:ln>
            <a:noFill/>
          </a:ln>
          <a:effectLst>
            <a:outerShdw blurRad="254000" sx="102000" sy="102000" algn="ctr" rotWithShape="0">
              <a:prstClr val="black">
                <a:alpha val="20000"/>
              </a:prstClr>
            </a:outerShdw>
          </a:effectLst>
        </c:spPr>
      </c:pivotFmt>
      <c:pivotFmt>
        <c:idx val="329"/>
        <c:spPr>
          <a:solidFill>
            <a:schemeClr val="accent1"/>
          </a:solidFill>
          <a:ln>
            <a:noFill/>
          </a:ln>
          <a:effectLst>
            <a:outerShdw blurRad="254000" sx="102000" sy="102000" algn="ctr" rotWithShape="0">
              <a:prstClr val="black">
                <a:alpha val="20000"/>
              </a:prstClr>
            </a:outerShdw>
          </a:effectLst>
        </c:spPr>
      </c:pivotFmt>
      <c:pivotFmt>
        <c:idx val="330"/>
        <c:spPr>
          <a:solidFill>
            <a:schemeClr val="accent1"/>
          </a:solidFill>
          <a:ln>
            <a:noFill/>
          </a:ln>
          <a:effectLst>
            <a:outerShdw blurRad="254000" sx="102000" sy="102000" algn="ctr" rotWithShape="0">
              <a:prstClr val="black">
                <a:alpha val="20000"/>
              </a:prstClr>
            </a:outerShdw>
          </a:effectLst>
        </c:spPr>
      </c:pivotFmt>
      <c:pivotFmt>
        <c:idx val="331"/>
        <c:spPr>
          <a:solidFill>
            <a:schemeClr val="accent1"/>
          </a:solidFill>
          <a:ln>
            <a:noFill/>
          </a:ln>
          <a:effectLst>
            <a:outerShdw blurRad="254000" sx="102000" sy="102000" algn="ctr" rotWithShape="0">
              <a:prstClr val="black">
                <a:alpha val="20000"/>
              </a:prstClr>
            </a:outerShdw>
          </a:effectLst>
        </c:spPr>
      </c:pivotFmt>
      <c:pivotFmt>
        <c:idx val="332"/>
        <c:spPr>
          <a:solidFill>
            <a:schemeClr val="accent1"/>
          </a:solidFill>
          <a:ln>
            <a:noFill/>
          </a:ln>
          <a:effectLst>
            <a:outerShdw blurRad="254000" sx="102000" sy="102000" algn="ctr" rotWithShape="0">
              <a:prstClr val="black">
                <a:alpha val="20000"/>
              </a:prstClr>
            </a:outerShdw>
          </a:effectLst>
        </c:spPr>
      </c:pivotFmt>
      <c:pivotFmt>
        <c:idx val="333"/>
        <c:spPr>
          <a:solidFill>
            <a:schemeClr val="accent1"/>
          </a:solidFill>
          <a:ln>
            <a:noFill/>
          </a:ln>
          <a:effectLst>
            <a:outerShdw blurRad="254000" sx="102000" sy="102000" algn="ctr" rotWithShape="0">
              <a:prstClr val="black">
                <a:alpha val="20000"/>
              </a:prstClr>
            </a:outerShdw>
          </a:effectLst>
        </c:spPr>
      </c:pivotFmt>
      <c:pivotFmt>
        <c:idx val="334"/>
        <c:spPr>
          <a:solidFill>
            <a:schemeClr val="accent1"/>
          </a:solidFill>
          <a:ln>
            <a:noFill/>
          </a:ln>
          <a:effectLst>
            <a:outerShdw blurRad="254000" sx="102000" sy="102000" algn="ctr" rotWithShape="0">
              <a:prstClr val="black">
                <a:alpha val="20000"/>
              </a:prstClr>
            </a:outerShdw>
          </a:effectLst>
        </c:spPr>
      </c:pivotFmt>
      <c:pivotFmt>
        <c:idx val="335"/>
        <c:spPr>
          <a:solidFill>
            <a:schemeClr val="accent1"/>
          </a:solidFill>
          <a:ln>
            <a:noFill/>
          </a:ln>
          <a:effectLst>
            <a:outerShdw blurRad="254000" sx="102000" sy="102000" algn="ctr" rotWithShape="0">
              <a:prstClr val="black">
                <a:alpha val="20000"/>
              </a:prstClr>
            </a:outerShdw>
          </a:effectLst>
        </c:spPr>
      </c:pivotFmt>
      <c:pivotFmt>
        <c:idx val="336"/>
        <c:spPr>
          <a:solidFill>
            <a:schemeClr val="accent1"/>
          </a:solidFill>
          <a:ln>
            <a:noFill/>
          </a:ln>
          <a:effectLst>
            <a:outerShdw blurRad="254000" sx="102000" sy="102000" algn="ctr" rotWithShape="0">
              <a:prstClr val="black">
                <a:alpha val="20000"/>
              </a:prstClr>
            </a:outerShdw>
          </a:effectLst>
        </c:spPr>
      </c:pivotFmt>
      <c:pivotFmt>
        <c:idx val="337"/>
        <c:spPr>
          <a:solidFill>
            <a:schemeClr val="accent1"/>
          </a:solidFill>
          <a:ln>
            <a:noFill/>
          </a:ln>
          <a:effectLst>
            <a:outerShdw blurRad="254000" sx="102000" sy="102000" algn="ctr" rotWithShape="0">
              <a:prstClr val="black">
                <a:alpha val="20000"/>
              </a:prstClr>
            </a:outerShdw>
          </a:effectLst>
        </c:spPr>
      </c:pivotFmt>
      <c:pivotFmt>
        <c:idx val="338"/>
        <c:spPr>
          <a:solidFill>
            <a:schemeClr val="accent1"/>
          </a:solidFill>
          <a:ln>
            <a:noFill/>
          </a:ln>
          <a:effectLst>
            <a:outerShdw blurRad="254000" sx="102000" sy="102000" algn="ctr" rotWithShape="0">
              <a:prstClr val="black">
                <a:alpha val="20000"/>
              </a:prstClr>
            </a:outerShdw>
          </a:effectLst>
        </c:spPr>
      </c:pivotFmt>
      <c:pivotFmt>
        <c:idx val="339"/>
        <c:spPr>
          <a:solidFill>
            <a:schemeClr val="accent1"/>
          </a:solidFill>
          <a:ln>
            <a:noFill/>
          </a:ln>
          <a:effectLst>
            <a:outerShdw blurRad="254000" sx="102000" sy="102000" algn="ctr" rotWithShape="0">
              <a:prstClr val="black">
                <a:alpha val="20000"/>
              </a:prstClr>
            </a:outerShdw>
          </a:effectLst>
        </c:spPr>
      </c:pivotFmt>
      <c:pivotFmt>
        <c:idx val="340"/>
        <c:spPr>
          <a:solidFill>
            <a:schemeClr val="accent1"/>
          </a:solidFill>
          <a:ln>
            <a:noFill/>
          </a:ln>
          <a:effectLst>
            <a:outerShdw blurRad="254000" sx="102000" sy="102000" algn="ctr" rotWithShape="0">
              <a:prstClr val="black">
                <a:alpha val="20000"/>
              </a:prstClr>
            </a:outerShdw>
          </a:effectLst>
        </c:spPr>
      </c:pivotFmt>
      <c:pivotFmt>
        <c:idx val="341"/>
        <c:spPr>
          <a:solidFill>
            <a:schemeClr val="accent1"/>
          </a:solidFill>
          <a:ln>
            <a:noFill/>
          </a:ln>
          <a:effectLst>
            <a:outerShdw blurRad="254000" sx="102000" sy="102000" algn="ctr" rotWithShape="0">
              <a:prstClr val="black">
                <a:alpha val="20000"/>
              </a:prstClr>
            </a:outerShdw>
          </a:effectLst>
        </c:spPr>
      </c:pivotFmt>
      <c:pivotFmt>
        <c:idx val="342"/>
        <c:spPr>
          <a:solidFill>
            <a:schemeClr val="accent1"/>
          </a:solidFill>
          <a:ln>
            <a:noFill/>
          </a:ln>
          <a:effectLst>
            <a:outerShdw blurRad="254000" sx="102000" sy="102000" algn="ctr" rotWithShape="0">
              <a:prstClr val="black">
                <a:alpha val="20000"/>
              </a:prstClr>
            </a:outerShdw>
          </a:effectLst>
        </c:spPr>
      </c:pivotFmt>
      <c:pivotFmt>
        <c:idx val="343"/>
        <c:spPr>
          <a:solidFill>
            <a:schemeClr val="accent1"/>
          </a:solidFill>
          <a:ln>
            <a:noFill/>
          </a:ln>
          <a:effectLst>
            <a:outerShdw blurRad="254000" sx="102000" sy="102000" algn="ctr" rotWithShape="0">
              <a:prstClr val="black">
                <a:alpha val="20000"/>
              </a:prstClr>
            </a:outerShdw>
          </a:effectLst>
        </c:spPr>
      </c:pivotFmt>
      <c:pivotFmt>
        <c:idx val="344"/>
        <c:spPr>
          <a:solidFill>
            <a:schemeClr val="accent1"/>
          </a:solidFill>
          <a:ln>
            <a:noFill/>
          </a:ln>
          <a:effectLst>
            <a:outerShdw blurRad="254000" sx="102000" sy="102000" algn="ctr" rotWithShape="0">
              <a:prstClr val="black">
                <a:alpha val="20000"/>
              </a:prstClr>
            </a:outerShdw>
          </a:effectLst>
        </c:spPr>
      </c:pivotFmt>
      <c:pivotFmt>
        <c:idx val="345"/>
        <c:spPr>
          <a:solidFill>
            <a:schemeClr val="accent1"/>
          </a:solidFill>
          <a:ln>
            <a:noFill/>
          </a:ln>
          <a:effectLst>
            <a:outerShdw blurRad="254000" sx="102000" sy="102000" algn="ctr" rotWithShape="0">
              <a:prstClr val="black">
                <a:alpha val="20000"/>
              </a:prstClr>
            </a:outerShdw>
          </a:effectLst>
        </c:spPr>
      </c:pivotFmt>
      <c:pivotFmt>
        <c:idx val="346"/>
        <c:spPr>
          <a:solidFill>
            <a:schemeClr val="accent1"/>
          </a:solidFill>
          <a:ln>
            <a:noFill/>
          </a:ln>
          <a:effectLst>
            <a:outerShdw blurRad="254000" sx="102000" sy="102000" algn="ctr" rotWithShape="0">
              <a:prstClr val="black">
                <a:alpha val="20000"/>
              </a:prstClr>
            </a:outerShdw>
          </a:effectLst>
        </c:spPr>
      </c:pivotFmt>
      <c:pivotFmt>
        <c:idx val="347"/>
        <c:spPr>
          <a:solidFill>
            <a:schemeClr val="accent1"/>
          </a:solidFill>
          <a:ln>
            <a:noFill/>
          </a:ln>
          <a:effectLst>
            <a:outerShdw blurRad="254000" sx="102000" sy="102000" algn="ctr" rotWithShape="0">
              <a:prstClr val="black">
                <a:alpha val="20000"/>
              </a:prstClr>
            </a:outerShdw>
          </a:effectLst>
        </c:spPr>
      </c:pivotFmt>
      <c:pivotFmt>
        <c:idx val="348"/>
        <c:spPr>
          <a:solidFill>
            <a:schemeClr val="accent1"/>
          </a:solidFill>
          <a:ln>
            <a:noFill/>
          </a:ln>
          <a:effectLst>
            <a:outerShdw blurRad="254000" sx="102000" sy="102000" algn="ctr" rotWithShape="0">
              <a:prstClr val="black">
                <a:alpha val="20000"/>
              </a:prstClr>
            </a:outerShdw>
          </a:effectLst>
        </c:spPr>
      </c:pivotFmt>
      <c:pivotFmt>
        <c:idx val="349"/>
        <c:spPr>
          <a:solidFill>
            <a:schemeClr val="accent1"/>
          </a:solidFill>
          <a:ln>
            <a:noFill/>
          </a:ln>
          <a:effectLst>
            <a:outerShdw blurRad="254000" sx="102000" sy="102000" algn="ctr" rotWithShape="0">
              <a:prstClr val="black">
                <a:alpha val="20000"/>
              </a:prstClr>
            </a:outerShdw>
          </a:effectLst>
        </c:spPr>
      </c:pivotFmt>
      <c:pivotFmt>
        <c:idx val="350"/>
        <c:spPr>
          <a:solidFill>
            <a:schemeClr val="accent1"/>
          </a:solidFill>
          <a:ln>
            <a:noFill/>
          </a:ln>
          <a:effectLst>
            <a:outerShdw blurRad="254000" sx="102000" sy="102000" algn="ctr" rotWithShape="0">
              <a:prstClr val="black">
                <a:alpha val="20000"/>
              </a:prstClr>
            </a:outerShdw>
          </a:effectLst>
        </c:spPr>
      </c:pivotFmt>
      <c:pivotFmt>
        <c:idx val="351"/>
        <c:spPr>
          <a:solidFill>
            <a:schemeClr val="accent1"/>
          </a:solidFill>
          <a:ln>
            <a:noFill/>
          </a:ln>
          <a:effectLst>
            <a:outerShdw blurRad="254000" sx="102000" sy="102000" algn="ctr" rotWithShape="0">
              <a:prstClr val="black">
                <a:alpha val="20000"/>
              </a:prstClr>
            </a:outerShdw>
          </a:effectLst>
        </c:spPr>
      </c:pivotFmt>
      <c:pivotFmt>
        <c:idx val="352"/>
        <c:spPr>
          <a:solidFill>
            <a:schemeClr val="accent1"/>
          </a:solidFill>
          <a:ln>
            <a:noFill/>
          </a:ln>
          <a:effectLst>
            <a:outerShdw blurRad="254000" sx="102000" sy="102000" algn="ctr" rotWithShape="0">
              <a:prstClr val="black">
                <a:alpha val="20000"/>
              </a:prstClr>
            </a:outerShdw>
          </a:effectLst>
        </c:spPr>
      </c:pivotFmt>
      <c:pivotFmt>
        <c:idx val="353"/>
        <c:spPr>
          <a:solidFill>
            <a:schemeClr val="accent1"/>
          </a:solidFill>
          <a:ln>
            <a:noFill/>
          </a:ln>
          <a:effectLst>
            <a:outerShdw blurRad="254000" sx="102000" sy="102000" algn="ctr" rotWithShape="0">
              <a:prstClr val="black">
                <a:alpha val="20000"/>
              </a:prstClr>
            </a:outerShdw>
          </a:effectLst>
        </c:spPr>
      </c:pivotFmt>
      <c:pivotFmt>
        <c:idx val="354"/>
        <c:spPr>
          <a:solidFill>
            <a:schemeClr val="accent1"/>
          </a:solidFill>
          <a:ln>
            <a:noFill/>
          </a:ln>
          <a:effectLst>
            <a:outerShdw blurRad="254000" sx="102000" sy="102000" algn="ctr" rotWithShape="0">
              <a:prstClr val="black">
                <a:alpha val="20000"/>
              </a:prstClr>
            </a:outerShdw>
          </a:effectLst>
        </c:spPr>
      </c:pivotFmt>
      <c:pivotFmt>
        <c:idx val="355"/>
        <c:spPr>
          <a:solidFill>
            <a:schemeClr val="accent1"/>
          </a:solidFill>
          <a:ln>
            <a:noFill/>
          </a:ln>
          <a:effectLst>
            <a:outerShdw blurRad="254000" sx="102000" sy="102000" algn="ctr" rotWithShape="0">
              <a:prstClr val="black">
                <a:alpha val="20000"/>
              </a:prstClr>
            </a:outerShdw>
          </a:effectLst>
        </c:spPr>
      </c:pivotFmt>
      <c:pivotFmt>
        <c:idx val="356"/>
        <c:spPr>
          <a:solidFill>
            <a:schemeClr val="accent1"/>
          </a:solidFill>
          <a:ln>
            <a:noFill/>
          </a:ln>
          <a:effectLst>
            <a:outerShdw blurRad="254000" sx="102000" sy="102000" algn="ctr" rotWithShape="0">
              <a:prstClr val="black">
                <a:alpha val="20000"/>
              </a:prstClr>
            </a:outerShdw>
          </a:effectLst>
        </c:spPr>
      </c:pivotFmt>
      <c:pivotFmt>
        <c:idx val="357"/>
        <c:spPr>
          <a:solidFill>
            <a:schemeClr val="accent1"/>
          </a:solidFill>
          <a:ln>
            <a:noFill/>
          </a:ln>
          <a:effectLst>
            <a:outerShdw blurRad="254000" sx="102000" sy="102000" algn="ctr" rotWithShape="0">
              <a:prstClr val="black">
                <a:alpha val="20000"/>
              </a:prstClr>
            </a:outerShdw>
          </a:effectLst>
        </c:spPr>
      </c:pivotFmt>
      <c:pivotFmt>
        <c:idx val="358"/>
        <c:spPr>
          <a:solidFill>
            <a:schemeClr val="accent1"/>
          </a:solidFill>
          <a:ln>
            <a:noFill/>
          </a:ln>
          <a:effectLst>
            <a:outerShdw blurRad="254000" sx="102000" sy="102000" algn="ctr" rotWithShape="0">
              <a:prstClr val="black">
                <a:alpha val="20000"/>
              </a:prstClr>
            </a:outerShdw>
          </a:effectLst>
        </c:spPr>
      </c:pivotFmt>
      <c:pivotFmt>
        <c:idx val="359"/>
        <c:spPr>
          <a:solidFill>
            <a:schemeClr val="accent1"/>
          </a:solidFill>
          <a:ln>
            <a:noFill/>
          </a:ln>
          <a:effectLst>
            <a:outerShdw blurRad="254000" sx="102000" sy="102000" algn="ctr" rotWithShape="0">
              <a:prstClr val="black">
                <a:alpha val="20000"/>
              </a:prstClr>
            </a:outerShdw>
          </a:effectLst>
        </c:spPr>
      </c:pivotFmt>
      <c:pivotFmt>
        <c:idx val="360"/>
        <c:spPr>
          <a:solidFill>
            <a:schemeClr val="accent1"/>
          </a:solidFill>
          <a:ln>
            <a:noFill/>
          </a:ln>
          <a:effectLst>
            <a:outerShdw blurRad="254000" sx="102000" sy="102000" algn="ctr" rotWithShape="0">
              <a:prstClr val="black">
                <a:alpha val="20000"/>
              </a:prstClr>
            </a:outerShdw>
          </a:effectLst>
        </c:spPr>
      </c:pivotFmt>
      <c:pivotFmt>
        <c:idx val="361"/>
        <c:spPr>
          <a:solidFill>
            <a:schemeClr val="accent1"/>
          </a:solidFill>
          <a:ln>
            <a:noFill/>
          </a:ln>
          <a:effectLst>
            <a:outerShdw blurRad="254000" sx="102000" sy="102000" algn="ctr" rotWithShape="0">
              <a:prstClr val="black">
                <a:alpha val="20000"/>
              </a:prstClr>
            </a:outerShdw>
          </a:effectLst>
        </c:spPr>
      </c:pivotFmt>
      <c:pivotFmt>
        <c:idx val="362"/>
        <c:spPr>
          <a:solidFill>
            <a:schemeClr val="accent1"/>
          </a:solidFill>
          <a:ln>
            <a:noFill/>
          </a:ln>
          <a:effectLst>
            <a:outerShdw blurRad="254000" sx="102000" sy="102000" algn="ctr" rotWithShape="0">
              <a:prstClr val="black">
                <a:alpha val="20000"/>
              </a:prstClr>
            </a:outerShdw>
          </a:effectLst>
        </c:spPr>
      </c:pivotFmt>
      <c:pivotFmt>
        <c:idx val="363"/>
        <c:spPr>
          <a:solidFill>
            <a:schemeClr val="accent1"/>
          </a:solidFill>
          <a:ln>
            <a:noFill/>
          </a:ln>
          <a:effectLst>
            <a:outerShdw blurRad="254000" sx="102000" sy="102000" algn="ctr" rotWithShape="0">
              <a:prstClr val="black">
                <a:alpha val="20000"/>
              </a:prstClr>
            </a:outerShdw>
          </a:effectLst>
        </c:spPr>
      </c:pivotFmt>
      <c:pivotFmt>
        <c:idx val="364"/>
        <c:spPr>
          <a:solidFill>
            <a:schemeClr val="accent1"/>
          </a:solidFill>
          <a:ln>
            <a:noFill/>
          </a:ln>
          <a:effectLst>
            <a:outerShdw blurRad="254000" sx="102000" sy="102000" algn="ctr" rotWithShape="0">
              <a:prstClr val="black">
                <a:alpha val="20000"/>
              </a:prstClr>
            </a:outerShdw>
          </a:effectLst>
        </c:spPr>
      </c:pivotFmt>
      <c:pivotFmt>
        <c:idx val="365"/>
        <c:spPr>
          <a:solidFill>
            <a:schemeClr val="accent1"/>
          </a:solidFill>
          <a:ln>
            <a:noFill/>
          </a:ln>
          <a:effectLst>
            <a:outerShdw blurRad="254000" sx="102000" sy="102000" algn="ctr" rotWithShape="0">
              <a:prstClr val="black">
                <a:alpha val="20000"/>
              </a:prstClr>
            </a:outerShdw>
          </a:effectLst>
        </c:spPr>
      </c:pivotFmt>
      <c:pivotFmt>
        <c:idx val="366"/>
        <c:spPr>
          <a:solidFill>
            <a:schemeClr val="accent1"/>
          </a:solidFill>
          <a:ln>
            <a:noFill/>
          </a:ln>
          <a:effectLst>
            <a:outerShdw blurRad="254000" sx="102000" sy="102000" algn="ctr" rotWithShape="0">
              <a:prstClr val="black">
                <a:alpha val="20000"/>
              </a:prstClr>
            </a:outerShdw>
          </a:effectLst>
        </c:spPr>
      </c:pivotFmt>
      <c:pivotFmt>
        <c:idx val="367"/>
        <c:spPr>
          <a:solidFill>
            <a:schemeClr val="accent1"/>
          </a:solidFill>
          <a:ln>
            <a:noFill/>
          </a:ln>
          <a:effectLst>
            <a:outerShdw blurRad="254000" sx="102000" sy="102000" algn="ctr" rotWithShape="0">
              <a:prstClr val="black">
                <a:alpha val="20000"/>
              </a:prstClr>
            </a:outerShdw>
          </a:effectLst>
        </c:spPr>
      </c:pivotFmt>
      <c:pivotFmt>
        <c:idx val="368"/>
        <c:spPr>
          <a:solidFill>
            <a:schemeClr val="accent1"/>
          </a:solidFill>
          <a:ln>
            <a:noFill/>
          </a:ln>
          <a:effectLst>
            <a:outerShdw blurRad="254000" sx="102000" sy="102000" algn="ctr" rotWithShape="0">
              <a:prstClr val="black">
                <a:alpha val="20000"/>
              </a:prstClr>
            </a:outerShdw>
          </a:effectLst>
        </c:spPr>
      </c:pivotFmt>
      <c:pivotFmt>
        <c:idx val="369"/>
        <c:spPr>
          <a:solidFill>
            <a:schemeClr val="accent1"/>
          </a:solidFill>
          <a:ln>
            <a:noFill/>
          </a:ln>
          <a:effectLst>
            <a:outerShdw blurRad="254000" sx="102000" sy="102000" algn="ctr" rotWithShape="0">
              <a:prstClr val="black">
                <a:alpha val="20000"/>
              </a:prstClr>
            </a:outerShdw>
          </a:effectLst>
        </c:spPr>
      </c:pivotFmt>
      <c:pivotFmt>
        <c:idx val="370"/>
        <c:spPr>
          <a:solidFill>
            <a:schemeClr val="accent1"/>
          </a:solidFill>
          <a:ln>
            <a:noFill/>
          </a:ln>
          <a:effectLst>
            <a:outerShdw blurRad="254000" sx="102000" sy="102000" algn="ctr" rotWithShape="0">
              <a:prstClr val="black">
                <a:alpha val="20000"/>
              </a:prstClr>
            </a:outerShdw>
          </a:effectLst>
        </c:spPr>
      </c:pivotFmt>
      <c:pivotFmt>
        <c:idx val="371"/>
        <c:spPr>
          <a:solidFill>
            <a:schemeClr val="accent1"/>
          </a:solidFill>
          <a:ln>
            <a:noFill/>
          </a:ln>
          <a:effectLst>
            <a:outerShdw blurRad="254000" sx="102000" sy="102000" algn="ctr" rotWithShape="0">
              <a:prstClr val="black">
                <a:alpha val="20000"/>
              </a:prstClr>
            </a:outerShdw>
          </a:effectLst>
        </c:spPr>
      </c:pivotFmt>
      <c:pivotFmt>
        <c:idx val="372"/>
        <c:spPr>
          <a:solidFill>
            <a:schemeClr val="accent1"/>
          </a:solidFill>
          <a:ln>
            <a:noFill/>
          </a:ln>
          <a:effectLst>
            <a:outerShdw blurRad="254000" sx="102000" sy="102000" algn="ctr" rotWithShape="0">
              <a:prstClr val="black">
                <a:alpha val="20000"/>
              </a:prstClr>
            </a:outerShdw>
          </a:effectLst>
        </c:spPr>
      </c:pivotFmt>
      <c:pivotFmt>
        <c:idx val="373"/>
        <c:spPr>
          <a:solidFill>
            <a:schemeClr val="accent1"/>
          </a:solidFill>
          <a:ln>
            <a:noFill/>
          </a:ln>
          <a:effectLst>
            <a:outerShdw blurRad="254000" sx="102000" sy="102000" algn="ctr" rotWithShape="0">
              <a:prstClr val="black">
                <a:alpha val="20000"/>
              </a:prstClr>
            </a:outerShdw>
          </a:effectLst>
        </c:spPr>
      </c:pivotFmt>
      <c:pivotFmt>
        <c:idx val="374"/>
        <c:spPr>
          <a:solidFill>
            <a:schemeClr val="accent1"/>
          </a:solidFill>
          <a:ln>
            <a:noFill/>
          </a:ln>
          <a:effectLst>
            <a:outerShdw blurRad="254000" sx="102000" sy="102000" algn="ctr" rotWithShape="0">
              <a:prstClr val="black">
                <a:alpha val="20000"/>
              </a:prstClr>
            </a:outerShdw>
          </a:effectLst>
        </c:spPr>
      </c:pivotFmt>
      <c:pivotFmt>
        <c:idx val="375"/>
        <c:spPr>
          <a:solidFill>
            <a:schemeClr val="accent1"/>
          </a:solidFill>
          <a:ln>
            <a:noFill/>
          </a:ln>
          <a:effectLst>
            <a:outerShdw blurRad="254000" sx="102000" sy="102000" algn="ctr" rotWithShape="0">
              <a:prstClr val="black">
                <a:alpha val="20000"/>
              </a:prstClr>
            </a:outerShdw>
          </a:effectLst>
        </c:spPr>
      </c:pivotFmt>
      <c:pivotFmt>
        <c:idx val="376"/>
        <c:spPr>
          <a:solidFill>
            <a:schemeClr val="accent1"/>
          </a:solidFill>
          <a:ln>
            <a:noFill/>
          </a:ln>
          <a:effectLst>
            <a:outerShdw blurRad="254000" sx="102000" sy="102000" algn="ctr" rotWithShape="0">
              <a:prstClr val="black">
                <a:alpha val="20000"/>
              </a:prstClr>
            </a:outerShdw>
          </a:effectLst>
        </c:spPr>
      </c:pivotFmt>
      <c:pivotFmt>
        <c:idx val="377"/>
        <c:spPr>
          <a:solidFill>
            <a:schemeClr val="accent1"/>
          </a:solidFill>
          <a:ln>
            <a:noFill/>
          </a:ln>
          <a:effectLst>
            <a:outerShdw blurRad="254000" sx="102000" sy="102000" algn="ctr" rotWithShape="0">
              <a:prstClr val="black">
                <a:alpha val="20000"/>
              </a:prstClr>
            </a:outerShdw>
          </a:effectLst>
        </c:spPr>
      </c:pivotFmt>
      <c:pivotFmt>
        <c:idx val="378"/>
        <c:spPr>
          <a:solidFill>
            <a:schemeClr val="accent1"/>
          </a:solidFill>
          <a:ln>
            <a:noFill/>
          </a:ln>
          <a:effectLst>
            <a:outerShdw blurRad="254000" sx="102000" sy="102000" algn="ctr" rotWithShape="0">
              <a:prstClr val="black">
                <a:alpha val="20000"/>
              </a:prstClr>
            </a:outerShdw>
          </a:effectLst>
        </c:spPr>
      </c:pivotFmt>
      <c:pivotFmt>
        <c:idx val="379"/>
        <c:spPr>
          <a:solidFill>
            <a:schemeClr val="accent1"/>
          </a:solidFill>
          <a:ln>
            <a:noFill/>
          </a:ln>
          <a:effectLst>
            <a:outerShdw blurRad="254000" sx="102000" sy="102000" algn="ctr" rotWithShape="0">
              <a:prstClr val="black">
                <a:alpha val="20000"/>
              </a:prstClr>
            </a:outerShdw>
          </a:effectLst>
        </c:spPr>
      </c:pivotFmt>
      <c:pivotFmt>
        <c:idx val="380"/>
        <c:spPr>
          <a:solidFill>
            <a:schemeClr val="accent1"/>
          </a:solidFill>
          <a:ln>
            <a:noFill/>
          </a:ln>
          <a:effectLst>
            <a:outerShdw blurRad="254000" sx="102000" sy="102000" algn="ctr" rotWithShape="0">
              <a:prstClr val="black">
                <a:alpha val="20000"/>
              </a:prstClr>
            </a:outerShdw>
          </a:effectLst>
        </c:spPr>
      </c:pivotFmt>
      <c:pivotFmt>
        <c:idx val="381"/>
        <c:spPr>
          <a:solidFill>
            <a:schemeClr val="accent1"/>
          </a:solidFill>
          <a:ln>
            <a:noFill/>
          </a:ln>
          <a:effectLst>
            <a:outerShdw blurRad="254000" sx="102000" sy="102000" algn="ctr" rotWithShape="0">
              <a:prstClr val="black">
                <a:alpha val="20000"/>
              </a:prstClr>
            </a:outerShdw>
          </a:effectLst>
        </c:spPr>
      </c:pivotFmt>
      <c:pivotFmt>
        <c:idx val="382"/>
        <c:spPr>
          <a:solidFill>
            <a:schemeClr val="accent1"/>
          </a:solidFill>
          <a:ln>
            <a:noFill/>
          </a:ln>
          <a:effectLst>
            <a:outerShdw blurRad="254000" sx="102000" sy="102000" algn="ctr" rotWithShape="0">
              <a:prstClr val="black">
                <a:alpha val="20000"/>
              </a:prstClr>
            </a:outerShdw>
          </a:effectLst>
        </c:spPr>
      </c:pivotFmt>
      <c:pivotFmt>
        <c:idx val="383"/>
        <c:spPr>
          <a:solidFill>
            <a:schemeClr val="accent1"/>
          </a:solidFill>
          <a:ln>
            <a:noFill/>
          </a:ln>
          <a:effectLst>
            <a:outerShdw blurRad="254000" sx="102000" sy="102000" algn="ctr" rotWithShape="0">
              <a:prstClr val="black">
                <a:alpha val="20000"/>
              </a:prstClr>
            </a:outerShdw>
          </a:effectLst>
        </c:spPr>
      </c:pivotFmt>
      <c:pivotFmt>
        <c:idx val="384"/>
        <c:spPr>
          <a:solidFill>
            <a:schemeClr val="accent1"/>
          </a:solidFill>
          <a:ln>
            <a:noFill/>
          </a:ln>
          <a:effectLst>
            <a:outerShdw blurRad="254000" sx="102000" sy="102000" algn="ctr" rotWithShape="0">
              <a:prstClr val="black">
                <a:alpha val="20000"/>
              </a:prstClr>
            </a:outerShdw>
          </a:effectLst>
        </c:spPr>
      </c:pivotFmt>
      <c:pivotFmt>
        <c:idx val="385"/>
        <c:spPr>
          <a:solidFill>
            <a:schemeClr val="accent1"/>
          </a:solidFill>
          <a:ln>
            <a:noFill/>
          </a:ln>
          <a:effectLst>
            <a:outerShdw blurRad="254000" sx="102000" sy="102000" algn="ctr" rotWithShape="0">
              <a:prstClr val="black">
                <a:alpha val="20000"/>
              </a:prstClr>
            </a:outerShdw>
          </a:effectLst>
        </c:spPr>
      </c:pivotFmt>
      <c:pivotFmt>
        <c:idx val="386"/>
        <c:spPr>
          <a:solidFill>
            <a:schemeClr val="accent1"/>
          </a:solidFill>
          <a:ln>
            <a:noFill/>
          </a:ln>
          <a:effectLst>
            <a:outerShdw blurRad="254000" sx="102000" sy="102000" algn="ctr" rotWithShape="0">
              <a:prstClr val="black">
                <a:alpha val="20000"/>
              </a:prstClr>
            </a:outerShdw>
          </a:effectLst>
        </c:spPr>
      </c:pivotFmt>
      <c:pivotFmt>
        <c:idx val="387"/>
        <c:spPr>
          <a:solidFill>
            <a:schemeClr val="accent1"/>
          </a:solidFill>
          <a:ln>
            <a:noFill/>
          </a:ln>
          <a:effectLst>
            <a:outerShdw blurRad="254000" sx="102000" sy="102000" algn="ctr" rotWithShape="0">
              <a:prstClr val="black">
                <a:alpha val="20000"/>
              </a:prstClr>
            </a:outerShdw>
          </a:effectLst>
        </c:spPr>
      </c:pivotFmt>
      <c:pivotFmt>
        <c:idx val="388"/>
        <c:spPr>
          <a:solidFill>
            <a:schemeClr val="accent1"/>
          </a:solidFill>
          <a:ln>
            <a:noFill/>
          </a:ln>
          <a:effectLst>
            <a:outerShdw blurRad="254000" sx="102000" sy="102000" algn="ctr" rotWithShape="0">
              <a:prstClr val="black">
                <a:alpha val="20000"/>
              </a:prstClr>
            </a:outerShdw>
          </a:effectLst>
        </c:spPr>
      </c:pivotFmt>
      <c:pivotFmt>
        <c:idx val="389"/>
        <c:spPr>
          <a:solidFill>
            <a:schemeClr val="accent1"/>
          </a:solidFill>
          <a:ln>
            <a:noFill/>
          </a:ln>
          <a:effectLst>
            <a:outerShdw blurRad="254000" sx="102000" sy="102000" algn="ctr" rotWithShape="0">
              <a:prstClr val="black">
                <a:alpha val="20000"/>
              </a:prstClr>
            </a:outerShdw>
          </a:effectLst>
        </c:spPr>
      </c:pivotFmt>
      <c:pivotFmt>
        <c:idx val="390"/>
        <c:spPr>
          <a:solidFill>
            <a:schemeClr val="accent1"/>
          </a:solidFill>
          <a:ln>
            <a:noFill/>
          </a:ln>
          <a:effectLst>
            <a:outerShdw blurRad="254000" sx="102000" sy="102000" algn="ctr" rotWithShape="0">
              <a:prstClr val="black">
                <a:alpha val="20000"/>
              </a:prstClr>
            </a:outerShdw>
          </a:effectLst>
        </c:spPr>
      </c:pivotFmt>
      <c:pivotFmt>
        <c:idx val="391"/>
        <c:spPr>
          <a:solidFill>
            <a:schemeClr val="accent1"/>
          </a:solidFill>
          <a:ln>
            <a:noFill/>
          </a:ln>
          <a:effectLst>
            <a:outerShdw blurRad="254000" sx="102000" sy="102000" algn="ctr" rotWithShape="0">
              <a:prstClr val="black">
                <a:alpha val="20000"/>
              </a:prstClr>
            </a:outerShdw>
          </a:effectLst>
        </c:spPr>
      </c:pivotFmt>
      <c:pivotFmt>
        <c:idx val="392"/>
        <c:spPr>
          <a:solidFill>
            <a:schemeClr val="accent1"/>
          </a:solidFill>
          <a:ln>
            <a:noFill/>
          </a:ln>
          <a:effectLst>
            <a:outerShdw blurRad="254000" sx="102000" sy="102000" algn="ctr" rotWithShape="0">
              <a:prstClr val="black">
                <a:alpha val="20000"/>
              </a:prstClr>
            </a:outerShdw>
          </a:effectLst>
        </c:spPr>
      </c:pivotFmt>
      <c:pivotFmt>
        <c:idx val="393"/>
        <c:spPr>
          <a:solidFill>
            <a:schemeClr val="accent1"/>
          </a:solidFill>
          <a:ln>
            <a:noFill/>
          </a:ln>
          <a:effectLst>
            <a:outerShdw blurRad="254000" sx="102000" sy="102000" algn="ctr" rotWithShape="0">
              <a:prstClr val="black">
                <a:alpha val="20000"/>
              </a:prstClr>
            </a:outerShdw>
          </a:effectLst>
        </c:spPr>
      </c:pivotFmt>
      <c:pivotFmt>
        <c:idx val="394"/>
        <c:spPr>
          <a:solidFill>
            <a:schemeClr val="accent1"/>
          </a:solidFill>
          <a:ln>
            <a:noFill/>
          </a:ln>
          <a:effectLst>
            <a:outerShdw blurRad="254000" sx="102000" sy="102000" algn="ctr" rotWithShape="0">
              <a:prstClr val="black">
                <a:alpha val="20000"/>
              </a:prstClr>
            </a:outerShdw>
          </a:effectLst>
        </c:spPr>
      </c:pivotFmt>
      <c:pivotFmt>
        <c:idx val="395"/>
        <c:spPr>
          <a:solidFill>
            <a:schemeClr val="accent1"/>
          </a:solidFill>
          <a:ln>
            <a:noFill/>
          </a:ln>
          <a:effectLst>
            <a:outerShdw blurRad="254000" sx="102000" sy="102000" algn="ctr" rotWithShape="0">
              <a:prstClr val="black">
                <a:alpha val="20000"/>
              </a:prstClr>
            </a:outerShdw>
          </a:effectLst>
        </c:spPr>
      </c:pivotFmt>
      <c:pivotFmt>
        <c:idx val="396"/>
        <c:spPr>
          <a:solidFill>
            <a:schemeClr val="accent1"/>
          </a:solidFill>
          <a:ln>
            <a:noFill/>
          </a:ln>
          <a:effectLst>
            <a:outerShdw blurRad="254000" sx="102000" sy="102000" algn="ctr" rotWithShape="0">
              <a:prstClr val="black">
                <a:alpha val="20000"/>
              </a:prstClr>
            </a:outerShdw>
          </a:effectLst>
        </c:spPr>
      </c:pivotFmt>
      <c:pivotFmt>
        <c:idx val="397"/>
        <c:spPr>
          <a:solidFill>
            <a:schemeClr val="accent1"/>
          </a:solidFill>
          <a:ln>
            <a:noFill/>
          </a:ln>
          <a:effectLst>
            <a:outerShdw blurRad="254000" sx="102000" sy="102000" algn="ctr" rotWithShape="0">
              <a:prstClr val="black">
                <a:alpha val="20000"/>
              </a:prstClr>
            </a:outerShdw>
          </a:effectLst>
        </c:spPr>
      </c:pivotFmt>
      <c:pivotFmt>
        <c:idx val="398"/>
        <c:spPr>
          <a:solidFill>
            <a:schemeClr val="accent1"/>
          </a:solidFill>
          <a:ln>
            <a:noFill/>
          </a:ln>
          <a:effectLst>
            <a:outerShdw blurRad="254000" sx="102000" sy="102000" algn="ctr" rotWithShape="0">
              <a:prstClr val="black">
                <a:alpha val="20000"/>
              </a:prstClr>
            </a:outerShdw>
          </a:effectLst>
        </c:spPr>
      </c:pivotFmt>
      <c:pivotFmt>
        <c:idx val="399"/>
        <c:spPr>
          <a:solidFill>
            <a:schemeClr val="accent1"/>
          </a:solidFill>
          <a:ln>
            <a:noFill/>
          </a:ln>
          <a:effectLst>
            <a:outerShdw blurRad="254000" sx="102000" sy="102000" algn="ctr" rotWithShape="0">
              <a:prstClr val="black">
                <a:alpha val="20000"/>
              </a:prstClr>
            </a:outerShdw>
          </a:effectLst>
        </c:spPr>
      </c:pivotFmt>
      <c:pivotFmt>
        <c:idx val="400"/>
        <c:spPr>
          <a:solidFill>
            <a:schemeClr val="accent1"/>
          </a:solidFill>
          <a:ln>
            <a:noFill/>
          </a:ln>
          <a:effectLst>
            <a:outerShdw blurRad="254000" sx="102000" sy="102000" algn="ctr" rotWithShape="0">
              <a:prstClr val="black">
                <a:alpha val="20000"/>
              </a:prstClr>
            </a:outerShdw>
          </a:effectLst>
        </c:spPr>
      </c:pivotFmt>
      <c:pivotFmt>
        <c:idx val="401"/>
        <c:spPr>
          <a:solidFill>
            <a:schemeClr val="accent1"/>
          </a:solidFill>
          <a:ln>
            <a:noFill/>
          </a:ln>
          <a:effectLst>
            <a:outerShdw blurRad="254000" sx="102000" sy="102000" algn="ctr" rotWithShape="0">
              <a:prstClr val="black">
                <a:alpha val="20000"/>
              </a:prstClr>
            </a:outerShdw>
          </a:effectLst>
        </c:spPr>
      </c:pivotFmt>
      <c:pivotFmt>
        <c:idx val="402"/>
        <c:spPr>
          <a:solidFill>
            <a:schemeClr val="accent1"/>
          </a:solidFill>
          <a:ln>
            <a:noFill/>
          </a:ln>
          <a:effectLst>
            <a:outerShdw blurRad="254000" sx="102000" sy="102000" algn="ctr" rotWithShape="0">
              <a:prstClr val="black">
                <a:alpha val="20000"/>
              </a:prstClr>
            </a:outerShdw>
          </a:effectLst>
        </c:spPr>
      </c:pivotFmt>
      <c:pivotFmt>
        <c:idx val="403"/>
        <c:spPr>
          <a:solidFill>
            <a:schemeClr val="accent1"/>
          </a:solidFill>
          <a:ln>
            <a:noFill/>
          </a:ln>
          <a:effectLst>
            <a:outerShdw blurRad="254000" sx="102000" sy="102000" algn="ctr" rotWithShape="0">
              <a:prstClr val="black">
                <a:alpha val="20000"/>
              </a:prstClr>
            </a:outerShdw>
          </a:effectLst>
        </c:spPr>
      </c:pivotFmt>
      <c:pivotFmt>
        <c:idx val="404"/>
        <c:spPr>
          <a:solidFill>
            <a:schemeClr val="accent1"/>
          </a:solidFill>
          <a:ln>
            <a:noFill/>
          </a:ln>
          <a:effectLst>
            <a:outerShdw blurRad="254000" sx="102000" sy="102000" algn="ctr" rotWithShape="0">
              <a:prstClr val="black">
                <a:alpha val="20000"/>
              </a:prstClr>
            </a:outerShdw>
          </a:effectLst>
        </c:spPr>
      </c:pivotFmt>
      <c:pivotFmt>
        <c:idx val="405"/>
        <c:spPr>
          <a:solidFill>
            <a:schemeClr val="accent1"/>
          </a:solidFill>
          <a:ln>
            <a:noFill/>
          </a:ln>
          <a:effectLst>
            <a:outerShdw blurRad="254000" sx="102000" sy="102000" algn="ctr" rotWithShape="0">
              <a:prstClr val="black">
                <a:alpha val="20000"/>
              </a:prstClr>
            </a:outerShdw>
          </a:effectLst>
        </c:spPr>
      </c:pivotFmt>
      <c:pivotFmt>
        <c:idx val="406"/>
        <c:spPr>
          <a:solidFill>
            <a:schemeClr val="accent1"/>
          </a:solidFill>
          <a:ln>
            <a:noFill/>
          </a:ln>
          <a:effectLst>
            <a:outerShdw blurRad="254000" sx="102000" sy="102000" algn="ctr" rotWithShape="0">
              <a:prstClr val="black">
                <a:alpha val="20000"/>
              </a:prstClr>
            </a:outerShdw>
          </a:effectLst>
        </c:spPr>
      </c:pivotFmt>
      <c:pivotFmt>
        <c:idx val="407"/>
        <c:spPr>
          <a:solidFill>
            <a:schemeClr val="accent1"/>
          </a:solidFill>
          <a:ln>
            <a:noFill/>
          </a:ln>
          <a:effectLst>
            <a:outerShdw blurRad="254000" sx="102000" sy="102000" algn="ctr" rotWithShape="0">
              <a:prstClr val="black">
                <a:alpha val="20000"/>
              </a:prstClr>
            </a:outerShdw>
          </a:effectLst>
        </c:spPr>
      </c:pivotFmt>
      <c:pivotFmt>
        <c:idx val="408"/>
        <c:spPr>
          <a:solidFill>
            <a:schemeClr val="accent1"/>
          </a:solidFill>
          <a:ln>
            <a:noFill/>
          </a:ln>
          <a:effectLst>
            <a:outerShdw blurRad="254000" sx="102000" sy="102000" algn="ctr" rotWithShape="0">
              <a:prstClr val="black">
                <a:alpha val="20000"/>
              </a:prstClr>
            </a:outerShdw>
          </a:effectLst>
        </c:spPr>
      </c:pivotFmt>
      <c:pivotFmt>
        <c:idx val="409"/>
        <c:spPr>
          <a:solidFill>
            <a:schemeClr val="accent1"/>
          </a:solidFill>
          <a:ln>
            <a:noFill/>
          </a:ln>
          <a:effectLst>
            <a:outerShdw blurRad="254000" sx="102000" sy="102000" algn="ctr" rotWithShape="0">
              <a:prstClr val="black">
                <a:alpha val="20000"/>
              </a:prstClr>
            </a:outerShdw>
          </a:effectLst>
        </c:spPr>
      </c:pivotFmt>
      <c:pivotFmt>
        <c:idx val="410"/>
        <c:spPr>
          <a:solidFill>
            <a:schemeClr val="accent1"/>
          </a:solidFill>
          <a:ln>
            <a:noFill/>
          </a:ln>
          <a:effectLst>
            <a:outerShdw blurRad="254000" sx="102000" sy="102000" algn="ctr" rotWithShape="0">
              <a:prstClr val="black">
                <a:alpha val="20000"/>
              </a:prstClr>
            </a:outerShdw>
          </a:effectLst>
        </c:spPr>
      </c:pivotFmt>
      <c:pivotFmt>
        <c:idx val="411"/>
        <c:spPr>
          <a:solidFill>
            <a:schemeClr val="accent1"/>
          </a:solidFill>
          <a:ln>
            <a:noFill/>
          </a:ln>
          <a:effectLst>
            <a:outerShdw blurRad="254000" sx="102000" sy="102000" algn="ctr" rotWithShape="0">
              <a:prstClr val="black">
                <a:alpha val="20000"/>
              </a:prstClr>
            </a:outerShdw>
          </a:effectLst>
        </c:spPr>
      </c:pivotFmt>
      <c:pivotFmt>
        <c:idx val="412"/>
        <c:spPr>
          <a:solidFill>
            <a:schemeClr val="accent1"/>
          </a:solidFill>
          <a:ln>
            <a:noFill/>
          </a:ln>
          <a:effectLst>
            <a:outerShdw blurRad="254000" sx="102000" sy="102000" algn="ctr" rotWithShape="0">
              <a:prstClr val="black">
                <a:alpha val="20000"/>
              </a:prstClr>
            </a:outerShdw>
          </a:effectLst>
        </c:spPr>
      </c:pivotFmt>
      <c:pivotFmt>
        <c:idx val="413"/>
        <c:spPr>
          <a:solidFill>
            <a:schemeClr val="accent1"/>
          </a:solidFill>
          <a:ln>
            <a:noFill/>
          </a:ln>
          <a:effectLst>
            <a:outerShdw blurRad="254000" sx="102000" sy="102000" algn="ctr" rotWithShape="0">
              <a:prstClr val="black">
                <a:alpha val="20000"/>
              </a:prstClr>
            </a:outerShdw>
          </a:effectLst>
        </c:spPr>
      </c:pivotFmt>
      <c:pivotFmt>
        <c:idx val="414"/>
        <c:spPr>
          <a:solidFill>
            <a:schemeClr val="accent1"/>
          </a:solidFill>
          <a:ln>
            <a:noFill/>
          </a:ln>
          <a:effectLst>
            <a:outerShdw blurRad="254000" sx="102000" sy="102000" algn="ctr" rotWithShape="0">
              <a:prstClr val="black">
                <a:alpha val="20000"/>
              </a:prstClr>
            </a:outerShdw>
          </a:effectLst>
        </c:spPr>
      </c:pivotFmt>
      <c:pivotFmt>
        <c:idx val="415"/>
        <c:spPr>
          <a:solidFill>
            <a:schemeClr val="accent1"/>
          </a:solidFill>
          <a:ln>
            <a:noFill/>
          </a:ln>
          <a:effectLst>
            <a:outerShdw blurRad="254000" sx="102000" sy="102000" algn="ctr" rotWithShape="0">
              <a:prstClr val="black">
                <a:alpha val="20000"/>
              </a:prstClr>
            </a:outerShdw>
          </a:effectLst>
        </c:spPr>
      </c:pivotFmt>
      <c:pivotFmt>
        <c:idx val="416"/>
        <c:spPr>
          <a:solidFill>
            <a:schemeClr val="accent1"/>
          </a:solidFill>
          <a:ln>
            <a:noFill/>
          </a:ln>
          <a:effectLst>
            <a:outerShdw blurRad="254000" sx="102000" sy="102000" algn="ctr" rotWithShape="0">
              <a:prstClr val="black">
                <a:alpha val="20000"/>
              </a:prstClr>
            </a:outerShdw>
          </a:effectLst>
        </c:spPr>
      </c:pivotFmt>
      <c:pivotFmt>
        <c:idx val="417"/>
        <c:spPr>
          <a:solidFill>
            <a:schemeClr val="accent1"/>
          </a:solidFill>
          <a:ln>
            <a:noFill/>
          </a:ln>
          <a:effectLst>
            <a:outerShdw blurRad="254000" sx="102000" sy="102000" algn="ctr" rotWithShape="0">
              <a:prstClr val="black">
                <a:alpha val="20000"/>
              </a:prstClr>
            </a:outerShdw>
          </a:effectLst>
        </c:spPr>
      </c:pivotFmt>
      <c:pivotFmt>
        <c:idx val="418"/>
        <c:spPr>
          <a:solidFill>
            <a:schemeClr val="accent1"/>
          </a:solidFill>
          <a:ln>
            <a:noFill/>
          </a:ln>
          <a:effectLst>
            <a:outerShdw blurRad="254000" sx="102000" sy="102000" algn="ctr" rotWithShape="0">
              <a:prstClr val="black">
                <a:alpha val="20000"/>
              </a:prstClr>
            </a:outerShdw>
          </a:effectLst>
        </c:spPr>
      </c:pivotFmt>
      <c:pivotFmt>
        <c:idx val="419"/>
        <c:spPr>
          <a:solidFill>
            <a:schemeClr val="accent1"/>
          </a:solidFill>
          <a:ln>
            <a:noFill/>
          </a:ln>
          <a:effectLst>
            <a:outerShdw blurRad="254000" sx="102000" sy="102000" algn="ctr" rotWithShape="0">
              <a:prstClr val="black">
                <a:alpha val="20000"/>
              </a:prstClr>
            </a:outerShdw>
          </a:effectLst>
        </c:spPr>
      </c:pivotFmt>
      <c:pivotFmt>
        <c:idx val="420"/>
        <c:spPr>
          <a:solidFill>
            <a:schemeClr val="accent1"/>
          </a:solidFill>
          <a:ln>
            <a:noFill/>
          </a:ln>
          <a:effectLst>
            <a:outerShdw blurRad="254000" sx="102000" sy="102000" algn="ctr" rotWithShape="0">
              <a:prstClr val="black">
                <a:alpha val="20000"/>
              </a:prstClr>
            </a:outerShdw>
          </a:effectLst>
        </c:spPr>
      </c:pivotFmt>
      <c:pivotFmt>
        <c:idx val="421"/>
        <c:spPr>
          <a:solidFill>
            <a:schemeClr val="accent1"/>
          </a:solidFill>
          <a:ln>
            <a:noFill/>
          </a:ln>
          <a:effectLst>
            <a:outerShdw blurRad="254000" sx="102000" sy="102000" algn="ctr" rotWithShape="0">
              <a:prstClr val="black">
                <a:alpha val="20000"/>
              </a:prstClr>
            </a:outerShdw>
          </a:effectLst>
        </c:spPr>
      </c:pivotFmt>
      <c:pivotFmt>
        <c:idx val="422"/>
        <c:spPr>
          <a:solidFill>
            <a:schemeClr val="accent1"/>
          </a:solidFill>
          <a:ln>
            <a:noFill/>
          </a:ln>
          <a:effectLst>
            <a:outerShdw blurRad="254000" sx="102000" sy="102000" algn="ctr" rotWithShape="0">
              <a:prstClr val="black">
                <a:alpha val="20000"/>
              </a:prstClr>
            </a:outerShdw>
          </a:effectLst>
        </c:spPr>
      </c:pivotFmt>
      <c:pivotFmt>
        <c:idx val="423"/>
        <c:spPr>
          <a:solidFill>
            <a:schemeClr val="accent1"/>
          </a:solidFill>
          <a:ln>
            <a:noFill/>
          </a:ln>
          <a:effectLst>
            <a:outerShdw blurRad="254000" sx="102000" sy="102000" algn="ctr" rotWithShape="0">
              <a:prstClr val="black">
                <a:alpha val="20000"/>
              </a:prstClr>
            </a:outerShdw>
          </a:effectLst>
        </c:spPr>
      </c:pivotFmt>
      <c:pivotFmt>
        <c:idx val="424"/>
        <c:spPr>
          <a:solidFill>
            <a:schemeClr val="accent1"/>
          </a:solidFill>
          <a:ln>
            <a:noFill/>
          </a:ln>
          <a:effectLst>
            <a:outerShdw blurRad="254000" sx="102000" sy="102000" algn="ctr" rotWithShape="0">
              <a:prstClr val="black">
                <a:alpha val="20000"/>
              </a:prstClr>
            </a:outerShdw>
          </a:effectLst>
        </c:spPr>
      </c:pivotFmt>
      <c:pivotFmt>
        <c:idx val="425"/>
        <c:spPr>
          <a:solidFill>
            <a:schemeClr val="accent1"/>
          </a:solidFill>
          <a:ln>
            <a:noFill/>
          </a:ln>
          <a:effectLst>
            <a:outerShdw blurRad="254000" sx="102000" sy="102000" algn="ctr" rotWithShape="0">
              <a:prstClr val="black">
                <a:alpha val="20000"/>
              </a:prstClr>
            </a:outerShdw>
          </a:effectLst>
        </c:spPr>
      </c:pivotFmt>
      <c:pivotFmt>
        <c:idx val="426"/>
        <c:spPr>
          <a:solidFill>
            <a:schemeClr val="accent1"/>
          </a:solidFill>
          <a:ln>
            <a:noFill/>
          </a:ln>
          <a:effectLst>
            <a:outerShdw blurRad="254000" sx="102000" sy="102000" algn="ctr" rotWithShape="0">
              <a:prstClr val="black">
                <a:alpha val="20000"/>
              </a:prstClr>
            </a:outerShdw>
          </a:effectLst>
        </c:spPr>
      </c:pivotFmt>
      <c:pivotFmt>
        <c:idx val="427"/>
        <c:spPr>
          <a:solidFill>
            <a:schemeClr val="accent1"/>
          </a:solidFill>
          <a:ln>
            <a:noFill/>
          </a:ln>
          <a:effectLst>
            <a:outerShdw blurRad="254000" sx="102000" sy="102000" algn="ctr" rotWithShape="0">
              <a:prstClr val="black">
                <a:alpha val="20000"/>
              </a:prstClr>
            </a:outerShdw>
          </a:effectLst>
        </c:spPr>
      </c:pivotFmt>
      <c:pivotFmt>
        <c:idx val="428"/>
        <c:spPr>
          <a:solidFill>
            <a:schemeClr val="accent1"/>
          </a:solidFill>
          <a:ln>
            <a:noFill/>
          </a:ln>
          <a:effectLst>
            <a:outerShdw blurRad="254000" sx="102000" sy="102000" algn="ctr" rotWithShape="0">
              <a:prstClr val="black">
                <a:alpha val="20000"/>
              </a:prstClr>
            </a:outerShdw>
          </a:effectLst>
        </c:spPr>
      </c:pivotFmt>
      <c:pivotFmt>
        <c:idx val="429"/>
        <c:spPr>
          <a:solidFill>
            <a:schemeClr val="accent1"/>
          </a:solidFill>
          <a:ln>
            <a:noFill/>
          </a:ln>
          <a:effectLst>
            <a:outerShdw blurRad="254000" sx="102000" sy="102000" algn="ctr" rotWithShape="0">
              <a:prstClr val="black">
                <a:alpha val="20000"/>
              </a:prstClr>
            </a:outerShdw>
          </a:effectLst>
        </c:spPr>
      </c:pivotFmt>
      <c:pivotFmt>
        <c:idx val="430"/>
        <c:spPr>
          <a:solidFill>
            <a:schemeClr val="accent1"/>
          </a:solidFill>
          <a:ln>
            <a:noFill/>
          </a:ln>
          <a:effectLst>
            <a:outerShdw blurRad="254000" sx="102000" sy="102000" algn="ctr" rotWithShape="0">
              <a:prstClr val="black">
                <a:alpha val="20000"/>
              </a:prstClr>
            </a:outerShdw>
          </a:effectLst>
        </c:spPr>
      </c:pivotFmt>
      <c:pivotFmt>
        <c:idx val="431"/>
        <c:spPr>
          <a:solidFill>
            <a:schemeClr val="accent1"/>
          </a:solidFill>
          <a:ln>
            <a:noFill/>
          </a:ln>
          <a:effectLst>
            <a:outerShdw blurRad="254000" sx="102000" sy="102000" algn="ctr" rotWithShape="0">
              <a:prstClr val="black">
                <a:alpha val="20000"/>
              </a:prstClr>
            </a:outerShdw>
          </a:effectLst>
        </c:spPr>
      </c:pivotFmt>
      <c:pivotFmt>
        <c:idx val="432"/>
        <c:spPr>
          <a:solidFill>
            <a:schemeClr val="accent1"/>
          </a:solidFill>
          <a:ln>
            <a:noFill/>
          </a:ln>
          <a:effectLst>
            <a:outerShdw blurRad="254000" sx="102000" sy="102000" algn="ctr" rotWithShape="0">
              <a:prstClr val="black">
                <a:alpha val="20000"/>
              </a:prstClr>
            </a:outerShdw>
          </a:effectLst>
        </c:spPr>
      </c:pivotFmt>
      <c:pivotFmt>
        <c:idx val="433"/>
        <c:spPr>
          <a:solidFill>
            <a:schemeClr val="accent1"/>
          </a:solidFill>
          <a:ln>
            <a:noFill/>
          </a:ln>
          <a:effectLst>
            <a:outerShdw blurRad="254000" sx="102000" sy="102000" algn="ctr" rotWithShape="0">
              <a:prstClr val="black">
                <a:alpha val="20000"/>
              </a:prstClr>
            </a:outerShdw>
          </a:effectLst>
        </c:spPr>
      </c:pivotFmt>
      <c:pivotFmt>
        <c:idx val="434"/>
        <c:spPr>
          <a:solidFill>
            <a:schemeClr val="accent1"/>
          </a:solidFill>
          <a:ln>
            <a:noFill/>
          </a:ln>
          <a:effectLst>
            <a:outerShdw blurRad="254000" sx="102000" sy="102000" algn="ctr" rotWithShape="0">
              <a:prstClr val="black">
                <a:alpha val="20000"/>
              </a:prstClr>
            </a:outerShdw>
          </a:effectLst>
        </c:spPr>
      </c:pivotFmt>
      <c:pivotFmt>
        <c:idx val="435"/>
        <c:spPr>
          <a:solidFill>
            <a:schemeClr val="accent1"/>
          </a:solidFill>
          <a:ln>
            <a:noFill/>
          </a:ln>
          <a:effectLst>
            <a:outerShdw blurRad="254000" sx="102000" sy="102000" algn="ctr" rotWithShape="0">
              <a:prstClr val="black">
                <a:alpha val="20000"/>
              </a:prstClr>
            </a:outerShdw>
          </a:effectLst>
        </c:spPr>
      </c:pivotFmt>
      <c:pivotFmt>
        <c:idx val="436"/>
        <c:spPr>
          <a:solidFill>
            <a:schemeClr val="accent1"/>
          </a:solidFill>
          <a:ln>
            <a:noFill/>
          </a:ln>
          <a:effectLst>
            <a:outerShdw blurRad="254000" sx="102000" sy="102000" algn="ctr" rotWithShape="0">
              <a:prstClr val="black">
                <a:alpha val="20000"/>
              </a:prstClr>
            </a:outerShdw>
          </a:effectLst>
        </c:spPr>
      </c:pivotFmt>
      <c:pivotFmt>
        <c:idx val="437"/>
        <c:spPr>
          <a:solidFill>
            <a:schemeClr val="accent1"/>
          </a:solidFill>
          <a:ln>
            <a:noFill/>
          </a:ln>
          <a:effectLst>
            <a:outerShdw blurRad="254000" sx="102000" sy="102000" algn="ctr" rotWithShape="0">
              <a:prstClr val="black">
                <a:alpha val="20000"/>
              </a:prstClr>
            </a:outerShdw>
          </a:effectLst>
        </c:spPr>
      </c:pivotFmt>
      <c:pivotFmt>
        <c:idx val="438"/>
        <c:spPr>
          <a:solidFill>
            <a:schemeClr val="accent1"/>
          </a:solidFill>
          <a:ln>
            <a:noFill/>
          </a:ln>
          <a:effectLst>
            <a:outerShdw blurRad="254000" sx="102000" sy="102000" algn="ctr" rotWithShape="0">
              <a:prstClr val="black">
                <a:alpha val="20000"/>
              </a:prstClr>
            </a:outerShdw>
          </a:effectLst>
        </c:spPr>
      </c:pivotFmt>
      <c:pivotFmt>
        <c:idx val="439"/>
        <c:spPr>
          <a:solidFill>
            <a:schemeClr val="accent1"/>
          </a:solidFill>
          <a:ln>
            <a:noFill/>
          </a:ln>
          <a:effectLst>
            <a:outerShdw blurRad="254000" sx="102000" sy="102000" algn="ctr" rotWithShape="0">
              <a:prstClr val="black">
                <a:alpha val="20000"/>
              </a:prstClr>
            </a:outerShdw>
          </a:effectLst>
        </c:spPr>
      </c:pivotFmt>
      <c:pivotFmt>
        <c:idx val="440"/>
        <c:spPr>
          <a:solidFill>
            <a:schemeClr val="accent1"/>
          </a:solidFill>
          <a:ln>
            <a:noFill/>
          </a:ln>
          <a:effectLst>
            <a:outerShdw blurRad="254000" sx="102000" sy="102000" algn="ctr" rotWithShape="0">
              <a:prstClr val="black">
                <a:alpha val="20000"/>
              </a:prstClr>
            </a:outerShdw>
          </a:effectLst>
        </c:spPr>
      </c:pivotFmt>
      <c:pivotFmt>
        <c:idx val="441"/>
        <c:spPr>
          <a:solidFill>
            <a:schemeClr val="accent1"/>
          </a:solidFill>
          <a:ln>
            <a:noFill/>
          </a:ln>
          <a:effectLst>
            <a:outerShdw blurRad="254000" sx="102000" sy="102000" algn="ctr" rotWithShape="0">
              <a:prstClr val="black">
                <a:alpha val="20000"/>
              </a:prstClr>
            </a:outerShdw>
          </a:effectLst>
        </c:spPr>
      </c:pivotFmt>
      <c:pivotFmt>
        <c:idx val="442"/>
        <c:spPr>
          <a:solidFill>
            <a:schemeClr val="accent1"/>
          </a:solidFill>
          <a:ln>
            <a:noFill/>
          </a:ln>
          <a:effectLst>
            <a:outerShdw blurRad="254000" sx="102000" sy="102000" algn="ctr" rotWithShape="0">
              <a:prstClr val="black">
                <a:alpha val="20000"/>
              </a:prstClr>
            </a:outerShdw>
          </a:effectLst>
        </c:spPr>
      </c:pivotFmt>
      <c:pivotFmt>
        <c:idx val="443"/>
        <c:spPr>
          <a:solidFill>
            <a:schemeClr val="accent1"/>
          </a:solidFill>
          <a:ln>
            <a:noFill/>
          </a:ln>
          <a:effectLst>
            <a:outerShdw blurRad="254000" sx="102000" sy="102000" algn="ctr" rotWithShape="0">
              <a:prstClr val="black">
                <a:alpha val="20000"/>
              </a:prstClr>
            </a:outerShdw>
          </a:effectLst>
        </c:spPr>
      </c:pivotFmt>
      <c:pivotFmt>
        <c:idx val="444"/>
        <c:spPr>
          <a:solidFill>
            <a:schemeClr val="accent1"/>
          </a:solidFill>
          <a:ln>
            <a:noFill/>
          </a:ln>
          <a:effectLst>
            <a:outerShdw blurRad="254000" sx="102000" sy="102000" algn="ctr" rotWithShape="0">
              <a:prstClr val="black">
                <a:alpha val="20000"/>
              </a:prstClr>
            </a:outerShdw>
          </a:effectLst>
        </c:spPr>
      </c:pivotFmt>
      <c:pivotFmt>
        <c:idx val="445"/>
        <c:spPr>
          <a:solidFill>
            <a:schemeClr val="accent1"/>
          </a:solidFill>
          <a:ln>
            <a:noFill/>
          </a:ln>
          <a:effectLst>
            <a:outerShdw blurRad="254000" sx="102000" sy="102000" algn="ctr" rotWithShape="0">
              <a:prstClr val="black">
                <a:alpha val="20000"/>
              </a:prstClr>
            </a:outerShdw>
          </a:effectLst>
        </c:spPr>
      </c:pivotFmt>
      <c:pivotFmt>
        <c:idx val="446"/>
        <c:spPr>
          <a:solidFill>
            <a:schemeClr val="accent1"/>
          </a:solidFill>
          <a:ln>
            <a:noFill/>
          </a:ln>
          <a:effectLst>
            <a:outerShdw blurRad="254000" sx="102000" sy="102000" algn="ctr" rotWithShape="0">
              <a:prstClr val="black">
                <a:alpha val="20000"/>
              </a:prstClr>
            </a:outerShdw>
          </a:effectLst>
        </c:spPr>
      </c:pivotFmt>
      <c:pivotFmt>
        <c:idx val="447"/>
        <c:spPr>
          <a:solidFill>
            <a:schemeClr val="accent1"/>
          </a:solidFill>
          <a:ln>
            <a:noFill/>
          </a:ln>
          <a:effectLst>
            <a:outerShdw blurRad="254000" sx="102000" sy="102000" algn="ctr" rotWithShape="0">
              <a:prstClr val="black">
                <a:alpha val="20000"/>
              </a:prstClr>
            </a:outerShdw>
          </a:effectLst>
        </c:spPr>
      </c:pivotFmt>
      <c:pivotFmt>
        <c:idx val="448"/>
        <c:spPr>
          <a:solidFill>
            <a:schemeClr val="accent1"/>
          </a:solidFill>
          <a:ln>
            <a:noFill/>
          </a:ln>
          <a:effectLst>
            <a:outerShdw blurRad="254000" sx="102000" sy="102000" algn="ctr" rotWithShape="0">
              <a:prstClr val="black">
                <a:alpha val="20000"/>
              </a:prstClr>
            </a:outerShdw>
          </a:effectLst>
        </c:spPr>
      </c:pivotFmt>
      <c:pivotFmt>
        <c:idx val="449"/>
        <c:spPr>
          <a:solidFill>
            <a:schemeClr val="accent1"/>
          </a:solidFill>
          <a:ln>
            <a:noFill/>
          </a:ln>
          <a:effectLst>
            <a:outerShdw blurRad="254000" sx="102000" sy="102000" algn="ctr" rotWithShape="0">
              <a:prstClr val="black">
                <a:alpha val="20000"/>
              </a:prstClr>
            </a:outerShdw>
          </a:effectLst>
        </c:spPr>
      </c:pivotFmt>
      <c:pivotFmt>
        <c:idx val="450"/>
        <c:spPr>
          <a:solidFill>
            <a:schemeClr val="accent1"/>
          </a:solidFill>
          <a:ln>
            <a:noFill/>
          </a:ln>
          <a:effectLst>
            <a:outerShdw blurRad="254000" sx="102000" sy="102000" algn="ctr" rotWithShape="0">
              <a:prstClr val="black">
                <a:alpha val="20000"/>
              </a:prstClr>
            </a:outerShdw>
          </a:effectLst>
        </c:spPr>
      </c:pivotFmt>
      <c:pivotFmt>
        <c:idx val="451"/>
        <c:spPr>
          <a:solidFill>
            <a:schemeClr val="accent1"/>
          </a:solidFill>
          <a:ln>
            <a:noFill/>
          </a:ln>
          <a:effectLst>
            <a:outerShdw blurRad="254000" sx="102000" sy="102000" algn="ctr" rotWithShape="0">
              <a:prstClr val="black">
                <a:alpha val="20000"/>
              </a:prstClr>
            </a:outerShdw>
          </a:effectLst>
        </c:spPr>
      </c:pivotFmt>
      <c:pivotFmt>
        <c:idx val="452"/>
        <c:spPr>
          <a:solidFill>
            <a:schemeClr val="accent1"/>
          </a:solidFill>
          <a:ln>
            <a:noFill/>
          </a:ln>
          <a:effectLst>
            <a:outerShdw blurRad="254000" sx="102000" sy="102000" algn="ctr" rotWithShape="0">
              <a:prstClr val="black">
                <a:alpha val="20000"/>
              </a:prstClr>
            </a:outerShdw>
          </a:effectLst>
        </c:spPr>
      </c:pivotFmt>
      <c:pivotFmt>
        <c:idx val="453"/>
        <c:spPr>
          <a:solidFill>
            <a:schemeClr val="accent1"/>
          </a:solidFill>
          <a:ln>
            <a:noFill/>
          </a:ln>
          <a:effectLst>
            <a:outerShdw blurRad="254000" sx="102000" sy="102000" algn="ctr" rotWithShape="0">
              <a:prstClr val="black">
                <a:alpha val="20000"/>
              </a:prstClr>
            </a:outerShdw>
          </a:effectLst>
        </c:spPr>
      </c:pivotFmt>
      <c:pivotFmt>
        <c:idx val="454"/>
        <c:spPr>
          <a:solidFill>
            <a:schemeClr val="accent1"/>
          </a:solidFill>
          <a:ln>
            <a:noFill/>
          </a:ln>
          <a:effectLst>
            <a:outerShdw blurRad="254000" sx="102000" sy="102000" algn="ctr" rotWithShape="0">
              <a:prstClr val="black">
                <a:alpha val="20000"/>
              </a:prstClr>
            </a:outerShdw>
          </a:effectLst>
        </c:spPr>
      </c:pivotFmt>
      <c:pivotFmt>
        <c:idx val="455"/>
        <c:spPr>
          <a:solidFill>
            <a:schemeClr val="accent1"/>
          </a:solidFill>
          <a:ln>
            <a:noFill/>
          </a:ln>
          <a:effectLst>
            <a:outerShdw blurRad="254000" sx="102000" sy="102000" algn="ctr" rotWithShape="0">
              <a:prstClr val="black">
                <a:alpha val="20000"/>
              </a:prstClr>
            </a:outerShdw>
          </a:effectLst>
        </c:spPr>
      </c:pivotFmt>
      <c:pivotFmt>
        <c:idx val="456"/>
        <c:spPr>
          <a:solidFill>
            <a:schemeClr val="accent1"/>
          </a:solidFill>
          <a:ln>
            <a:noFill/>
          </a:ln>
          <a:effectLst>
            <a:outerShdw blurRad="254000" sx="102000" sy="102000" algn="ctr" rotWithShape="0">
              <a:prstClr val="black">
                <a:alpha val="20000"/>
              </a:prstClr>
            </a:outerShdw>
          </a:effectLst>
        </c:spPr>
      </c:pivotFmt>
      <c:pivotFmt>
        <c:idx val="457"/>
        <c:spPr>
          <a:solidFill>
            <a:schemeClr val="accent1"/>
          </a:solidFill>
          <a:ln>
            <a:noFill/>
          </a:ln>
          <a:effectLst>
            <a:outerShdw blurRad="254000" sx="102000" sy="102000" algn="ctr" rotWithShape="0">
              <a:prstClr val="black">
                <a:alpha val="20000"/>
              </a:prstClr>
            </a:outerShdw>
          </a:effectLst>
        </c:spPr>
      </c:pivotFmt>
      <c:pivotFmt>
        <c:idx val="458"/>
        <c:spPr>
          <a:solidFill>
            <a:schemeClr val="accent1"/>
          </a:solidFill>
          <a:ln>
            <a:noFill/>
          </a:ln>
          <a:effectLst>
            <a:outerShdw blurRad="254000" sx="102000" sy="102000" algn="ctr" rotWithShape="0">
              <a:prstClr val="black">
                <a:alpha val="20000"/>
              </a:prstClr>
            </a:outerShdw>
          </a:effectLst>
        </c:spPr>
      </c:pivotFmt>
      <c:pivotFmt>
        <c:idx val="459"/>
        <c:spPr>
          <a:solidFill>
            <a:schemeClr val="accent1"/>
          </a:solidFill>
          <a:ln>
            <a:noFill/>
          </a:ln>
          <a:effectLst>
            <a:outerShdw blurRad="254000" sx="102000" sy="102000" algn="ctr" rotWithShape="0">
              <a:prstClr val="black">
                <a:alpha val="20000"/>
              </a:prstClr>
            </a:outerShdw>
          </a:effectLst>
        </c:spPr>
      </c:pivotFmt>
      <c:pivotFmt>
        <c:idx val="460"/>
        <c:spPr>
          <a:solidFill>
            <a:schemeClr val="accent1"/>
          </a:solidFill>
          <a:ln>
            <a:noFill/>
          </a:ln>
          <a:effectLst>
            <a:outerShdw blurRad="254000" sx="102000" sy="102000" algn="ctr" rotWithShape="0">
              <a:prstClr val="black">
                <a:alpha val="20000"/>
              </a:prstClr>
            </a:outerShdw>
          </a:effectLst>
        </c:spPr>
      </c:pivotFmt>
      <c:pivotFmt>
        <c:idx val="461"/>
        <c:spPr>
          <a:solidFill>
            <a:schemeClr val="accent1"/>
          </a:solidFill>
          <a:ln>
            <a:noFill/>
          </a:ln>
          <a:effectLst>
            <a:outerShdw blurRad="254000" sx="102000" sy="102000" algn="ctr" rotWithShape="0">
              <a:prstClr val="black">
                <a:alpha val="20000"/>
              </a:prstClr>
            </a:outerShdw>
          </a:effectLst>
        </c:spPr>
      </c:pivotFmt>
      <c:pivotFmt>
        <c:idx val="462"/>
        <c:spPr>
          <a:solidFill>
            <a:schemeClr val="accent1"/>
          </a:solidFill>
          <a:ln>
            <a:noFill/>
          </a:ln>
          <a:effectLst>
            <a:outerShdw blurRad="254000" sx="102000" sy="102000" algn="ctr" rotWithShape="0">
              <a:prstClr val="black">
                <a:alpha val="20000"/>
              </a:prstClr>
            </a:outerShdw>
          </a:effectLst>
        </c:spPr>
      </c:pivotFmt>
      <c:pivotFmt>
        <c:idx val="463"/>
        <c:spPr>
          <a:solidFill>
            <a:schemeClr val="accent1"/>
          </a:solidFill>
          <a:ln>
            <a:noFill/>
          </a:ln>
          <a:effectLst>
            <a:outerShdw blurRad="254000" sx="102000" sy="102000" algn="ctr" rotWithShape="0">
              <a:prstClr val="black">
                <a:alpha val="20000"/>
              </a:prstClr>
            </a:outerShdw>
          </a:effectLst>
        </c:spPr>
      </c:pivotFmt>
      <c:pivotFmt>
        <c:idx val="464"/>
        <c:spPr>
          <a:solidFill>
            <a:schemeClr val="accent1"/>
          </a:solidFill>
          <a:ln>
            <a:noFill/>
          </a:ln>
          <a:effectLst>
            <a:outerShdw blurRad="254000" sx="102000" sy="102000" algn="ctr" rotWithShape="0">
              <a:prstClr val="black">
                <a:alpha val="20000"/>
              </a:prstClr>
            </a:outerShdw>
          </a:effectLst>
        </c:spPr>
      </c:pivotFmt>
      <c:pivotFmt>
        <c:idx val="465"/>
        <c:spPr>
          <a:solidFill>
            <a:schemeClr val="accent1"/>
          </a:solidFill>
          <a:ln>
            <a:noFill/>
          </a:ln>
          <a:effectLst>
            <a:outerShdw blurRad="254000" sx="102000" sy="102000" algn="ctr" rotWithShape="0">
              <a:prstClr val="black">
                <a:alpha val="20000"/>
              </a:prstClr>
            </a:outerShdw>
          </a:effectLst>
        </c:spPr>
      </c:pivotFmt>
      <c:pivotFmt>
        <c:idx val="466"/>
        <c:spPr>
          <a:solidFill>
            <a:schemeClr val="accent1"/>
          </a:solidFill>
          <a:ln>
            <a:noFill/>
          </a:ln>
          <a:effectLst>
            <a:outerShdw blurRad="254000" sx="102000" sy="102000" algn="ctr" rotWithShape="0">
              <a:prstClr val="black">
                <a:alpha val="20000"/>
              </a:prstClr>
            </a:outerShdw>
          </a:effectLst>
        </c:spPr>
      </c:pivotFmt>
      <c:pivotFmt>
        <c:idx val="467"/>
        <c:spPr>
          <a:solidFill>
            <a:schemeClr val="accent1"/>
          </a:solidFill>
          <a:ln>
            <a:noFill/>
          </a:ln>
          <a:effectLst>
            <a:outerShdw blurRad="254000" sx="102000" sy="102000" algn="ctr" rotWithShape="0">
              <a:prstClr val="black">
                <a:alpha val="20000"/>
              </a:prstClr>
            </a:outerShdw>
          </a:effectLst>
        </c:spPr>
      </c:pivotFmt>
      <c:pivotFmt>
        <c:idx val="468"/>
        <c:spPr>
          <a:solidFill>
            <a:schemeClr val="accent1"/>
          </a:solidFill>
          <a:ln>
            <a:noFill/>
          </a:ln>
          <a:effectLst>
            <a:outerShdw blurRad="254000" sx="102000" sy="102000" algn="ctr" rotWithShape="0">
              <a:prstClr val="black">
                <a:alpha val="20000"/>
              </a:prstClr>
            </a:outerShdw>
          </a:effectLst>
        </c:spPr>
      </c:pivotFmt>
      <c:pivotFmt>
        <c:idx val="469"/>
        <c:spPr>
          <a:solidFill>
            <a:schemeClr val="accent1"/>
          </a:solidFill>
          <a:ln>
            <a:noFill/>
          </a:ln>
          <a:effectLst>
            <a:outerShdw blurRad="254000" sx="102000" sy="102000" algn="ctr" rotWithShape="0">
              <a:prstClr val="black">
                <a:alpha val="20000"/>
              </a:prstClr>
            </a:outerShdw>
          </a:effectLst>
        </c:spPr>
      </c:pivotFmt>
      <c:pivotFmt>
        <c:idx val="470"/>
        <c:spPr>
          <a:solidFill>
            <a:schemeClr val="accent1"/>
          </a:solidFill>
          <a:ln>
            <a:noFill/>
          </a:ln>
          <a:effectLst>
            <a:outerShdw blurRad="254000" sx="102000" sy="102000" algn="ctr" rotWithShape="0">
              <a:prstClr val="black">
                <a:alpha val="20000"/>
              </a:prstClr>
            </a:outerShdw>
          </a:effectLst>
        </c:spPr>
      </c:pivotFmt>
      <c:pivotFmt>
        <c:idx val="471"/>
        <c:spPr>
          <a:solidFill>
            <a:schemeClr val="accent1"/>
          </a:solidFill>
          <a:ln>
            <a:noFill/>
          </a:ln>
          <a:effectLst>
            <a:outerShdw blurRad="254000" sx="102000" sy="102000" algn="ctr" rotWithShape="0">
              <a:prstClr val="black">
                <a:alpha val="20000"/>
              </a:prstClr>
            </a:outerShdw>
          </a:effectLst>
        </c:spPr>
      </c:pivotFmt>
      <c:pivotFmt>
        <c:idx val="472"/>
        <c:spPr>
          <a:solidFill>
            <a:schemeClr val="accent1"/>
          </a:solidFill>
          <a:ln>
            <a:noFill/>
          </a:ln>
          <a:effectLst>
            <a:outerShdw blurRad="254000" sx="102000" sy="102000" algn="ctr" rotWithShape="0">
              <a:prstClr val="black">
                <a:alpha val="20000"/>
              </a:prstClr>
            </a:outerShdw>
          </a:effectLst>
        </c:spPr>
      </c:pivotFmt>
      <c:pivotFmt>
        <c:idx val="473"/>
        <c:spPr>
          <a:solidFill>
            <a:schemeClr val="accent1"/>
          </a:solidFill>
          <a:ln>
            <a:noFill/>
          </a:ln>
          <a:effectLst>
            <a:outerShdw blurRad="254000" sx="102000" sy="102000" algn="ctr" rotWithShape="0">
              <a:prstClr val="black">
                <a:alpha val="20000"/>
              </a:prstClr>
            </a:outerShdw>
          </a:effectLst>
        </c:spPr>
      </c:pivotFmt>
      <c:pivotFmt>
        <c:idx val="474"/>
        <c:spPr>
          <a:solidFill>
            <a:schemeClr val="accent1"/>
          </a:solidFill>
          <a:ln>
            <a:noFill/>
          </a:ln>
          <a:effectLst>
            <a:outerShdw blurRad="254000" sx="102000" sy="102000" algn="ctr" rotWithShape="0">
              <a:prstClr val="black">
                <a:alpha val="20000"/>
              </a:prstClr>
            </a:outerShdw>
          </a:effectLst>
        </c:spPr>
      </c:pivotFmt>
      <c:pivotFmt>
        <c:idx val="475"/>
        <c:spPr>
          <a:solidFill>
            <a:schemeClr val="accent1"/>
          </a:solidFill>
          <a:ln>
            <a:noFill/>
          </a:ln>
          <a:effectLst>
            <a:outerShdw blurRad="254000" sx="102000" sy="102000" algn="ctr" rotWithShape="0">
              <a:prstClr val="black">
                <a:alpha val="20000"/>
              </a:prstClr>
            </a:outerShdw>
          </a:effectLst>
        </c:spPr>
      </c:pivotFmt>
      <c:pivotFmt>
        <c:idx val="476"/>
        <c:spPr>
          <a:solidFill>
            <a:schemeClr val="accent1"/>
          </a:solidFill>
          <a:ln>
            <a:noFill/>
          </a:ln>
          <a:effectLst>
            <a:outerShdw blurRad="254000" sx="102000" sy="102000" algn="ctr" rotWithShape="0">
              <a:prstClr val="black">
                <a:alpha val="20000"/>
              </a:prstClr>
            </a:outerShdw>
          </a:effectLst>
        </c:spPr>
      </c:pivotFmt>
      <c:pivotFmt>
        <c:idx val="477"/>
        <c:spPr>
          <a:solidFill>
            <a:schemeClr val="accent1"/>
          </a:solidFill>
          <a:ln>
            <a:noFill/>
          </a:ln>
          <a:effectLst>
            <a:outerShdw blurRad="254000" sx="102000" sy="102000" algn="ctr" rotWithShape="0">
              <a:prstClr val="black">
                <a:alpha val="20000"/>
              </a:prstClr>
            </a:outerShdw>
          </a:effectLst>
        </c:spPr>
      </c:pivotFmt>
      <c:pivotFmt>
        <c:idx val="478"/>
        <c:spPr>
          <a:solidFill>
            <a:schemeClr val="accent1"/>
          </a:solidFill>
          <a:ln>
            <a:noFill/>
          </a:ln>
          <a:effectLst>
            <a:outerShdw blurRad="254000" sx="102000" sy="102000" algn="ctr" rotWithShape="0">
              <a:prstClr val="black">
                <a:alpha val="20000"/>
              </a:prstClr>
            </a:outerShdw>
          </a:effectLst>
        </c:spPr>
      </c:pivotFmt>
      <c:pivotFmt>
        <c:idx val="479"/>
        <c:spPr>
          <a:solidFill>
            <a:schemeClr val="accent1"/>
          </a:solidFill>
          <a:ln>
            <a:noFill/>
          </a:ln>
          <a:effectLst>
            <a:outerShdw blurRad="254000" sx="102000" sy="102000" algn="ctr" rotWithShape="0">
              <a:prstClr val="black">
                <a:alpha val="20000"/>
              </a:prstClr>
            </a:outerShdw>
          </a:effectLst>
        </c:spPr>
      </c:pivotFmt>
      <c:pivotFmt>
        <c:idx val="480"/>
        <c:spPr>
          <a:solidFill>
            <a:schemeClr val="accent1"/>
          </a:solidFill>
          <a:ln>
            <a:noFill/>
          </a:ln>
          <a:effectLst>
            <a:outerShdw blurRad="254000" sx="102000" sy="102000" algn="ctr" rotWithShape="0">
              <a:prstClr val="black">
                <a:alpha val="20000"/>
              </a:prstClr>
            </a:outerShdw>
          </a:effectLst>
        </c:spPr>
      </c:pivotFmt>
      <c:pivotFmt>
        <c:idx val="481"/>
        <c:spPr>
          <a:solidFill>
            <a:schemeClr val="accent1"/>
          </a:solidFill>
          <a:ln>
            <a:noFill/>
          </a:ln>
          <a:effectLst>
            <a:outerShdw blurRad="254000" sx="102000" sy="102000" algn="ctr" rotWithShape="0">
              <a:prstClr val="black">
                <a:alpha val="20000"/>
              </a:prstClr>
            </a:outerShdw>
          </a:effectLst>
        </c:spPr>
      </c:pivotFmt>
      <c:pivotFmt>
        <c:idx val="482"/>
        <c:spPr>
          <a:solidFill>
            <a:schemeClr val="accent1"/>
          </a:solidFill>
          <a:ln>
            <a:noFill/>
          </a:ln>
          <a:effectLst>
            <a:outerShdw blurRad="254000" sx="102000" sy="102000" algn="ctr" rotWithShape="0">
              <a:prstClr val="black">
                <a:alpha val="20000"/>
              </a:prstClr>
            </a:outerShdw>
          </a:effectLst>
        </c:spPr>
      </c:pivotFmt>
      <c:pivotFmt>
        <c:idx val="483"/>
        <c:spPr>
          <a:solidFill>
            <a:schemeClr val="accent1"/>
          </a:solidFill>
          <a:ln>
            <a:noFill/>
          </a:ln>
          <a:effectLst>
            <a:outerShdw blurRad="254000" sx="102000" sy="102000" algn="ctr" rotWithShape="0">
              <a:prstClr val="black">
                <a:alpha val="20000"/>
              </a:prstClr>
            </a:outerShdw>
          </a:effectLst>
        </c:spPr>
      </c:pivotFmt>
      <c:pivotFmt>
        <c:idx val="484"/>
        <c:spPr>
          <a:solidFill>
            <a:schemeClr val="accent1"/>
          </a:solidFill>
          <a:ln>
            <a:noFill/>
          </a:ln>
          <a:effectLst>
            <a:outerShdw blurRad="254000" sx="102000" sy="102000" algn="ctr" rotWithShape="0">
              <a:prstClr val="black">
                <a:alpha val="20000"/>
              </a:prstClr>
            </a:outerShdw>
          </a:effectLst>
        </c:spPr>
      </c:pivotFmt>
      <c:pivotFmt>
        <c:idx val="485"/>
        <c:spPr>
          <a:solidFill>
            <a:schemeClr val="accent1"/>
          </a:solidFill>
          <a:ln>
            <a:noFill/>
          </a:ln>
          <a:effectLst>
            <a:outerShdw blurRad="254000" sx="102000" sy="102000" algn="ctr" rotWithShape="0">
              <a:prstClr val="black">
                <a:alpha val="20000"/>
              </a:prstClr>
            </a:outerShdw>
          </a:effectLst>
        </c:spPr>
      </c:pivotFmt>
      <c:pivotFmt>
        <c:idx val="486"/>
        <c:spPr>
          <a:solidFill>
            <a:schemeClr val="accent1"/>
          </a:solidFill>
          <a:ln>
            <a:noFill/>
          </a:ln>
          <a:effectLst>
            <a:outerShdw blurRad="254000" sx="102000" sy="102000" algn="ctr" rotWithShape="0">
              <a:prstClr val="black">
                <a:alpha val="20000"/>
              </a:prstClr>
            </a:outerShdw>
          </a:effectLst>
        </c:spPr>
      </c:pivotFmt>
      <c:pivotFmt>
        <c:idx val="487"/>
        <c:spPr>
          <a:solidFill>
            <a:schemeClr val="accent1"/>
          </a:solidFill>
          <a:ln>
            <a:noFill/>
          </a:ln>
          <a:effectLst>
            <a:outerShdw blurRad="254000" sx="102000" sy="102000" algn="ctr" rotWithShape="0">
              <a:prstClr val="black">
                <a:alpha val="20000"/>
              </a:prstClr>
            </a:outerShdw>
          </a:effectLst>
        </c:spPr>
      </c:pivotFmt>
      <c:pivotFmt>
        <c:idx val="488"/>
        <c:spPr>
          <a:solidFill>
            <a:schemeClr val="accent1"/>
          </a:solidFill>
          <a:ln>
            <a:noFill/>
          </a:ln>
          <a:effectLst>
            <a:outerShdw blurRad="254000" sx="102000" sy="102000" algn="ctr" rotWithShape="0">
              <a:prstClr val="black">
                <a:alpha val="20000"/>
              </a:prstClr>
            </a:outerShdw>
          </a:effectLst>
        </c:spPr>
      </c:pivotFmt>
      <c:pivotFmt>
        <c:idx val="489"/>
        <c:spPr>
          <a:solidFill>
            <a:schemeClr val="accent1"/>
          </a:solidFill>
          <a:ln>
            <a:noFill/>
          </a:ln>
          <a:effectLst>
            <a:outerShdw blurRad="254000" sx="102000" sy="102000" algn="ctr" rotWithShape="0">
              <a:prstClr val="black">
                <a:alpha val="20000"/>
              </a:prstClr>
            </a:outerShdw>
          </a:effectLst>
        </c:spPr>
      </c:pivotFmt>
      <c:pivotFmt>
        <c:idx val="490"/>
        <c:spPr>
          <a:solidFill>
            <a:schemeClr val="accent1"/>
          </a:solidFill>
          <a:ln>
            <a:noFill/>
          </a:ln>
          <a:effectLst>
            <a:outerShdw blurRad="254000" sx="102000" sy="102000" algn="ctr" rotWithShape="0">
              <a:prstClr val="black">
                <a:alpha val="20000"/>
              </a:prstClr>
            </a:outerShdw>
          </a:effectLst>
        </c:spPr>
      </c:pivotFmt>
      <c:pivotFmt>
        <c:idx val="491"/>
        <c:spPr>
          <a:solidFill>
            <a:schemeClr val="accent1"/>
          </a:solidFill>
          <a:ln>
            <a:noFill/>
          </a:ln>
          <a:effectLst>
            <a:outerShdw blurRad="254000" sx="102000" sy="102000" algn="ctr" rotWithShape="0">
              <a:prstClr val="black">
                <a:alpha val="20000"/>
              </a:prstClr>
            </a:outerShdw>
          </a:effectLst>
        </c:spPr>
      </c:pivotFmt>
      <c:pivotFmt>
        <c:idx val="492"/>
        <c:spPr>
          <a:solidFill>
            <a:schemeClr val="accent1"/>
          </a:solidFill>
          <a:ln>
            <a:noFill/>
          </a:ln>
          <a:effectLst>
            <a:outerShdw blurRad="254000" sx="102000" sy="102000" algn="ctr" rotWithShape="0">
              <a:prstClr val="black">
                <a:alpha val="20000"/>
              </a:prstClr>
            </a:outerShdw>
          </a:effectLst>
        </c:spPr>
      </c:pivotFmt>
      <c:pivotFmt>
        <c:idx val="493"/>
        <c:spPr>
          <a:solidFill>
            <a:schemeClr val="accent1"/>
          </a:solidFill>
          <a:ln>
            <a:noFill/>
          </a:ln>
          <a:effectLst>
            <a:outerShdw blurRad="254000" sx="102000" sy="102000" algn="ctr" rotWithShape="0">
              <a:prstClr val="black">
                <a:alpha val="20000"/>
              </a:prstClr>
            </a:outerShdw>
          </a:effectLst>
        </c:spPr>
      </c:pivotFmt>
      <c:pivotFmt>
        <c:idx val="494"/>
        <c:spPr>
          <a:solidFill>
            <a:schemeClr val="accent1"/>
          </a:solidFill>
          <a:ln>
            <a:noFill/>
          </a:ln>
          <a:effectLst>
            <a:outerShdw blurRad="254000" sx="102000" sy="102000" algn="ctr" rotWithShape="0">
              <a:prstClr val="black">
                <a:alpha val="20000"/>
              </a:prstClr>
            </a:outerShdw>
          </a:effectLst>
        </c:spPr>
      </c:pivotFmt>
      <c:pivotFmt>
        <c:idx val="495"/>
        <c:spPr>
          <a:solidFill>
            <a:schemeClr val="accent1"/>
          </a:solidFill>
          <a:ln>
            <a:noFill/>
          </a:ln>
          <a:effectLst>
            <a:outerShdw blurRad="254000" sx="102000" sy="102000" algn="ctr" rotWithShape="0">
              <a:prstClr val="black">
                <a:alpha val="20000"/>
              </a:prstClr>
            </a:outerShdw>
          </a:effectLst>
        </c:spPr>
      </c:pivotFmt>
      <c:pivotFmt>
        <c:idx val="496"/>
        <c:spPr>
          <a:solidFill>
            <a:schemeClr val="accent1"/>
          </a:solidFill>
          <a:ln>
            <a:noFill/>
          </a:ln>
          <a:effectLst>
            <a:outerShdw blurRad="254000" sx="102000" sy="102000" algn="ctr" rotWithShape="0">
              <a:prstClr val="black">
                <a:alpha val="20000"/>
              </a:prstClr>
            </a:outerShdw>
          </a:effectLst>
        </c:spPr>
      </c:pivotFmt>
      <c:pivotFmt>
        <c:idx val="497"/>
        <c:spPr>
          <a:solidFill>
            <a:schemeClr val="accent1"/>
          </a:solidFill>
          <a:ln>
            <a:noFill/>
          </a:ln>
          <a:effectLst>
            <a:outerShdw blurRad="254000" sx="102000" sy="102000" algn="ctr" rotWithShape="0">
              <a:prstClr val="black">
                <a:alpha val="20000"/>
              </a:prstClr>
            </a:outerShdw>
          </a:effectLst>
        </c:spPr>
      </c:pivotFmt>
      <c:pivotFmt>
        <c:idx val="498"/>
        <c:spPr>
          <a:solidFill>
            <a:schemeClr val="accent1"/>
          </a:solidFill>
          <a:ln>
            <a:noFill/>
          </a:ln>
          <a:effectLst>
            <a:outerShdw blurRad="254000" sx="102000" sy="102000" algn="ctr" rotWithShape="0">
              <a:prstClr val="black">
                <a:alpha val="20000"/>
              </a:prstClr>
            </a:outerShdw>
          </a:effectLst>
        </c:spPr>
      </c:pivotFmt>
      <c:pivotFmt>
        <c:idx val="499"/>
        <c:spPr>
          <a:solidFill>
            <a:schemeClr val="accent1"/>
          </a:solidFill>
          <a:ln>
            <a:noFill/>
          </a:ln>
          <a:effectLst>
            <a:outerShdw blurRad="254000" sx="102000" sy="102000" algn="ctr" rotWithShape="0">
              <a:prstClr val="black">
                <a:alpha val="20000"/>
              </a:prstClr>
            </a:outerShdw>
          </a:effectLst>
        </c:spPr>
      </c:pivotFmt>
      <c:pivotFmt>
        <c:idx val="500"/>
        <c:spPr>
          <a:solidFill>
            <a:schemeClr val="accent1"/>
          </a:solidFill>
          <a:ln>
            <a:noFill/>
          </a:ln>
          <a:effectLst>
            <a:outerShdw blurRad="254000" sx="102000" sy="102000" algn="ctr" rotWithShape="0">
              <a:prstClr val="black">
                <a:alpha val="20000"/>
              </a:prstClr>
            </a:outerShdw>
          </a:effectLst>
        </c:spPr>
      </c:pivotFmt>
      <c:pivotFmt>
        <c:idx val="501"/>
        <c:spPr>
          <a:solidFill>
            <a:schemeClr val="accent1"/>
          </a:solidFill>
          <a:ln>
            <a:noFill/>
          </a:ln>
          <a:effectLst>
            <a:outerShdw blurRad="254000" sx="102000" sy="102000" algn="ctr" rotWithShape="0">
              <a:prstClr val="black">
                <a:alpha val="20000"/>
              </a:prstClr>
            </a:outerShdw>
          </a:effectLst>
        </c:spPr>
      </c:pivotFmt>
      <c:pivotFmt>
        <c:idx val="502"/>
        <c:spPr>
          <a:solidFill>
            <a:schemeClr val="accent1"/>
          </a:solidFill>
          <a:ln>
            <a:noFill/>
          </a:ln>
          <a:effectLst>
            <a:outerShdw blurRad="254000" sx="102000" sy="102000" algn="ctr" rotWithShape="0">
              <a:prstClr val="black">
                <a:alpha val="20000"/>
              </a:prstClr>
            </a:outerShdw>
          </a:effectLst>
        </c:spPr>
      </c:pivotFmt>
      <c:pivotFmt>
        <c:idx val="503"/>
        <c:spPr>
          <a:solidFill>
            <a:schemeClr val="accent1"/>
          </a:solidFill>
          <a:ln>
            <a:noFill/>
          </a:ln>
          <a:effectLst>
            <a:outerShdw blurRad="254000" sx="102000" sy="102000" algn="ctr" rotWithShape="0">
              <a:prstClr val="black">
                <a:alpha val="20000"/>
              </a:prstClr>
            </a:outerShdw>
          </a:effectLst>
        </c:spPr>
      </c:pivotFmt>
      <c:pivotFmt>
        <c:idx val="504"/>
        <c:spPr>
          <a:solidFill>
            <a:schemeClr val="accent1"/>
          </a:solidFill>
          <a:ln>
            <a:noFill/>
          </a:ln>
          <a:effectLst>
            <a:outerShdw blurRad="254000" sx="102000" sy="102000" algn="ctr" rotWithShape="0">
              <a:prstClr val="black">
                <a:alpha val="20000"/>
              </a:prstClr>
            </a:outerShdw>
          </a:effectLst>
        </c:spPr>
      </c:pivotFmt>
      <c:pivotFmt>
        <c:idx val="505"/>
        <c:spPr>
          <a:solidFill>
            <a:schemeClr val="accent1"/>
          </a:solidFill>
          <a:ln>
            <a:noFill/>
          </a:ln>
          <a:effectLst>
            <a:outerShdw blurRad="254000" sx="102000" sy="102000" algn="ctr" rotWithShape="0">
              <a:prstClr val="black">
                <a:alpha val="20000"/>
              </a:prstClr>
            </a:outerShdw>
          </a:effectLst>
        </c:spPr>
      </c:pivotFmt>
      <c:pivotFmt>
        <c:idx val="506"/>
        <c:spPr>
          <a:solidFill>
            <a:schemeClr val="accent1"/>
          </a:solidFill>
          <a:ln>
            <a:noFill/>
          </a:ln>
          <a:effectLst>
            <a:outerShdw blurRad="254000" sx="102000" sy="102000" algn="ctr" rotWithShape="0">
              <a:prstClr val="black">
                <a:alpha val="20000"/>
              </a:prstClr>
            </a:outerShdw>
          </a:effectLst>
        </c:spPr>
      </c:pivotFmt>
      <c:pivotFmt>
        <c:idx val="507"/>
        <c:spPr>
          <a:solidFill>
            <a:schemeClr val="accent1"/>
          </a:solidFill>
          <a:ln>
            <a:noFill/>
          </a:ln>
          <a:effectLst>
            <a:outerShdw blurRad="254000" sx="102000" sy="102000" algn="ctr" rotWithShape="0">
              <a:prstClr val="black">
                <a:alpha val="20000"/>
              </a:prstClr>
            </a:outerShdw>
          </a:effectLst>
        </c:spPr>
      </c:pivotFmt>
      <c:pivotFmt>
        <c:idx val="508"/>
        <c:spPr>
          <a:solidFill>
            <a:schemeClr val="accent1"/>
          </a:solidFill>
          <a:ln>
            <a:noFill/>
          </a:ln>
          <a:effectLst>
            <a:outerShdw blurRad="254000" sx="102000" sy="102000" algn="ctr" rotWithShape="0">
              <a:prstClr val="black">
                <a:alpha val="20000"/>
              </a:prstClr>
            </a:outerShdw>
          </a:effectLst>
        </c:spPr>
      </c:pivotFmt>
      <c:pivotFmt>
        <c:idx val="509"/>
        <c:spPr>
          <a:solidFill>
            <a:schemeClr val="accent1"/>
          </a:solidFill>
          <a:ln>
            <a:noFill/>
          </a:ln>
          <a:effectLst>
            <a:outerShdw blurRad="254000" sx="102000" sy="102000" algn="ctr" rotWithShape="0">
              <a:prstClr val="black">
                <a:alpha val="20000"/>
              </a:prstClr>
            </a:outerShdw>
          </a:effectLst>
        </c:spPr>
      </c:pivotFmt>
      <c:pivotFmt>
        <c:idx val="510"/>
        <c:spPr>
          <a:solidFill>
            <a:schemeClr val="accent1"/>
          </a:solidFill>
          <a:ln>
            <a:noFill/>
          </a:ln>
          <a:effectLst>
            <a:outerShdw blurRad="254000" sx="102000" sy="102000" algn="ctr" rotWithShape="0">
              <a:prstClr val="black">
                <a:alpha val="20000"/>
              </a:prstClr>
            </a:outerShdw>
          </a:effectLst>
        </c:spPr>
      </c:pivotFmt>
      <c:pivotFmt>
        <c:idx val="511"/>
        <c:spPr>
          <a:solidFill>
            <a:schemeClr val="accent1"/>
          </a:solidFill>
          <a:ln>
            <a:noFill/>
          </a:ln>
          <a:effectLst>
            <a:outerShdw blurRad="254000" sx="102000" sy="102000" algn="ctr" rotWithShape="0">
              <a:prstClr val="black">
                <a:alpha val="20000"/>
              </a:prstClr>
            </a:outerShdw>
          </a:effectLst>
        </c:spPr>
      </c:pivotFmt>
      <c:pivotFmt>
        <c:idx val="512"/>
        <c:spPr>
          <a:solidFill>
            <a:schemeClr val="accent1"/>
          </a:solidFill>
          <a:ln>
            <a:noFill/>
          </a:ln>
          <a:effectLst>
            <a:outerShdw blurRad="254000" sx="102000" sy="102000" algn="ctr" rotWithShape="0">
              <a:prstClr val="black">
                <a:alpha val="20000"/>
              </a:prstClr>
            </a:outerShdw>
          </a:effectLst>
        </c:spPr>
      </c:pivotFmt>
      <c:pivotFmt>
        <c:idx val="513"/>
        <c:spPr>
          <a:solidFill>
            <a:schemeClr val="accent1"/>
          </a:solidFill>
          <a:ln>
            <a:noFill/>
          </a:ln>
          <a:effectLst>
            <a:outerShdw blurRad="254000" sx="102000" sy="102000" algn="ctr" rotWithShape="0">
              <a:prstClr val="black">
                <a:alpha val="20000"/>
              </a:prstClr>
            </a:outerShdw>
          </a:effectLst>
        </c:spPr>
      </c:pivotFmt>
      <c:pivotFmt>
        <c:idx val="514"/>
        <c:spPr>
          <a:solidFill>
            <a:schemeClr val="accent1"/>
          </a:solidFill>
          <a:ln>
            <a:noFill/>
          </a:ln>
          <a:effectLst>
            <a:outerShdw blurRad="254000" sx="102000" sy="102000" algn="ctr" rotWithShape="0">
              <a:prstClr val="black">
                <a:alpha val="20000"/>
              </a:prstClr>
            </a:outerShdw>
          </a:effectLst>
        </c:spPr>
      </c:pivotFmt>
      <c:pivotFmt>
        <c:idx val="515"/>
        <c:spPr>
          <a:solidFill>
            <a:schemeClr val="accent1"/>
          </a:solidFill>
          <a:ln>
            <a:noFill/>
          </a:ln>
          <a:effectLst>
            <a:outerShdw blurRad="254000" sx="102000" sy="102000" algn="ctr" rotWithShape="0">
              <a:prstClr val="black">
                <a:alpha val="20000"/>
              </a:prstClr>
            </a:outerShdw>
          </a:effectLst>
        </c:spPr>
      </c:pivotFmt>
      <c:pivotFmt>
        <c:idx val="516"/>
        <c:spPr>
          <a:solidFill>
            <a:schemeClr val="accent1"/>
          </a:solidFill>
          <a:ln>
            <a:noFill/>
          </a:ln>
          <a:effectLst>
            <a:outerShdw blurRad="254000" sx="102000" sy="102000" algn="ctr" rotWithShape="0">
              <a:prstClr val="black">
                <a:alpha val="20000"/>
              </a:prstClr>
            </a:outerShdw>
          </a:effectLst>
        </c:spPr>
      </c:pivotFmt>
      <c:pivotFmt>
        <c:idx val="517"/>
        <c:spPr>
          <a:solidFill>
            <a:schemeClr val="accent1"/>
          </a:solidFill>
          <a:ln>
            <a:noFill/>
          </a:ln>
          <a:effectLst>
            <a:outerShdw blurRad="254000" sx="102000" sy="102000" algn="ctr" rotWithShape="0">
              <a:prstClr val="black">
                <a:alpha val="20000"/>
              </a:prstClr>
            </a:outerShdw>
          </a:effectLst>
        </c:spPr>
      </c:pivotFmt>
      <c:pivotFmt>
        <c:idx val="518"/>
        <c:spPr>
          <a:solidFill>
            <a:schemeClr val="accent1"/>
          </a:solidFill>
          <a:ln>
            <a:noFill/>
          </a:ln>
          <a:effectLst>
            <a:outerShdw blurRad="254000" sx="102000" sy="102000" algn="ctr" rotWithShape="0">
              <a:prstClr val="black">
                <a:alpha val="20000"/>
              </a:prstClr>
            </a:outerShdw>
          </a:effectLst>
        </c:spPr>
      </c:pivotFmt>
      <c:pivotFmt>
        <c:idx val="519"/>
        <c:spPr>
          <a:solidFill>
            <a:schemeClr val="accent1"/>
          </a:solidFill>
          <a:ln>
            <a:noFill/>
          </a:ln>
          <a:effectLst>
            <a:outerShdw blurRad="254000" sx="102000" sy="102000" algn="ctr" rotWithShape="0">
              <a:prstClr val="black">
                <a:alpha val="20000"/>
              </a:prstClr>
            </a:outerShdw>
          </a:effectLst>
        </c:spPr>
      </c:pivotFmt>
      <c:pivotFmt>
        <c:idx val="520"/>
        <c:spPr>
          <a:solidFill>
            <a:schemeClr val="accent1"/>
          </a:solidFill>
          <a:ln>
            <a:noFill/>
          </a:ln>
          <a:effectLst>
            <a:outerShdw blurRad="254000" sx="102000" sy="102000" algn="ctr" rotWithShape="0">
              <a:prstClr val="black">
                <a:alpha val="20000"/>
              </a:prstClr>
            </a:outerShdw>
          </a:effectLst>
        </c:spPr>
      </c:pivotFmt>
      <c:pivotFmt>
        <c:idx val="521"/>
        <c:spPr>
          <a:solidFill>
            <a:schemeClr val="accent1"/>
          </a:solidFill>
          <a:ln>
            <a:noFill/>
          </a:ln>
          <a:effectLst>
            <a:outerShdw blurRad="254000" sx="102000" sy="102000" algn="ctr" rotWithShape="0">
              <a:prstClr val="black">
                <a:alpha val="20000"/>
              </a:prstClr>
            </a:outerShdw>
          </a:effectLst>
        </c:spPr>
      </c:pivotFmt>
      <c:pivotFmt>
        <c:idx val="522"/>
        <c:spPr>
          <a:solidFill>
            <a:schemeClr val="accent1"/>
          </a:solidFill>
          <a:ln>
            <a:noFill/>
          </a:ln>
          <a:effectLst>
            <a:outerShdw blurRad="254000" sx="102000" sy="102000" algn="ctr" rotWithShape="0">
              <a:prstClr val="black">
                <a:alpha val="20000"/>
              </a:prstClr>
            </a:outerShdw>
          </a:effectLst>
        </c:spPr>
      </c:pivotFmt>
      <c:pivotFmt>
        <c:idx val="523"/>
        <c:spPr>
          <a:solidFill>
            <a:schemeClr val="accent1"/>
          </a:solidFill>
          <a:ln>
            <a:noFill/>
          </a:ln>
          <a:effectLst>
            <a:outerShdw blurRad="254000" sx="102000" sy="102000" algn="ctr" rotWithShape="0">
              <a:prstClr val="black">
                <a:alpha val="20000"/>
              </a:prstClr>
            </a:outerShdw>
          </a:effectLst>
        </c:spPr>
      </c:pivotFmt>
      <c:pivotFmt>
        <c:idx val="524"/>
        <c:spPr>
          <a:solidFill>
            <a:schemeClr val="accent1"/>
          </a:solidFill>
          <a:ln>
            <a:noFill/>
          </a:ln>
          <a:effectLst>
            <a:outerShdw blurRad="254000" sx="102000" sy="102000" algn="ctr" rotWithShape="0">
              <a:prstClr val="black">
                <a:alpha val="20000"/>
              </a:prstClr>
            </a:outerShdw>
          </a:effectLst>
        </c:spPr>
      </c:pivotFmt>
      <c:pivotFmt>
        <c:idx val="525"/>
        <c:spPr>
          <a:solidFill>
            <a:schemeClr val="accent1"/>
          </a:solidFill>
          <a:ln>
            <a:noFill/>
          </a:ln>
          <a:effectLst>
            <a:outerShdw blurRad="254000" sx="102000" sy="102000" algn="ctr" rotWithShape="0">
              <a:prstClr val="black">
                <a:alpha val="20000"/>
              </a:prstClr>
            </a:outerShdw>
          </a:effectLst>
        </c:spPr>
      </c:pivotFmt>
      <c:pivotFmt>
        <c:idx val="526"/>
        <c:spPr>
          <a:solidFill>
            <a:schemeClr val="accent1"/>
          </a:solidFill>
          <a:ln>
            <a:noFill/>
          </a:ln>
          <a:effectLst>
            <a:outerShdw blurRad="254000" sx="102000" sy="102000" algn="ctr" rotWithShape="0">
              <a:prstClr val="black">
                <a:alpha val="20000"/>
              </a:prstClr>
            </a:outerShdw>
          </a:effectLst>
        </c:spPr>
      </c:pivotFmt>
      <c:pivotFmt>
        <c:idx val="527"/>
        <c:spPr>
          <a:solidFill>
            <a:schemeClr val="accent1"/>
          </a:solidFill>
          <a:ln>
            <a:noFill/>
          </a:ln>
          <a:effectLst>
            <a:outerShdw blurRad="254000" sx="102000" sy="102000" algn="ctr" rotWithShape="0">
              <a:prstClr val="black">
                <a:alpha val="20000"/>
              </a:prstClr>
            </a:outerShdw>
          </a:effectLst>
        </c:spPr>
      </c:pivotFmt>
      <c:pivotFmt>
        <c:idx val="528"/>
        <c:spPr>
          <a:solidFill>
            <a:schemeClr val="accent1"/>
          </a:solidFill>
          <a:ln>
            <a:noFill/>
          </a:ln>
          <a:effectLst>
            <a:outerShdw blurRad="254000" sx="102000" sy="102000" algn="ctr" rotWithShape="0">
              <a:prstClr val="black">
                <a:alpha val="20000"/>
              </a:prstClr>
            </a:outerShdw>
          </a:effectLst>
        </c:spPr>
      </c:pivotFmt>
      <c:pivotFmt>
        <c:idx val="529"/>
        <c:spPr>
          <a:solidFill>
            <a:schemeClr val="accent1"/>
          </a:solidFill>
          <a:ln>
            <a:noFill/>
          </a:ln>
          <a:effectLst>
            <a:outerShdw blurRad="254000" sx="102000" sy="102000" algn="ctr" rotWithShape="0">
              <a:prstClr val="black">
                <a:alpha val="20000"/>
              </a:prstClr>
            </a:outerShdw>
          </a:effectLst>
        </c:spPr>
      </c:pivotFmt>
      <c:pivotFmt>
        <c:idx val="530"/>
        <c:spPr>
          <a:solidFill>
            <a:schemeClr val="accent1"/>
          </a:solidFill>
          <a:ln>
            <a:noFill/>
          </a:ln>
          <a:effectLst>
            <a:outerShdw blurRad="254000" sx="102000" sy="102000" algn="ctr" rotWithShape="0">
              <a:prstClr val="black">
                <a:alpha val="20000"/>
              </a:prstClr>
            </a:outerShdw>
          </a:effectLst>
        </c:spPr>
      </c:pivotFmt>
      <c:pivotFmt>
        <c:idx val="531"/>
        <c:spPr>
          <a:solidFill>
            <a:schemeClr val="accent1"/>
          </a:solidFill>
          <a:ln>
            <a:noFill/>
          </a:ln>
          <a:effectLst>
            <a:outerShdw blurRad="254000" sx="102000" sy="102000" algn="ctr" rotWithShape="0">
              <a:prstClr val="black">
                <a:alpha val="20000"/>
              </a:prstClr>
            </a:outerShdw>
          </a:effectLst>
        </c:spPr>
      </c:pivotFmt>
      <c:pivotFmt>
        <c:idx val="532"/>
        <c:spPr>
          <a:solidFill>
            <a:schemeClr val="accent1"/>
          </a:solidFill>
          <a:ln>
            <a:noFill/>
          </a:ln>
          <a:effectLst>
            <a:outerShdw blurRad="254000" sx="102000" sy="102000" algn="ctr" rotWithShape="0">
              <a:prstClr val="black">
                <a:alpha val="20000"/>
              </a:prstClr>
            </a:outerShdw>
          </a:effectLst>
        </c:spPr>
      </c:pivotFmt>
      <c:pivotFmt>
        <c:idx val="533"/>
        <c:spPr>
          <a:solidFill>
            <a:schemeClr val="accent1"/>
          </a:solidFill>
          <a:ln>
            <a:noFill/>
          </a:ln>
          <a:effectLst>
            <a:outerShdw blurRad="254000" sx="102000" sy="102000" algn="ctr" rotWithShape="0">
              <a:prstClr val="black">
                <a:alpha val="20000"/>
              </a:prstClr>
            </a:outerShdw>
          </a:effectLst>
        </c:spPr>
      </c:pivotFmt>
      <c:pivotFmt>
        <c:idx val="534"/>
        <c:spPr>
          <a:solidFill>
            <a:schemeClr val="accent1"/>
          </a:solidFill>
          <a:ln>
            <a:noFill/>
          </a:ln>
          <a:effectLst>
            <a:outerShdw blurRad="254000" sx="102000" sy="102000" algn="ctr" rotWithShape="0">
              <a:prstClr val="black">
                <a:alpha val="20000"/>
              </a:prstClr>
            </a:outerShdw>
          </a:effectLst>
        </c:spPr>
      </c:pivotFmt>
      <c:pivotFmt>
        <c:idx val="535"/>
        <c:spPr>
          <a:solidFill>
            <a:schemeClr val="accent1"/>
          </a:solidFill>
          <a:ln>
            <a:noFill/>
          </a:ln>
          <a:effectLst>
            <a:outerShdw blurRad="254000" sx="102000" sy="102000" algn="ctr" rotWithShape="0">
              <a:prstClr val="black">
                <a:alpha val="20000"/>
              </a:prstClr>
            </a:outerShdw>
          </a:effectLst>
        </c:spPr>
      </c:pivotFmt>
      <c:pivotFmt>
        <c:idx val="536"/>
        <c:spPr>
          <a:solidFill>
            <a:schemeClr val="accent1"/>
          </a:solidFill>
          <a:ln>
            <a:noFill/>
          </a:ln>
          <a:effectLst>
            <a:outerShdw blurRad="254000" sx="102000" sy="102000" algn="ctr" rotWithShape="0">
              <a:prstClr val="black">
                <a:alpha val="20000"/>
              </a:prstClr>
            </a:outerShdw>
          </a:effectLst>
        </c:spPr>
      </c:pivotFmt>
      <c:pivotFmt>
        <c:idx val="537"/>
        <c:spPr>
          <a:solidFill>
            <a:schemeClr val="accent1"/>
          </a:solidFill>
          <a:ln>
            <a:noFill/>
          </a:ln>
          <a:effectLst>
            <a:outerShdw blurRad="254000" sx="102000" sy="102000" algn="ctr" rotWithShape="0">
              <a:prstClr val="black">
                <a:alpha val="20000"/>
              </a:prstClr>
            </a:outerShdw>
          </a:effectLst>
        </c:spPr>
      </c:pivotFmt>
      <c:pivotFmt>
        <c:idx val="538"/>
        <c:spPr>
          <a:solidFill>
            <a:schemeClr val="accent1"/>
          </a:solidFill>
          <a:ln>
            <a:noFill/>
          </a:ln>
          <a:effectLst>
            <a:outerShdw blurRad="254000" sx="102000" sy="102000" algn="ctr" rotWithShape="0">
              <a:prstClr val="black">
                <a:alpha val="20000"/>
              </a:prstClr>
            </a:outerShdw>
          </a:effectLst>
        </c:spPr>
      </c:pivotFmt>
      <c:pivotFmt>
        <c:idx val="539"/>
        <c:spPr>
          <a:solidFill>
            <a:schemeClr val="accent1"/>
          </a:solidFill>
          <a:ln>
            <a:noFill/>
          </a:ln>
          <a:effectLst>
            <a:outerShdw blurRad="254000" sx="102000" sy="102000" algn="ctr" rotWithShape="0">
              <a:prstClr val="black">
                <a:alpha val="20000"/>
              </a:prstClr>
            </a:outerShdw>
          </a:effectLst>
        </c:spPr>
      </c:pivotFmt>
      <c:pivotFmt>
        <c:idx val="540"/>
        <c:spPr>
          <a:solidFill>
            <a:schemeClr val="accent1"/>
          </a:solidFill>
          <a:ln>
            <a:noFill/>
          </a:ln>
          <a:effectLst>
            <a:outerShdw blurRad="254000" sx="102000" sy="102000" algn="ctr" rotWithShape="0">
              <a:prstClr val="black">
                <a:alpha val="20000"/>
              </a:prstClr>
            </a:outerShdw>
          </a:effectLst>
        </c:spPr>
      </c:pivotFmt>
      <c:pivotFmt>
        <c:idx val="541"/>
        <c:spPr>
          <a:solidFill>
            <a:schemeClr val="accent1"/>
          </a:solidFill>
          <a:ln>
            <a:noFill/>
          </a:ln>
          <a:effectLst>
            <a:outerShdw blurRad="254000" sx="102000" sy="102000" algn="ctr" rotWithShape="0">
              <a:prstClr val="black">
                <a:alpha val="20000"/>
              </a:prstClr>
            </a:outerShdw>
          </a:effectLst>
        </c:spPr>
      </c:pivotFmt>
      <c:pivotFmt>
        <c:idx val="542"/>
        <c:spPr>
          <a:solidFill>
            <a:schemeClr val="accent1"/>
          </a:solidFill>
          <a:ln>
            <a:noFill/>
          </a:ln>
          <a:effectLst>
            <a:outerShdw blurRad="254000" sx="102000" sy="102000" algn="ctr" rotWithShape="0">
              <a:prstClr val="black">
                <a:alpha val="20000"/>
              </a:prstClr>
            </a:outerShdw>
          </a:effectLst>
        </c:spPr>
      </c:pivotFmt>
      <c:pivotFmt>
        <c:idx val="543"/>
        <c:spPr>
          <a:solidFill>
            <a:schemeClr val="accent1"/>
          </a:solidFill>
          <a:ln>
            <a:noFill/>
          </a:ln>
          <a:effectLst>
            <a:outerShdw blurRad="254000" sx="102000" sy="102000" algn="ctr" rotWithShape="0">
              <a:prstClr val="black">
                <a:alpha val="20000"/>
              </a:prstClr>
            </a:outerShdw>
          </a:effectLst>
        </c:spPr>
      </c:pivotFmt>
      <c:pivotFmt>
        <c:idx val="544"/>
        <c:spPr>
          <a:solidFill>
            <a:schemeClr val="accent1"/>
          </a:solidFill>
          <a:ln>
            <a:noFill/>
          </a:ln>
          <a:effectLst>
            <a:outerShdw blurRad="254000" sx="102000" sy="102000" algn="ctr" rotWithShape="0">
              <a:prstClr val="black">
                <a:alpha val="20000"/>
              </a:prstClr>
            </a:outerShdw>
          </a:effectLst>
        </c:spPr>
      </c:pivotFmt>
      <c:pivotFmt>
        <c:idx val="545"/>
        <c:spPr>
          <a:solidFill>
            <a:schemeClr val="accent1"/>
          </a:solidFill>
          <a:ln>
            <a:noFill/>
          </a:ln>
          <a:effectLst>
            <a:outerShdw blurRad="254000" sx="102000" sy="102000" algn="ctr" rotWithShape="0">
              <a:prstClr val="black">
                <a:alpha val="20000"/>
              </a:prstClr>
            </a:outerShdw>
          </a:effectLst>
        </c:spPr>
      </c:pivotFmt>
      <c:pivotFmt>
        <c:idx val="546"/>
        <c:spPr>
          <a:solidFill>
            <a:schemeClr val="accent1"/>
          </a:solidFill>
          <a:ln>
            <a:noFill/>
          </a:ln>
          <a:effectLst>
            <a:outerShdw blurRad="254000" sx="102000" sy="102000" algn="ctr" rotWithShape="0">
              <a:prstClr val="black">
                <a:alpha val="20000"/>
              </a:prstClr>
            </a:outerShdw>
          </a:effectLst>
        </c:spPr>
      </c:pivotFmt>
      <c:pivotFmt>
        <c:idx val="547"/>
        <c:spPr>
          <a:solidFill>
            <a:schemeClr val="accent1"/>
          </a:solidFill>
          <a:ln>
            <a:noFill/>
          </a:ln>
          <a:effectLst>
            <a:outerShdw blurRad="254000" sx="102000" sy="102000" algn="ctr" rotWithShape="0">
              <a:prstClr val="black">
                <a:alpha val="20000"/>
              </a:prstClr>
            </a:outerShdw>
          </a:effectLst>
        </c:spPr>
      </c:pivotFmt>
      <c:pivotFmt>
        <c:idx val="548"/>
        <c:spPr>
          <a:solidFill>
            <a:schemeClr val="accent1"/>
          </a:solidFill>
          <a:ln>
            <a:noFill/>
          </a:ln>
          <a:effectLst>
            <a:outerShdw blurRad="254000" sx="102000" sy="102000" algn="ctr" rotWithShape="0">
              <a:prstClr val="black">
                <a:alpha val="20000"/>
              </a:prstClr>
            </a:outerShdw>
          </a:effectLst>
        </c:spPr>
      </c:pivotFmt>
      <c:pivotFmt>
        <c:idx val="549"/>
        <c:spPr>
          <a:solidFill>
            <a:schemeClr val="accent1"/>
          </a:solidFill>
          <a:ln>
            <a:noFill/>
          </a:ln>
          <a:effectLst>
            <a:outerShdw blurRad="254000" sx="102000" sy="102000" algn="ctr" rotWithShape="0">
              <a:prstClr val="black">
                <a:alpha val="20000"/>
              </a:prstClr>
            </a:outerShdw>
          </a:effectLst>
        </c:spPr>
      </c:pivotFmt>
      <c:pivotFmt>
        <c:idx val="550"/>
        <c:spPr>
          <a:solidFill>
            <a:schemeClr val="accent1"/>
          </a:solidFill>
          <a:ln>
            <a:noFill/>
          </a:ln>
          <a:effectLst>
            <a:outerShdw blurRad="254000" sx="102000" sy="102000" algn="ctr" rotWithShape="0">
              <a:prstClr val="black">
                <a:alpha val="20000"/>
              </a:prstClr>
            </a:outerShdw>
          </a:effectLst>
        </c:spPr>
      </c:pivotFmt>
      <c:pivotFmt>
        <c:idx val="551"/>
        <c:spPr>
          <a:solidFill>
            <a:schemeClr val="accent1"/>
          </a:solidFill>
          <a:ln>
            <a:noFill/>
          </a:ln>
          <a:effectLst>
            <a:outerShdw blurRad="254000" sx="102000" sy="102000" algn="ctr" rotWithShape="0">
              <a:prstClr val="black">
                <a:alpha val="20000"/>
              </a:prstClr>
            </a:outerShdw>
          </a:effectLst>
        </c:spPr>
      </c:pivotFmt>
      <c:pivotFmt>
        <c:idx val="552"/>
        <c:spPr>
          <a:solidFill>
            <a:schemeClr val="accent1"/>
          </a:solidFill>
          <a:ln>
            <a:noFill/>
          </a:ln>
          <a:effectLst>
            <a:outerShdw blurRad="254000" sx="102000" sy="102000" algn="ctr" rotWithShape="0">
              <a:prstClr val="black">
                <a:alpha val="20000"/>
              </a:prstClr>
            </a:outerShdw>
          </a:effectLst>
        </c:spPr>
      </c:pivotFmt>
      <c:pivotFmt>
        <c:idx val="553"/>
        <c:spPr>
          <a:solidFill>
            <a:schemeClr val="accent1"/>
          </a:solidFill>
          <a:ln>
            <a:noFill/>
          </a:ln>
          <a:effectLst>
            <a:outerShdw blurRad="254000" sx="102000" sy="102000" algn="ctr" rotWithShape="0">
              <a:prstClr val="black">
                <a:alpha val="20000"/>
              </a:prstClr>
            </a:outerShdw>
          </a:effectLst>
        </c:spPr>
      </c:pivotFmt>
      <c:pivotFmt>
        <c:idx val="554"/>
        <c:spPr>
          <a:solidFill>
            <a:schemeClr val="accent1"/>
          </a:solidFill>
          <a:ln>
            <a:noFill/>
          </a:ln>
          <a:effectLst>
            <a:outerShdw blurRad="254000" sx="102000" sy="102000" algn="ctr" rotWithShape="0">
              <a:prstClr val="black">
                <a:alpha val="20000"/>
              </a:prstClr>
            </a:outerShdw>
          </a:effectLst>
        </c:spPr>
      </c:pivotFmt>
      <c:pivotFmt>
        <c:idx val="555"/>
        <c:spPr>
          <a:solidFill>
            <a:schemeClr val="accent1"/>
          </a:solidFill>
          <a:ln>
            <a:noFill/>
          </a:ln>
          <a:effectLst>
            <a:outerShdw blurRad="254000" sx="102000" sy="102000" algn="ctr" rotWithShape="0">
              <a:prstClr val="black">
                <a:alpha val="20000"/>
              </a:prstClr>
            </a:outerShdw>
          </a:effectLst>
        </c:spPr>
      </c:pivotFmt>
      <c:pivotFmt>
        <c:idx val="556"/>
        <c:spPr>
          <a:solidFill>
            <a:schemeClr val="accent1"/>
          </a:solidFill>
          <a:ln>
            <a:noFill/>
          </a:ln>
          <a:effectLst>
            <a:outerShdw blurRad="254000" sx="102000" sy="102000" algn="ctr" rotWithShape="0">
              <a:prstClr val="black">
                <a:alpha val="20000"/>
              </a:prstClr>
            </a:outerShdw>
          </a:effectLst>
        </c:spPr>
      </c:pivotFmt>
      <c:pivotFmt>
        <c:idx val="557"/>
        <c:spPr>
          <a:solidFill>
            <a:schemeClr val="accent1"/>
          </a:solidFill>
          <a:ln>
            <a:noFill/>
          </a:ln>
          <a:effectLst>
            <a:outerShdw blurRad="254000" sx="102000" sy="102000" algn="ctr" rotWithShape="0">
              <a:prstClr val="black">
                <a:alpha val="20000"/>
              </a:prstClr>
            </a:outerShdw>
          </a:effectLst>
        </c:spPr>
      </c:pivotFmt>
      <c:pivotFmt>
        <c:idx val="55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8517805851926558"/>
          <c:y val="6.9579892347122183E-2"/>
          <c:w val="0.65766948444084228"/>
          <c:h val="0.59933817270199663"/>
        </c:manualLayout>
      </c:layout>
      <c:pieChart>
        <c:varyColors val="1"/>
        <c:ser>
          <c:idx val="0"/>
          <c:order val="0"/>
          <c:tx>
            <c:strRef>
              <c:f>'REV PROD '!$C$100</c:f>
              <c:strCache>
                <c:ptCount val="1"/>
                <c:pt idx="0">
                  <c:v>Room Nights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B26-40D5-9C96-F76E8ACEAD7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B26-40D5-9C96-F76E8ACEAD7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B26-40D5-9C96-F76E8ACEAD7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B26-40D5-9C96-F76E8ACEAD7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B26-40D5-9C96-F76E8ACEAD7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B26-40D5-9C96-F76E8ACEAD7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FB26-40D5-9C96-F76E8ACEAD7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FB26-40D5-9C96-F76E8ACEAD79}"/>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FB26-40D5-9C96-F76E8ACEAD7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EE8F-4FDC-A54B-111E611873AB}"/>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EE8F-4FDC-A54B-111E611873AB}"/>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EE8F-4FDC-A54B-111E611873AB}"/>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6BE4-42C6-A523-6C7AADC65648}"/>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9809-4283-9AF6-3B1F1CE3C708}"/>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B260-4D8A-ADCE-6AB6CB70A04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'REV PROD '!$B$101:$B$107</c:f>
              <c:strCache>
                <c:ptCount val="6"/>
                <c:pt idx="0">
                  <c:v>0</c:v>
                </c:pt>
                <c:pt idx="1">
                  <c:v>SK</c:v>
                </c:pt>
                <c:pt idx="2">
                  <c:v>1BA</c:v>
                </c:pt>
                <c:pt idx="3">
                  <c:v>PM</c:v>
                </c:pt>
                <c:pt idx="4">
                  <c:v>BS</c:v>
                </c:pt>
                <c:pt idx="5">
                  <c:v>FS</c:v>
                </c:pt>
              </c:strCache>
            </c:strRef>
          </c:cat>
          <c:val>
            <c:numRef>
              <c:f>'REV PROD '!$C$101:$C$107</c:f>
              <c:numCache>
                <c:formatCode>General</c:formatCode>
                <c:ptCount val="6"/>
                <c:pt idx="0">
                  <c:v>0</c:v>
                </c:pt>
                <c:pt idx="1">
                  <c:v>43</c:v>
                </c:pt>
                <c:pt idx="2">
                  <c:v>1</c:v>
                </c:pt>
                <c:pt idx="3">
                  <c:v>0</c:v>
                </c:pt>
                <c:pt idx="4">
                  <c:v>10</c:v>
                </c:pt>
                <c:pt idx="5">
                  <c:v>1</c:v>
                </c:pt>
              </c:numCache>
            </c:numRef>
          </c:val>
          <c:extLst>
            <c:ext xmlns:c16="http://schemas.microsoft.com/office/drawing/2014/chart" uri="{C3380CC4-5D6E-409C-BE32-E72D297353CC}">
              <c16:uniqueId val="{00000000-B029-4F94-A849-926EE04D08D1}"/>
            </c:ext>
          </c:extLst>
        </c:ser>
        <c:ser>
          <c:idx val="1"/>
          <c:order val="1"/>
          <c:tx>
            <c:strRef>
              <c:f>'REV PROD '!$D$100</c:f>
              <c:strCache>
                <c:ptCount val="1"/>
                <c:pt idx="0">
                  <c:v>Entered No</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B7C9-404A-8F77-0176274C512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B7C9-404A-8F77-0176274C512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B7C9-404A-8F77-0176274C512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B7C9-404A-8F77-0176274C512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B7C9-404A-8F77-0176274C5128}"/>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B7C9-404A-8F77-0176274C5128}"/>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B7C9-404A-8F77-0176274C5128}"/>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B7C9-404A-8F77-0176274C5128}"/>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B7C9-404A-8F77-0176274C5128}"/>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B7C9-404A-8F77-0176274C5128}"/>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B7C9-404A-8F77-0176274C5128}"/>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C6F4-4E62-848A-DF4FC028C6F6}"/>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98B4-4EC6-8FDF-79D4325BD7B9}"/>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F6C4-4B18-9922-1CFEAD0ED0F5}"/>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B260-4D8A-ADCE-6AB6CB70A04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'REV PROD '!$B$101:$B$107</c:f>
              <c:strCache>
                <c:ptCount val="6"/>
                <c:pt idx="0">
                  <c:v>0</c:v>
                </c:pt>
                <c:pt idx="1">
                  <c:v>SK</c:v>
                </c:pt>
                <c:pt idx="2">
                  <c:v>1BA</c:v>
                </c:pt>
                <c:pt idx="3">
                  <c:v>PM</c:v>
                </c:pt>
                <c:pt idx="4">
                  <c:v>BS</c:v>
                </c:pt>
                <c:pt idx="5">
                  <c:v>FS</c:v>
                </c:pt>
              </c:strCache>
            </c:strRef>
          </c:cat>
          <c:val>
            <c:numRef>
              <c:f>'REV PROD '!$D$101:$D$107</c:f>
              <c:numCache>
                <c:formatCode>General</c:formatCode>
                <c:ptCount val="6"/>
                <c:pt idx="0">
                  <c:v>0</c:v>
                </c:pt>
                <c:pt idx="1">
                  <c:v>13</c:v>
                </c:pt>
                <c:pt idx="2">
                  <c:v>3</c:v>
                </c:pt>
                <c:pt idx="3">
                  <c:v>2</c:v>
                </c:pt>
                <c:pt idx="4">
                  <c:v>4</c:v>
                </c:pt>
                <c:pt idx="5">
                  <c:v>1</c:v>
                </c:pt>
              </c:numCache>
            </c:numRef>
          </c:val>
          <c:extLst>
            <c:ext xmlns:c16="http://schemas.microsoft.com/office/drawing/2014/chart" uri="{C3380CC4-5D6E-409C-BE32-E72D297353CC}">
              <c16:uniqueId val="{00000038-2F4A-4C1B-BD59-0A107CF4D4A6}"/>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
          <c:y val="0.68653429044669634"/>
          <c:w val="1"/>
          <c:h val="0.3134656234553762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[23-08-2025 Entered On.xlsm]REV PROD !PivotTable4</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pivotFmt>
      <c:pivotFmt>
        <c:idx val="31"/>
        <c:spPr>
          <a:solidFill>
            <a:schemeClr val="accent1"/>
          </a:solidFill>
          <a:ln>
            <a:noFill/>
          </a:ln>
          <a:effectLst>
            <a:outerShdw blurRad="254000" sx="102000" sy="102000" algn="ctr" rotWithShape="0">
              <a:prstClr val="black">
                <a:alpha val="20000"/>
              </a:prstClr>
            </a:outerShdw>
          </a:effectLst>
        </c:spPr>
      </c:pivotFmt>
      <c:pivotFmt>
        <c:idx val="32"/>
      </c:pivotFmt>
      <c:pivotFmt>
        <c:idx val="33"/>
        <c:spPr>
          <a:solidFill>
            <a:schemeClr val="accent1"/>
          </a:solidFill>
          <a:ln>
            <a:noFill/>
          </a:ln>
          <a:effectLst>
            <a:outerShdw blurRad="254000" sx="102000" sy="102000" algn="ctr" rotWithShape="0">
              <a:prstClr val="black">
                <a:alpha val="20000"/>
              </a:prstClr>
            </a:outerShdw>
          </a:effectLst>
        </c:spPr>
      </c:pivotFmt>
      <c:pivotFmt>
        <c:idx val="34"/>
      </c:pivotFmt>
      <c:pivotFmt>
        <c:idx val="35"/>
        <c:spPr>
          <a:solidFill>
            <a:schemeClr val="accent1"/>
          </a:solidFill>
          <a:ln>
            <a:noFill/>
          </a:ln>
          <a:effectLst>
            <a:outerShdw blurRad="254000" sx="102000" sy="102000" algn="ctr" rotWithShape="0">
              <a:prstClr val="black">
                <a:alpha val="20000"/>
              </a:prstClr>
            </a:outerShdw>
          </a:effectLst>
        </c:spPr>
      </c:pivotFmt>
      <c:pivotFmt>
        <c:idx val="36"/>
      </c:pivotFmt>
      <c:pivotFmt>
        <c:idx val="37"/>
        <c:spPr>
          <a:solidFill>
            <a:schemeClr val="accent1"/>
          </a:solidFill>
          <a:ln>
            <a:noFill/>
          </a:ln>
          <a:effectLst>
            <a:outerShdw blurRad="254000" sx="102000" sy="102000" algn="ctr" rotWithShape="0">
              <a:prstClr val="black">
                <a:alpha val="20000"/>
              </a:prstClr>
            </a:outerShdw>
          </a:effectLst>
        </c:spPr>
      </c:pivotFmt>
      <c:pivotFmt>
        <c:idx val="38"/>
      </c:pivotFmt>
      <c:pivotFmt>
        <c:idx val="39"/>
        <c:spPr>
          <a:solidFill>
            <a:schemeClr val="accent1"/>
          </a:solidFill>
          <a:ln>
            <a:noFill/>
          </a:ln>
          <a:effectLst>
            <a:outerShdw blurRad="254000" sx="102000" sy="102000" algn="ctr" rotWithShape="0">
              <a:prstClr val="black">
                <a:alpha val="20000"/>
              </a:prstClr>
            </a:outerShdw>
          </a:effectLst>
        </c:spPr>
      </c:pivotFmt>
      <c:pivotFmt>
        <c:idx val="40"/>
      </c:pivotFmt>
      <c:pivotFmt>
        <c:idx val="41"/>
        <c:spPr>
          <a:solidFill>
            <a:schemeClr val="accent1"/>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solidFill>
            <a:schemeClr val="accent1"/>
          </a:solidFill>
          <a:ln>
            <a:noFill/>
          </a:ln>
          <a:effectLst>
            <a:outerShdw blurRad="254000" sx="102000" sy="102000" algn="ctr" rotWithShape="0">
              <a:prstClr val="black">
                <a:alpha val="20000"/>
              </a:prstClr>
            </a:outerShdw>
          </a:effectLst>
        </c:spPr>
      </c:pivotFmt>
      <c:pivotFmt>
        <c:idx val="72"/>
        <c:spPr>
          <a:solidFill>
            <a:schemeClr val="accent1"/>
          </a:solidFill>
          <a:ln>
            <a:noFill/>
          </a:ln>
          <a:effectLst>
            <a:outerShdw blurRad="254000" sx="102000" sy="102000" algn="ctr" rotWithShape="0">
              <a:prstClr val="black">
                <a:alpha val="20000"/>
              </a:prstClr>
            </a:outerShdw>
          </a:effectLst>
        </c:spPr>
      </c:pivotFmt>
      <c:pivotFmt>
        <c:idx val="73"/>
        <c:spPr>
          <a:solidFill>
            <a:schemeClr val="accent1"/>
          </a:solidFill>
          <a:ln>
            <a:noFill/>
          </a:ln>
          <a:effectLst>
            <a:outerShdw blurRad="254000" sx="102000" sy="102000" algn="ctr" rotWithShape="0">
              <a:prstClr val="black">
                <a:alpha val="20000"/>
              </a:prstClr>
            </a:outerShdw>
          </a:effectLst>
        </c:spPr>
      </c:pivotFmt>
      <c:pivotFmt>
        <c:idx val="74"/>
        <c:spPr>
          <a:solidFill>
            <a:schemeClr val="accent1"/>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pivotFmt>
      <c:pivotFmt>
        <c:idx val="76"/>
        <c:spPr>
          <a:solidFill>
            <a:schemeClr val="accent1"/>
          </a:solidFill>
          <a:ln>
            <a:noFill/>
          </a:ln>
          <a:effectLst>
            <a:outerShdw blurRad="254000" sx="102000" sy="102000" algn="ctr" rotWithShape="0">
              <a:prstClr val="black">
                <a:alpha val="20000"/>
              </a:prstClr>
            </a:outerShdw>
          </a:effectLst>
        </c:spPr>
      </c:pivotFmt>
      <c:pivotFmt>
        <c:idx val="77"/>
        <c:spPr>
          <a:solidFill>
            <a:schemeClr val="accent1"/>
          </a:solidFill>
          <a:ln>
            <a:noFill/>
          </a:ln>
          <a:effectLst>
            <a:outerShdw blurRad="254000" sx="102000" sy="102000" algn="ctr" rotWithShape="0">
              <a:prstClr val="black">
                <a:alpha val="20000"/>
              </a:prstClr>
            </a:outerShdw>
          </a:effectLst>
        </c:spPr>
      </c:pivotFmt>
      <c:pivotFmt>
        <c:idx val="78"/>
        <c:spPr>
          <a:solidFill>
            <a:schemeClr val="accent1"/>
          </a:solidFill>
          <a:ln>
            <a:noFill/>
          </a:ln>
          <a:effectLst>
            <a:outerShdw blurRad="254000" sx="102000" sy="102000" algn="ctr" rotWithShape="0">
              <a:prstClr val="black">
                <a:alpha val="20000"/>
              </a:prstClr>
            </a:outerShdw>
          </a:effectLst>
        </c:spPr>
      </c:pivotFmt>
      <c:pivotFmt>
        <c:idx val="79"/>
        <c:spPr>
          <a:solidFill>
            <a:schemeClr val="accent1"/>
          </a:solidFill>
          <a:ln>
            <a:noFill/>
          </a:ln>
          <a:effectLst>
            <a:outerShdw blurRad="254000" sx="102000" sy="102000" algn="ctr" rotWithShape="0">
              <a:prstClr val="black">
                <a:alpha val="20000"/>
              </a:prstClr>
            </a:outerShdw>
          </a:effectLst>
        </c:spPr>
      </c:pivotFmt>
      <c:pivotFmt>
        <c:idx val="80"/>
        <c:spPr>
          <a:solidFill>
            <a:schemeClr val="accent1"/>
          </a:solidFill>
          <a:ln>
            <a:noFill/>
          </a:ln>
          <a:effectLst>
            <a:outerShdw blurRad="254000" sx="102000" sy="102000" algn="ctr" rotWithShape="0">
              <a:prstClr val="black">
                <a:alpha val="20000"/>
              </a:prstClr>
            </a:outerShdw>
          </a:effectLst>
        </c:spPr>
      </c:pivotFmt>
      <c:pivotFmt>
        <c:idx val="8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82"/>
        <c:spPr>
          <a:solidFill>
            <a:schemeClr val="accent1"/>
          </a:solidFill>
          <a:ln>
            <a:noFill/>
          </a:ln>
          <a:effectLst>
            <a:outerShdw blurRad="254000" sx="102000" sy="102000" algn="ctr" rotWithShape="0">
              <a:prstClr val="black">
                <a:alpha val="20000"/>
              </a:prstClr>
            </a:outerShdw>
          </a:effectLst>
        </c:spPr>
      </c:pivotFmt>
      <c:pivotFmt>
        <c:idx val="83"/>
        <c:spPr>
          <a:solidFill>
            <a:schemeClr val="accent1"/>
          </a:solidFill>
          <a:ln>
            <a:noFill/>
          </a:ln>
          <a:effectLst>
            <a:outerShdw blurRad="254000" sx="102000" sy="102000" algn="ctr" rotWithShape="0">
              <a:prstClr val="black">
                <a:alpha val="20000"/>
              </a:prstClr>
            </a:outerShdw>
          </a:effectLst>
        </c:spPr>
      </c:pivotFmt>
      <c:pivotFmt>
        <c:idx val="84"/>
        <c:spPr>
          <a:solidFill>
            <a:schemeClr val="accent1"/>
          </a:solidFill>
          <a:ln>
            <a:noFill/>
          </a:ln>
          <a:effectLst>
            <a:outerShdw blurRad="254000" sx="102000" sy="102000" algn="ctr" rotWithShape="0">
              <a:prstClr val="black">
                <a:alpha val="20000"/>
              </a:prstClr>
            </a:outerShdw>
          </a:effectLst>
        </c:spPr>
      </c:pivotFmt>
      <c:pivotFmt>
        <c:idx val="85"/>
        <c:spPr>
          <a:solidFill>
            <a:schemeClr val="accent1"/>
          </a:solidFill>
          <a:ln>
            <a:noFill/>
          </a:ln>
          <a:effectLst>
            <a:outerShdw blurRad="254000" sx="102000" sy="102000" algn="ctr" rotWithShape="0">
              <a:prstClr val="black">
                <a:alpha val="20000"/>
              </a:prstClr>
            </a:outerShdw>
          </a:effectLst>
        </c:spPr>
      </c:pivotFmt>
      <c:pivotFmt>
        <c:idx val="86"/>
        <c:spPr>
          <a:solidFill>
            <a:schemeClr val="accent1"/>
          </a:solidFill>
          <a:ln>
            <a:noFill/>
          </a:ln>
          <a:effectLst>
            <a:outerShdw blurRad="254000" sx="102000" sy="102000" algn="ctr" rotWithShape="0">
              <a:prstClr val="black">
                <a:alpha val="20000"/>
              </a:prstClr>
            </a:outerShdw>
          </a:effectLst>
        </c:spPr>
      </c:pivotFmt>
      <c:pivotFmt>
        <c:idx val="87"/>
        <c:spPr>
          <a:solidFill>
            <a:schemeClr val="accent1"/>
          </a:solidFill>
          <a:ln>
            <a:noFill/>
          </a:ln>
          <a:effectLst>
            <a:outerShdw blurRad="254000" sx="102000" sy="102000" algn="ctr" rotWithShape="0">
              <a:prstClr val="black">
                <a:alpha val="20000"/>
              </a:prstClr>
            </a:outerShdw>
          </a:effectLst>
        </c:spPr>
      </c:pivotFmt>
      <c:pivotFmt>
        <c:idx val="88"/>
        <c:spPr>
          <a:solidFill>
            <a:schemeClr val="accent1"/>
          </a:solidFill>
          <a:ln>
            <a:noFill/>
          </a:ln>
          <a:effectLst>
            <a:outerShdw blurRad="254000" sx="102000" sy="102000" algn="ctr" rotWithShape="0">
              <a:prstClr val="black">
                <a:alpha val="20000"/>
              </a:prstClr>
            </a:outerShdw>
          </a:effectLst>
        </c:spPr>
      </c:pivotFmt>
      <c:pivotFmt>
        <c:idx val="89"/>
        <c:spPr>
          <a:solidFill>
            <a:schemeClr val="accent1"/>
          </a:solidFill>
          <a:ln>
            <a:noFill/>
          </a:ln>
          <a:effectLst>
            <a:outerShdw blurRad="254000" sx="102000" sy="102000" algn="ctr" rotWithShape="0">
              <a:prstClr val="black">
                <a:alpha val="20000"/>
              </a:prstClr>
            </a:outerShdw>
          </a:effectLst>
        </c:spPr>
      </c:pivotFmt>
      <c:pivotFmt>
        <c:idx val="90"/>
        <c:spPr>
          <a:solidFill>
            <a:schemeClr val="accent1"/>
          </a:solidFill>
          <a:ln>
            <a:noFill/>
          </a:ln>
          <a:effectLst>
            <a:outerShdw blurRad="254000" sx="102000" sy="102000" algn="ctr" rotWithShape="0">
              <a:prstClr val="black">
                <a:alpha val="20000"/>
              </a:prstClr>
            </a:outerShdw>
          </a:effectLst>
        </c:spPr>
      </c:pivotFmt>
      <c:pivotFmt>
        <c:idx val="91"/>
        <c:spPr>
          <a:solidFill>
            <a:schemeClr val="accent1"/>
          </a:solidFill>
          <a:ln>
            <a:noFill/>
          </a:ln>
          <a:effectLst>
            <a:outerShdw blurRad="254000" sx="102000" sy="102000" algn="ctr" rotWithShape="0">
              <a:prstClr val="black">
                <a:alpha val="20000"/>
              </a:prstClr>
            </a:outerShdw>
          </a:effectLst>
        </c:spPr>
      </c:pivotFmt>
      <c:pivotFmt>
        <c:idx val="92"/>
        <c:spPr>
          <a:solidFill>
            <a:schemeClr val="accent1"/>
          </a:solidFill>
          <a:ln>
            <a:noFill/>
          </a:ln>
          <a:effectLst>
            <a:outerShdw blurRad="254000" sx="102000" sy="102000" algn="ctr" rotWithShape="0">
              <a:prstClr val="black">
                <a:alpha val="20000"/>
              </a:prstClr>
            </a:outerShdw>
          </a:effectLst>
        </c:spPr>
      </c:pivotFmt>
      <c:pivotFmt>
        <c:idx val="93"/>
        <c:spPr>
          <a:solidFill>
            <a:schemeClr val="accent1"/>
          </a:solidFill>
          <a:ln>
            <a:noFill/>
          </a:ln>
          <a:effectLst>
            <a:outerShdw blurRad="254000" sx="102000" sy="102000" algn="ctr" rotWithShape="0">
              <a:prstClr val="black">
                <a:alpha val="20000"/>
              </a:prstClr>
            </a:outerShdw>
          </a:effectLst>
        </c:spPr>
      </c:pivotFmt>
      <c:pivotFmt>
        <c:idx val="94"/>
        <c:spPr>
          <a:solidFill>
            <a:schemeClr val="accent1"/>
          </a:solidFill>
          <a:ln>
            <a:noFill/>
          </a:ln>
          <a:effectLst>
            <a:outerShdw blurRad="254000" sx="102000" sy="102000" algn="ctr" rotWithShape="0">
              <a:prstClr val="black">
                <a:alpha val="20000"/>
              </a:prstClr>
            </a:outerShdw>
          </a:effectLst>
        </c:spPr>
      </c:pivotFmt>
      <c:pivotFmt>
        <c:idx val="95"/>
        <c:spPr>
          <a:solidFill>
            <a:schemeClr val="accent1"/>
          </a:solidFill>
          <a:ln>
            <a:noFill/>
          </a:ln>
          <a:effectLst>
            <a:outerShdw blurRad="254000" sx="102000" sy="102000" algn="ctr" rotWithShape="0">
              <a:prstClr val="black">
                <a:alpha val="20000"/>
              </a:prstClr>
            </a:outerShdw>
          </a:effectLst>
        </c:spPr>
      </c:pivotFmt>
      <c:pivotFmt>
        <c:idx val="96"/>
        <c:spPr>
          <a:solidFill>
            <a:schemeClr val="accent1"/>
          </a:solidFill>
          <a:ln>
            <a:noFill/>
          </a:ln>
          <a:effectLst>
            <a:outerShdw blurRad="254000" sx="102000" sy="102000" algn="ctr" rotWithShape="0">
              <a:prstClr val="black">
                <a:alpha val="20000"/>
              </a:prstClr>
            </a:outerShdw>
          </a:effectLst>
        </c:spPr>
      </c:pivotFmt>
      <c:pivotFmt>
        <c:idx val="97"/>
        <c:spPr>
          <a:solidFill>
            <a:schemeClr val="accent1"/>
          </a:solidFill>
          <a:ln>
            <a:noFill/>
          </a:ln>
          <a:effectLst>
            <a:outerShdw blurRad="254000" sx="102000" sy="102000" algn="ctr" rotWithShape="0">
              <a:prstClr val="black">
                <a:alpha val="20000"/>
              </a:prstClr>
            </a:outerShdw>
          </a:effectLst>
        </c:spPr>
      </c:pivotFmt>
      <c:pivotFmt>
        <c:idx val="98"/>
        <c:spPr>
          <a:solidFill>
            <a:schemeClr val="accent1"/>
          </a:solidFill>
          <a:ln>
            <a:noFill/>
          </a:ln>
          <a:effectLst>
            <a:outerShdw blurRad="254000" sx="102000" sy="102000" algn="ctr" rotWithShape="0">
              <a:prstClr val="black">
                <a:alpha val="20000"/>
              </a:prstClr>
            </a:outerShdw>
          </a:effectLst>
        </c:spPr>
      </c:pivotFmt>
      <c:pivotFmt>
        <c:idx val="99"/>
        <c:spPr>
          <a:solidFill>
            <a:schemeClr val="accent1"/>
          </a:solidFill>
          <a:ln>
            <a:noFill/>
          </a:ln>
          <a:effectLst>
            <a:outerShdw blurRad="254000" sx="102000" sy="102000" algn="ctr" rotWithShape="0">
              <a:prstClr val="black">
                <a:alpha val="20000"/>
              </a:prstClr>
            </a:outerShdw>
          </a:effectLst>
        </c:spPr>
      </c:pivotFmt>
      <c:pivotFmt>
        <c:idx val="100"/>
        <c:spPr>
          <a:solidFill>
            <a:schemeClr val="accent1"/>
          </a:solidFill>
          <a:ln>
            <a:noFill/>
          </a:ln>
          <a:effectLst>
            <a:outerShdw blurRad="254000" sx="102000" sy="102000" algn="ctr" rotWithShape="0">
              <a:prstClr val="black">
                <a:alpha val="20000"/>
              </a:prstClr>
            </a:outerShdw>
          </a:effectLst>
        </c:spPr>
      </c:pivotFmt>
      <c:pivotFmt>
        <c:idx val="101"/>
        <c:spPr>
          <a:solidFill>
            <a:schemeClr val="accent1"/>
          </a:solidFill>
          <a:ln>
            <a:noFill/>
          </a:ln>
          <a:effectLst>
            <a:outerShdw blurRad="254000" sx="102000" sy="102000" algn="ctr" rotWithShape="0">
              <a:prstClr val="black">
                <a:alpha val="20000"/>
              </a:prstClr>
            </a:outerShdw>
          </a:effectLst>
        </c:spPr>
      </c:pivotFmt>
      <c:pivotFmt>
        <c:idx val="102"/>
        <c:spPr>
          <a:solidFill>
            <a:schemeClr val="accent1"/>
          </a:solidFill>
          <a:ln>
            <a:noFill/>
          </a:ln>
          <a:effectLst>
            <a:outerShdw blurRad="254000" sx="102000" sy="102000" algn="ctr" rotWithShape="0">
              <a:prstClr val="black">
                <a:alpha val="20000"/>
              </a:prstClr>
            </a:outerShdw>
          </a:effectLst>
        </c:spPr>
      </c:pivotFmt>
      <c:pivotFmt>
        <c:idx val="103"/>
        <c:spPr>
          <a:solidFill>
            <a:schemeClr val="accent1"/>
          </a:solidFill>
          <a:ln>
            <a:noFill/>
          </a:ln>
          <a:effectLst>
            <a:outerShdw blurRad="254000" sx="102000" sy="102000" algn="ctr" rotWithShape="0">
              <a:prstClr val="black">
                <a:alpha val="20000"/>
              </a:prstClr>
            </a:outerShdw>
          </a:effectLst>
        </c:spPr>
      </c:pivotFmt>
      <c:pivotFmt>
        <c:idx val="104"/>
        <c:spPr>
          <a:solidFill>
            <a:schemeClr val="accent1"/>
          </a:solidFill>
          <a:ln>
            <a:noFill/>
          </a:ln>
          <a:effectLst>
            <a:outerShdw blurRad="254000" sx="102000" sy="102000" algn="ctr" rotWithShape="0">
              <a:prstClr val="black">
                <a:alpha val="20000"/>
              </a:prstClr>
            </a:outerShdw>
          </a:effectLst>
        </c:spPr>
      </c:pivotFmt>
      <c:pivotFmt>
        <c:idx val="105"/>
        <c:spPr>
          <a:solidFill>
            <a:schemeClr val="accent1"/>
          </a:solidFill>
          <a:ln>
            <a:noFill/>
          </a:ln>
          <a:effectLst>
            <a:outerShdw blurRad="254000" sx="102000" sy="102000" algn="ctr" rotWithShape="0">
              <a:prstClr val="black">
                <a:alpha val="20000"/>
              </a:prstClr>
            </a:outerShdw>
          </a:effectLst>
        </c:spPr>
      </c:pivotFmt>
      <c:pivotFmt>
        <c:idx val="106"/>
        <c:spPr>
          <a:solidFill>
            <a:schemeClr val="accent1"/>
          </a:solidFill>
          <a:ln>
            <a:noFill/>
          </a:ln>
          <a:effectLst>
            <a:outerShdw blurRad="254000" sx="102000" sy="102000" algn="ctr" rotWithShape="0">
              <a:prstClr val="black">
                <a:alpha val="20000"/>
              </a:prstClr>
            </a:outerShdw>
          </a:effectLst>
        </c:spPr>
      </c:pivotFmt>
      <c:pivotFmt>
        <c:idx val="107"/>
        <c:spPr>
          <a:solidFill>
            <a:schemeClr val="accent1"/>
          </a:solidFill>
          <a:ln>
            <a:noFill/>
          </a:ln>
          <a:effectLst>
            <a:outerShdw blurRad="254000" sx="102000" sy="102000" algn="ctr" rotWithShape="0">
              <a:prstClr val="black">
                <a:alpha val="20000"/>
              </a:prstClr>
            </a:outerShdw>
          </a:effectLst>
        </c:spPr>
      </c:pivotFmt>
      <c:pivotFmt>
        <c:idx val="108"/>
        <c:spPr>
          <a:solidFill>
            <a:schemeClr val="accent1"/>
          </a:solidFill>
          <a:ln>
            <a:noFill/>
          </a:ln>
          <a:effectLst>
            <a:outerShdw blurRad="254000" sx="102000" sy="102000" algn="ctr" rotWithShape="0">
              <a:prstClr val="black">
                <a:alpha val="20000"/>
              </a:prstClr>
            </a:outerShdw>
          </a:effectLst>
        </c:spPr>
      </c:pivotFmt>
      <c:pivotFmt>
        <c:idx val="109"/>
        <c:spPr>
          <a:solidFill>
            <a:schemeClr val="accent1"/>
          </a:solidFill>
          <a:ln>
            <a:noFill/>
          </a:ln>
          <a:effectLst>
            <a:outerShdw blurRad="254000" sx="102000" sy="102000" algn="ctr" rotWithShape="0">
              <a:prstClr val="black">
                <a:alpha val="20000"/>
              </a:prstClr>
            </a:outerShdw>
          </a:effectLst>
        </c:spPr>
      </c:pivotFmt>
      <c:pivotFmt>
        <c:idx val="110"/>
        <c:spPr>
          <a:solidFill>
            <a:schemeClr val="accent1"/>
          </a:solidFill>
          <a:ln>
            <a:noFill/>
          </a:ln>
          <a:effectLst>
            <a:outerShdw blurRad="254000" sx="102000" sy="102000" algn="ctr" rotWithShape="0">
              <a:prstClr val="black">
                <a:alpha val="20000"/>
              </a:prstClr>
            </a:outerShdw>
          </a:effectLst>
        </c:spPr>
      </c:pivotFmt>
      <c:pivotFmt>
        <c:idx val="111"/>
        <c:spPr>
          <a:solidFill>
            <a:schemeClr val="accent1"/>
          </a:solidFill>
          <a:ln>
            <a:noFill/>
          </a:ln>
          <a:effectLst>
            <a:outerShdw blurRad="254000" sx="102000" sy="102000" algn="ctr" rotWithShape="0">
              <a:prstClr val="black">
                <a:alpha val="20000"/>
              </a:prstClr>
            </a:outerShdw>
          </a:effectLst>
        </c:spPr>
      </c:pivotFmt>
      <c:pivotFmt>
        <c:idx val="112"/>
        <c:spPr>
          <a:solidFill>
            <a:schemeClr val="accent1"/>
          </a:solidFill>
          <a:ln>
            <a:noFill/>
          </a:ln>
          <a:effectLst>
            <a:outerShdw blurRad="254000" sx="102000" sy="102000" algn="ctr" rotWithShape="0">
              <a:prstClr val="black">
                <a:alpha val="20000"/>
              </a:prstClr>
            </a:outerShdw>
          </a:effectLst>
        </c:spPr>
      </c:pivotFmt>
      <c:pivotFmt>
        <c:idx val="113"/>
        <c:spPr>
          <a:solidFill>
            <a:schemeClr val="accent1"/>
          </a:solidFill>
          <a:ln>
            <a:noFill/>
          </a:ln>
          <a:effectLst>
            <a:outerShdw blurRad="254000" sx="102000" sy="102000" algn="ctr" rotWithShape="0">
              <a:prstClr val="black">
                <a:alpha val="20000"/>
              </a:prstClr>
            </a:outerShdw>
          </a:effectLst>
        </c:spPr>
      </c:pivotFmt>
      <c:pivotFmt>
        <c:idx val="114"/>
        <c:spPr>
          <a:solidFill>
            <a:schemeClr val="accent1"/>
          </a:solidFill>
          <a:ln>
            <a:noFill/>
          </a:ln>
          <a:effectLst>
            <a:outerShdw blurRad="254000" sx="102000" sy="102000" algn="ctr" rotWithShape="0">
              <a:prstClr val="black">
                <a:alpha val="20000"/>
              </a:prstClr>
            </a:outerShdw>
          </a:effectLst>
        </c:spPr>
      </c:pivotFmt>
      <c:pivotFmt>
        <c:idx val="115"/>
        <c:spPr>
          <a:solidFill>
            <a:schemeClr val="accent1"/>
          </a:solidFill>
          <a:ln>
            <a:noFill/>
          </a:ln>
          <a:effectLst>
            <a:outerShdw blurRad="254000" sx="102000" sy="102000" algn="ctr" rotWithShape="0">
              <a:prstClr val="black">
                <a:alpha val="20000"/>
              </a:prstClr>
            </a:outerShdw>
          </a:effectLst>
        </c:spPr>
      </c:pivotFmt>
      <c:pivotFmt>
        <c:idx val="116"/>
        <c:spPr>
          <a:solidFill>
            <a:schemeClr val="accent1"/>
          </a:solidFill>
          <a:ln>
            <a:noFill/>
          </a:ln>
          <a:effectLst>
            <a:outerShdw blurRad="254000" sx="102000" sy="102000" algn="ctr" rotWithShape="0">
              <a:prstClr val="black">
                <a:alpha val="20000"/>
              </a:prstClr>
            </a:outerShdw>
          </a:effectLst>
        </c:spPr>
      </c:pivotFmt>
      <c:pivotFmt>
        <c:idx val="117"/>
        <c:spPr>
          <a:solidFill>
            <a:schemeClr val="accent1"/>
          </a:solidFill>
          <a:ln>
            <a:noFill/>
          </a:ln>
          <a:effectLst>
            <a:outerShdw blurRad="254000" sx="102000" sy="102000" algn="ctr" rotWithShape="0">
              <a:prstClr val="black">
                <a:alpha val="20000"/>
              </a:prstClr>
            </a:outerShdw>
          </a:effectLst>
        </c:spPr>
      </c:pivotFmt>
      <c:pivotFmt>
        <c:idx val="118"/>
        <c:spPr>
          <a:solidFill>
            <a:schemeClr val="accent1"/>
          </a:solidFill>
          <a:ln>
            <a:noFill/>
          </a:ln>
          <a:effectLst>
            <a:outerShdw blurRad="254000" sx="102000" sy="102000" algn="ctr" rotWithShape="0">
              <a:prstClr val="black">
                <a:alpha val="20000"/>
              </a:prstClr>
            </a:outerShdw>
          </a:effectLst>
        </c:spPr>
      </c:pivotFmt>
      <c:pivotFmt>
        <c:idx val="119"/>
        <c:spPr>
          <a:solidFill>
            <a:schemeClr val="accent1"/>
          </a:solidFill>
          <a:ln>
            <a:noFill/>
          </a:ln>
          <a:effectLst>
            <a:outerShdw blurRad="254000" sx="102000" sy="102000" algn="ctr" rotWithShape="0">
              <a:prstClr val="black">
                <a:alpha val="20000"/>
              </a:prstClr>
            </a:outerShdw>
          </a:effectLst>
        </c:spPr>
      </c:pivotFmt>
      <c:pivotFmt>
        <c:idx val="120"/>
        <c:spPr>
          <a:solidFill>
            <a:schemeClr val="accent1"/>
          </a:solidFill>
          <a:ln>
            <a:noFill/>
          </a:ln>
          <a:effectLst>
            <a:outerShdw blurRad="254000" sx="102000" sy="102000" algn="ctr" rotWithShape="0">
              <a:prstClr val="black">
                <a:alpha val="20000"/>
              </a:prstClr>
            </a:outerShdw>
          </a:effectLst>
        </c:spPr>
      </c:pivotFmt>
      <c:pivotFmt>
        <c:idx val="121"/>
        <c:spPr>
          <a:solidFill>
            <a:schemeClr val="accent1"/>
          </a:solidFill>
          <a:ln>
            <a:noFill/>
          </a:ln>
          <a:effectLst>
            <a:outerShdw blurRad="254000" sx="102000" sy="102000" algn="ctr" rotWithShape="0">
              <a:prstClr val="black">
                <a:alpha val="20000"/>
              </a:prstClr>
            </a:outerShdw>
          </a:effectLst>
        </c:spPr>
      </c:pivotFmt>
      <c:pivotFmt>
        <c:idx val="122"/>
        <c:spPr>
          <a:solidFill>
            <a:schemeClr val="accent1"/>
          </a:solidFill>
          <a:ln>
            <a:noFill/>
          </a:ln>
          <a:effectLst>
            <a:outerShdw blurRad="254000" sx="102000" sy="102000" algn="ctr" rotWithShape="0">
              <a:prstClr val="black">
                <a:alpha val="20000"/>
              </a:prstClr>
            </a:outerShdw>
          </a:effectLst>
        </c:spPr>
      </c:pivotFmt>
      <c:pivotFmt>
        <c:idx val="123"/>
        <c:spPr>
          <a:solidFill>
            <a:schemeClr val="accent1"/>
          </a:solidFill>
          <a:ln>
            <a:noFill/>
          </a:ln>
          <a:effectLst>
            <a:outerShdw blurRad="254000" sx="102000" sy="102000" algn="ctr" rotWithShape="0">
              <a:prstClr val="black">
                <a:alpha val="20000"/>
              </a:prstClr>
            </a:outerShdw>
          </a:effectLst>
        </c:spPr>
      </c:pivotFmt>
      <c:pivotFmt>
        <c:idx val="124"/>
        <c:spPr>
          <a:solidFill>
            <a:schemeClr val="accent1"/>
          </a:solidFill>
          <a:ln>
            <a:noFill/>
          </a:ln>
          <a:effectLst>
            <a:outerShdw blurRad="254000" sx="102000" sy="102000" algn="ctr" rotWithShape="0">
              <a:prstClr val="black">
                <a:alpha val="20000"/>
              </a:prstClr>
            </a:outerShdw>
          </a:effectLst>
        </c:spPr>
      </c:pivotFmt>
      <c:pivotFmt>
        <c:idx val="125"/>
        <c:spPr>
          <a:solidFill>
            <a:schemeClr val="accent1"/>
          </a:solidFill>
          <a:ln>
            <a:noFill/>
          </a:ln>
          <a:effectLst>
            <a:outerShdw blurRad="254000" sx="102000" sy="102000" algn="ctr" rotWithShape="0">
              <a:prstClr val="black">
                <a:alpha val="20000"/>
              </a:prstClr>
            </a:outerShdw>
          </a:effectLst>
        </c:spPr>
      </c:pivotFmt>
      <c:pivotFmt>
        <c:idx val="126"/>
        <c:spPr>
          <a:solidFill>
            <a:schemeClr val="accent1"/>
          </a:solidFill>
          <a:ln>
            <a:noFill/>
          </a:ln>
          <a:effectLst>
            <a:outerShdw blurRad="254000" sx="102000" sy="102000" algn="ctr" rotWithShape="0">
              <a:prstClr val="black">
                <a:alpha val="20000"/>
              </a:prstClr>
            </a:outerShdw>
          </a:effectLst>
        </c:spPr>
      </c:pivotFmt>
      <c:pivotFmt>
        <c:idx val="127"/>
        <c:spPr>
          <a:solidFill>
            <a:schemeClr val="accent1"/>
          </a:solidFill>
          <a:ln>
            <a:noFill/>
          </a:ln>
          <a:effectLst>
            <a:outerShdw blurRad="254000" sx="102000" sy="102000" algn="ctr" rotWithShape="0">
              <a:prstClr val="black">
                <a:alpha val="20000"/>
              </a:prstClr>
            </a:outerShdw>
          </a:effectLst>
        </c:spPr>
      </c:pivotFmt>
      <c:pivotFmt>
        <c:idx val="128"/>
        <c:spPr>
          <a:solidFill>
            <a:schemeClr val="accent1"/>
          </a:solidFill>
          <a:ln>
            <a:noFill/>
          </a:ln>
          <a:effectLst>
            <a:outerShdw blurRad="254000" sx="102000" sy="102000" algn="ctr" rotWithShape="0">
              <a:prstClr val="black">
                <a:alpha val="20000"/>
              </a:prstClr>
            </a:outerShdw>
          </a:effectLst>
        </c:spPr>
      </c:pivotFmt>
      <c:pivotFmt>
        <c:idx val="129"/>
        <c:spPr>
          <a:solidFill>
            <a:schemeClr val="accent1"/>
          </a:solidFill>
          <a:ln>
            <a:noFill/>
          </a:ln>
          <a:effectLst>
            <a:outerShdw blurRad="254000" sx="102000" sy="102000" algn="ctr" rotWithShape="0">
              <a:prstClr val="black">
                <a:alpha val="20000"/>
              </a:prstClr>
            </a:outerShdw>
          </a:effectLst>
        </c:spPr>
      </c:pivotFmt>
      <c:pivotFmt>
        <c:idx val="130"/>
        <c:spPr>
          <a:solidFill>
            <a:schemeClr val="accent1"/>
          </a:solidFill>
          <a:ln>
            <a:noFill/>
          </a:ln>
          <a:effectLst>
            <a:outerShdw blurRad="254000" sx="102000" sy="102000" algn="ctr" rotWithShape="0">
              <a:prstClr val="black">
                <a:alpha val="20000"/>
              </a:prstClr>
            </a:outerShdw>
          </a:effectLst>
        </c:spPr>
      </c:pivotFmt>
      <c:pivotFmt>
        <c:idx val="131"/>
        <c:spPr>
          <a:solidFill>
            <a:schemeClr val="accent1"/>
          </a:solidFill>
          <a:ln>
            <a:noFill/>
          </a:ln>
          <a:effectLst>
            <a:outerShdw blurRad="254000" sx="102000" sy="102000" algn="ctr" rotWithShape="0">
              <a:prstClr val="black">
                <a:alpha val="20000"/>
              </a:prstClr>
            </a:outerShdw>
          </a:effectLst>
        </c:spPr>
      </c:pivotFmt>
      <c:pivotFmt>
        <c:idx val="132"/>
        <c:spPr>
          <a:solidFill>
            <a:schemeClr val="accent1"/>
          </a:solidFill>
          <a:ln>
            <a:noFill/>
          </a:ln>
          <a:effectLst>
            <a:outerShdw blurRad="254000" sx="102000" sy="102000" algn="ctr" rotWithShape="0">
              <a:prstClr val="black">
                <a:alpha val="20000"/>
              </a:prstClr>
            </a:outerShdw>
          </a:effectLst>
        </c:spPr>
      </c:pivotFmt>
      <c:pivotFmt>
        <c:idx val="133"/>
        <c:spPr>
          <a:solidFill>
            <a:schemeClr val="accent1"/>
          </a:solidFill>
          <a:ln>
            <a:noFill/>
          </a:ln>
          <a:effectLst>
            <a:outerShdw blurRad="254000" sx="102000" sy="102000" algn="ctr" rotWithShape="0">
              <a:prstClr val="black">
                <a:alpha val="20000"/>
              </a:prstClr>
            </a:outerShdw>
          </a:effectLst>
        </c:spPr>
      </c:pivotFmt>
      <c:pivotFmt>
        <c:idx val="134"/>
        <c:spPr>
          <a:solidFill>
            <a:schemeClr val="accent1"/>
          </a:solidFill>
          <a:ln>
            <a:noFill/>
          </a:ln>
          <a:effectLst>
            <a:outerShdw blurRad="254000" sx="102000" sy="102000" algn="ctr" rotWithShape="0">
              <a:prstClr val="black">
                <a:alpha val="20000"/>
              </a:prstClr>
            </a:outerShdw>
          </a:effectLst>
        </c:spPr>
      </c:pivotFmt>
      <c:pivotFmt>
        <c:idx val="135"/>
        <c:spPr>
          <a:solidFill>
            <a:schemeClr val="accent1"/>
          </a:solidFill>
          <a:ln>
            <a:noFill/>
          </a:ln>
          <a:effectLst>
            <a:outerShdw blurRad="254000" sx="102000" sy="102000" algn="ctr" rotWithShape="0">
              <a:prstClr val="black">
                <a:alpha val="20000"/>
              </a:prstClr>
            </a:outerShdw>
          </a:effectLst>
        </c:spPr>
      </c:pivotFmt>
      <c:pivotFmt>
        <c:idx val="136"/>
        <c:spPr>
          <a:solidFill>
            <a:schemeClr val="accent1"/>
          </a:solidFill>
          <a:ln>
            <a:noFill/>
          </a:ln>
          <a:effectLst>
            <a:outerShdw blurRad="254000" sx="102000" sy="102000" algn="ctr" rotWithShape="0">
              <a:prstClr val="black">
                <a:alpha val="20000"/>
              </a:prstClr>
            </a:outerShdw>
          </a:effectLst>
        </c:spPr>
      </c:pivotFmt>
      <c:pivotFmt>
        <c:idx val="137"/>
        <c:spPr>
          <a:solidFill>
            <a:schemeClr val="accent1"/>
          </a:solidFill>
          <a:ln>
            <a:noFill/>
          </a:ln>
          <a:effectLst>
            <a:outerShdw blurRad="254000" sx="102000" sy="102000" algn="ctr" rotWithShape="0">
              <a:prstClr val="black">
                <a:alpha val="20000"/>
              </a:prstClr>
            </a:outerShdw>
          </a:effectLst>
        </c:spPr>
      </c:pivotFmt>
      <c:pivotFmt>
        <c:idx val="138"/>
        <c:spPr>
          <a:solidFill>
            <a:schemeClr val="accent1"/>
          </a:solidFill>
          <a:ln>
            <a:noFill/>
          </a:ln>
          <a:effectLst>
            <a:outerShdw blurRad="254000" sx="102000" sy="102000" algn="ctr" rotWithShape="0">
              <a:prstClr val="black">
                <a:alpha val="20000"/>
              </a:prstClr>
            </a:outerShdw>
          </a:effectLst>
        </c:spPr>
      </c:pivotFmt>
      <c:pivotFmt>
        <c:idx val="139"/>
        <c:spPr>
          <a:solidFill>
            <a:schemeClr val="accent1"/>
          </a:solidFill>
          <a:ln>
            <a:noFill/>
          </a:ln>
          <a:effectLst>
            <a:outerShdw blurRad="254000" sx="102000" sy="102000" algn="ctr" rotWithShape="0">
              <a:prstClr val="black">
                <a:alpha val="20000"/>
              </a:prstClr>
            </a:outerShdw>
          </a:effectLst>
        </c:spPr>
      </c:pivotFmt>
      <c:pivotFmt>
        <c:idx val="140"/>
        <c:spPr>
          <a:solidFill>
            <a:schemeClr val="accent1"/>
          </a:solidFill>
          <a:ln>
            <a:noFill/>
          </a:ln>
          <a:effectLst>
            <a:outerShdw blurRad="254000" sx="102000" sy="102000" algn="ctr" rotWithShape="0">
              <a:prstClr val="black">
                <a:alpha val="20000"/>
              </a:prstClr>
            </a:outerShdw>
          </a:effectLst>
        </c:spPr>
      </c:pivotFmt>
      <c:pivotFmt>
        <c:idx val="141"/>
        <c:spPr>
          <a:solidFill>
            <a:schemeClr val="accent1"/>
          </a:solidFill>
          <a:ln>
            <a:noFill/>
          </a:ln>
          <a:effectLst>
            <a:outerShdw blurRad="254000" sx="102000" sy="102000" algn="ctr" rotWithShape="0">
              <a:prstClr val="black">
                <a:alpha val="20000"/>
              </a:prstClr>
            </a:outerShdw>
          </a:effectLst>
        </c:spPr>
      </c:pivotFmt>
      <c:pivotFmt>
        <c:idx val="142"/>
        <c:spPr>
          <a:solidFill>
            <a:schemeClr val="accent1"/>
          </a:solidFill>
          <a:ln>
            <a:noFill/>
          </a:ln>
          <a:effectLst>
            <a:outerShdw blurRad="254000" sx="102000" sy="102000" algn="ctr" rotWithShape="0">
              <a:prstClr val="black">
                <a:alpha val="20000"/>
              </a:prstClr>
            </a:outerShdw>
          </a:effectLst>
        </c:spPr>
      </c:pivotFmt>
      <c:pivotFmt>
        <c:idx val="143"/>
        <c:spPr>
          <a:solidFill>
            <a:schemeClr val="accent1"/>
          </a:solidFill>
          <a:ln>
            <a:noFill/>
          </a:ln>
          <a:effectLst>
            <a:outerShdw blurRad="254000" sx="102000" sy="102000" algn="ctr" rotWithShape="0">
              <a:prstClr val="black">
                <a:alpha val="20000"/>
              </a:prstClr>
            </a:outerShdw>
          </a:effectLst>
        </c:spPr>
      </c:pivotFmt>
      <c:pivotFmt>
        <c:idx val="144"/>
        <c:spPr>
          <a:solidFill>
            <a:schemeClr val="accent1"/>
          </a:solidFill>
          <a:ln>
            <a:noFill/>
          </a:ln>
          <a:effectLst>
            <a:outerShdw blurRad="254000" sx="102000" sy="102000" algn="ctr" rotWithShape="0">
              <a:prstClr val="black">
                <a:alpha val="20000"/>
              </a:prstClr>
            </a:outerShdw>
          </a:effectLst>
        </c:spPr>
      </c:pivotFmt>
      <c:pivotFmt>
        <c:idx val="145"/>
        <c:spPr>
          <a:solidFill>
            <a:schemeClr val="accent1"/>
          </a:solidFill>
          <a:ln>
            <a:noFill/>
          </a:ln>
          <a:effectLst>
            <a:outerShdw blurRad="254000" sx="102000" sy="102000" algn="ctr" rotWithShape="0">
              <a:prstClr val="black">
                <a:alpha val="20000"/>
              </a:prstClr>
            </a:outerShdw>
          </a:effectLst>
        </c:spPr>
      </c:pivotFmt>
      <c:pivotFmt>
        <c:idx val="146"/>
        <c:spPr>
          <a:solidFill>
            <a:schemeClr val="accent1"/>
          </a:solidFill>
          <a:ln>
            <a:noFill/>
          </a:ln>
          <a:effectLst>
            <a:outerShdw blurRad="254000" sx="102000" sy="102000" algn="ctr" rotWithShape="0">
              <a:prstClr val="black">
                <a:alpha val="20000"/>
              </a:prstClr>
            </a:outerShdw>
          </a:effectLst>
        </c:spPr>
      </c:pivotFmt>
      <c:pivotFmt>
        <c:idx val="147"/>
        <c:spPr>
          <a:solidFill>
            <a:schemeClr val="accent1"/>
          </a:solidFill>
          <a:ln>
            <a:noFill/>
          </a:ln>
          <a:effectLst>
            <a:outerShdw blurRad="254000" sx="102000" sy="102000" algn="ctr" rotWithShape="0">
              <a:prstClr val="black">
                <a:alpha val="20000"/>
              </a:prstClr>
            </a:outerShdw>
          </a:effectLst>
        </c:spPr>
      </c:pivotFmt>
      <c:pivotFmt>
        <c:idx val="148"/>
        <c:spPr>
          <a:solidFill>
            <a:schemeClr val="accent1"/>
          </a:solidFill>
          <a:ln>
            <a:noFill/>
          </a:ln>
          <a:effectLst>
            <a:outerShdw blurRad="254000" sx="102000" sy="102000" algn="ctr" rotWithShape="0">
              <a:prstClr val="black">
                <a:alpha val="20000"/>
              </a:prstClr>
            </a:outerShdw>
          </a:effectLst>
        </c:spPr>
      </c:pivotFmt>
      <c:pivotFmt>
        <c:idx val="149"/>
        <c:spPr>
          <a:solidFill>
            <a:schemeClr val="accent1"/>
          </a:solidFill>
          <a:ln>
            <a:noFill/>
          </a:ln>
          <a:effectLst>
            <a:outerShdw blurRad="254000" sx="102000" sy="102000" algn="ctr" rotWithShape="0">
              <a:prstClr val="black">
                <a:alpha val="20000"/>
              </a:prstClr>
            </a:outerShdw>
          </a:effectLst>
        </c:spPr>
      </c:pivotFmt>
      <c:pivotFmt>
        <c:idx val="150"/>
        <c:spPr>
          <a:solidFill>
            <a:schemeClr val="accent1"/>
          </a:solidFill>
          <a:ln>
            <a:noFill/>
          </a:ln>
          <a:effectLst>
            <a:outerShdw blurRad="254000" sx="102000" sy="102000" algn="ctr" rotWithShape="0">
              <a:prstClr val="black">
                <a:alpha val="20000"/>
              </a:prstClr>
            </a:outerShdw>
          </a:effectLst>
        </c:spPr>
      </c:pivotFmt>
      <c:pivotFmt>
        <c:idx val="151"/>
        <c:spPr>
          <a:solidFill>
            <a:schemeClr val="accent1"/>
          </a:solidFill>
          <a:ln>
            <a:noFill/>
          </a:ln>
          <a:effectLst>
            <a:outerShdw blurRad="254000" sx="102000" sy="102000" algn="ctr" rotWithShape="0">
              <a:prstClr val="black">
                <a:alpha val="20000"/>
              </a:prstClr>
            </a:outerShdw>
          </a:effectLst>
        </c:spPr>
      </c:pivotFmt>
      <c:pivotFmt>
        <c:idx val="152"/>
        <c:spPr>
          <a:solidFill>
            <a:schemeClr val="accent1"/>
          </a:solidFill>
          <a:ln>
            <a:noFill/>
          </a:ln>
          <a:effectLst>
            <a:outerShdw blurRad="254000" sx="102000" sy="102000" algn="ctr" rotWithShape="0">
              <a:prstClr val="black">
                <a:alpha val="20000"/>
              </a:prstClr>
            </a:outerShdw>
          </a:effectLst>
        </c:spPr>
      </c:pivotFmt>
      <c:pivotFmt>
        <c:idx val="153"/>
        <c:spPr>
          <a:solidFill>
            <a:schemeClr val="accent1"/>
          </a:solidFill>
          <a:ln>
            <a:noFill/>
          </a:ln>
          <a:effectLst>
            <a:outerShdw blurRad="254000" sx="102000" sy="102000" algn="ctr" rotWithShape="0">
              <a:prstClr val="black">
                <a:alpha val="20000"/>
              </a:prstClr>
            </a:outerShdw>
          </a:effectLst>
        </c:spPr>
      </c:pivotFmt>
      <c:pivotFmt>
        <c:idx val="15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1"/>
          </a:solidFill>
          <a:ln>
            <a:noFill/>
          </a:ln>
          <a:effectLst>
            <a:outerShdw blurRad="254000" sx="102000" sy="102000" algn="ctr" rotWithShape="0">
              <a:prstClr val="black">
                <a:alpha val="20000"/>
              </a:prstClr>
            </a:outerShdw>
          </a:effectLst>
        </c:spPr>
      </c:pivotFmt>
      <c:pivotFmt>
        <c:idx val="156"/>
        <c:spPr>
          <a:solidFill>
            <a:schemeClr val="accent1"/>
          </a:solidFill>
          <a:ln>
            <a:noFill/>
          </a:ln>
          <a:effectLst>
            <a:outerShdw blurRad="254000" sx="102000" sy="102000" algn="ctr" rotWithShape="0">
              <a:prstClr val="black">
                <a:alpha val="20000"/>
              </a:prstClr>
            </a:outerShdw>
          </a:effectLst>
        </c:spPr>
      </c:pivotFmt>
      <c:pivotFmt>
        <c:idx val="157"/>
        <c:spPr>
          <a:solidFill>
            <a:schemeClr val="accent1"/>
          </a:solidFill>
          <a:ln>
            <a:noFill/>
          </a:ln>
          <a:effectLst>
            <a:outerShdw blurRad="254000" sx="102000" sy="102000" algn="ctr" rotWithShape="0">
              <a:prstClr val="black">
                <a:alpha val="20000"/>
              </a:prstClr>
            </a:outerShdw>
          </a:effectLst>
        </c:spPr>
      </c:pivotFmt>
      <c:pivotFmt>
        <c:idx val="158"/>
        <c:spPr>
          <a:solidFill>
            <a:schemeClr val="accent1"/>
          </a:solidFill>
          <a:ln>
            <a:noFill/>
          </a:ln>
          <a:effectLst>
            <a:outerShdw blurRad="254000" sx="102000" sy="102000" algn="ctr" rotWithShape="0">
              <a:prstClr val="black">
                <a:alpha val="20000"/>
              </a:prstClr>
            </a:outerShdw>
          </a:effectLst>
        </c:spPr>
      </c:pivotFmt>
      <c:pivotFmt>
        <c:idx val="159"/>
        <c:spPr>
          <a:solidFill>
            <a:schemeClr val="accent1"/>
          </a:solidFill>
          <a:ln>
            <a:noFill/>
          </a:ln>
          <a:effectLst>
            <a:outerShdw blurRad="254000" sx="102000" sy="102000" algn="ctr" rotWithShape="0">
              <a:prstClr val="black">
                <a:alpha val="20000"/>
              </a:prstClr>
            </a:outerShdw>
          </a:effectLst>
        </c:spPr>
      </c:pivotFmt>
      <c:pivotFmt>
        <c:idx val="160"/>
        <c:spPr>
          <a:solidFill>
            <a:schemeClr val="accent1"/>
          </a:solidFill>
          <a:ln>
            <a:noFill/>
          </a:ln>
          <a:effectLst>
            <a:outerShdw blurRad="254000" sx="102000" sy="102000" algn="ctr" rotWithShape="0">
              <a:prstClr val="black">
                <a:alpha val="20000"/>
              </a:prstClr>
            </a:outerShdw>
          </a:effectLst>
        </c:spPr>
      </c:pivotFmt>
      <c:pivotFmt>
        <c:idx val="161"/>
        <c:spPr>
          <a:solidFill>
            <a:schemeClr val="accent1"/>
          </a:solidFill>
          <a:ln>
            <a:noFill/>
          </a:ln>
          <a:effectLst>
            <a:outerShdw blurRad="254000" sx="102000" sy="102000" algn="ctr" rotWithShape="0">
              <a:prstClr val="black">
                <a:alpha val="20000"/>
              </a:prstClr>
            </a:outerShdw>
          </a:effectLst>
        </c:spPr>
      </c:pivotFmt>
      <c:pivotFmt>
        <c:idx val="162"/>
        <c:spPr>
          <a:solidFill>
            <a:schemeClr val="accent1"/>
          </a:solidFill>
          <a:ln>
            <a:noFill/>
          </a:ln>
          <a:effectLst>
            <a:outerShdw blurRad="254000" sx="102000" sy="102000" algn="ctr" rotWithShape="0">
              <a:prstClr val="black">
                <a:alpha val="20000"/>
              </a:prstClr>
            </a:outerShdw>
          </a:effectLst>
        </c:spPr>
      </c:pivotFmt>
      <c:pivotFmt>
        <c:idx val="163"/>
        <c:spPr>
          <a:solidFill>
            <a:schemeClr val="accent1"/>
          </a:solidFill>
          <a:ln>
            <a:noFill/>
          </a:ln>
          <a:effectLst>
            <a:outerShdw blurRad="254000" sx="102000" sy="102000" algn="ctr" rotWithShape="0">
              <a:prstClr val="black">
                <a:alpha val="20000"/>
              </a:prstClr>
            </a:outerShdw>
          </a:effectLst>
        </c:spPr>
      </c:pivotFmt>
      <c:pivotFmt>
        <c:idx val="164"/>
        <c:spPr>
          <a:solidFill>
            <a:schemeClr val="accent1"/>
          </a:solidFill>
          <a:ln>
            <a:noFill/>
          </a:ln>
          <a:effectLst>
            <a:outerShdw blurRad="254000" sx="102000" sy="102000" algn="ctr" rotWithShape="0">
              <a:prstClr val="black">
                <a:alpha val="20000"/>
              </a:prstClr>
            </a:outerShdw>
          </a:effectLst>
        </c:spPr>
      </c:pivotFmt>
      <c:pivotFmt>
        <c:idx val="165"/>
        <c:spPr>
          <a:solidFill>
            <a:schemeClr val="accent1"/>
          </a:solidFill>
          <a:ln>
            <a:noFill/>
          </a:ln>
          <a:effectLst>
            <a:outerShdw blurRad="254000" sx="102000" sy="102000" algn="ctr" rotWithShape="0">
              <a:prstClr val="black">
                <a:alpha val="20000"/>
              </a:prstClr>
            </a:outerShdw>
          </a:effectLst>
        </c:spPr>
      </c:pivotFmt>
      <c:pivotFmt>
        <c:idx val="166"/>
        <c:spPr>
          <a:solidFill>
            <a:schemeClr val="accent1"/>
          </a:solidFill>
          <a:ln>
            <a:noFill/>
          </a:ln>
          <a:effectLst>
            <a:outerShdw blurRad="254000" sx="102000" sy="102000" algn="ctr" rotWithShape="0">
              <a:prstClr val="black">
                <a:alpha val="20000"/>
              </a:prstClr>
            </a:outerShdw>
          </a:effectLst>
        </c:spPr>
      </c:pivotFmt>
      <c:pivotFmt>
        <c:idx val="167"/>
        <c:spPr>
          <a:solidFill>
            <a:schemeClr val="accent1"/>
          </a:solidFill>
          <a:ln>
            <a:noFill/>
          </a:ln>
          <a:effectLst>
            <a:outerShdw blurRad="254000" sx="102000" sy="102000" algn="ctr" rotWithShape="0">
              <a:prstClr val="black">
                <a:alpha val="20000"/>
              </a:prstClr>
            </a:outerShdw>
          </a:effectLst>
        </c:spPr>
      </c:pivotFmt>
      <c:pivotFmt>
        <c:idx val="168"/>
        <c:spPr>
          <a:solidFill>
            <a:schemeClr val="accent1"/>
          </a:solidFill>
          <a:ln>
            <a:noFill/>
          </a:ln>
          <a:effectLst>
            <a:outerShdw blurRad="254000" sx="102000" sy="102000" algn="ctr" rotWithShape="0">
              <a:prstClr val="black">
                <a:alpha val="20000"/>
              </a:prstClr>
            </a:outerShdw>
          </a:effectLst>
        </c:spPr>
      </c:pivotFmt>
      <c:pivotFmt>
        <c:idx val="169"/>
        <c:spPr>
          <a:solidFill>
            <a:schemeClr val="accent1"/>
          </a:solidFill>
          <a:ln>
            <a:noFill/>
          </a:ln>
          <a:effectLst>
            <a:outerShdw blurRad="254000" sx="102000" sy="102000" algn="ctr" rotWithShape="0">
              <a:prstClr val="black">
                <a:alpha val="20000"/>
              </a:prstClr>
            </a:outerShdw>
          </a:effectLst>
        </c:spPr>
      </c:pivotFmt>
      <c:pivotFmt>
        <c:idx val="170"/>
        <c:spPr>
          <a:solidFill>
            <a:schemeClr val="accent1"/>
          </a:solidFill>
          <a:ln>
            <a:noFill/>
          </a:ln>
          <a:effectLst>
            <a:outerShdw blurRad="254000" sx="102000" sy="102000" algn="ctr" rotWithShape="0">
              <a:prstClr val="black">
                <a:alpha val="20000"/>
              </a:prstClr>
            </a:outerShdw>
          </a:effectLst>
        </c:spPr>
      </c:pivotFmt>
      <c:pivotFmt>
        <c:idx val="171"/>
        <c:spPr>
          <a:solidFill>
            <a:schemeClr val="accent1"/>
          </a:solidFill>
          <a:ln>
            <a:noFill/>
          </a:ln>
          <a:effectLst>
            <a:outerShdw blurRad="254000" sx="102000" sy="102000" algn="ctr" rotWithShape="0">
              <a:prstClr val="black">
                <a:alpha val="20000"/>
              </a:prstClr>
            </a:outerShdw>
          </a:effectLst>
        </c:spPr>
      </c:pivotFmt>
      <c:pivotFmt>
        <c:idx val="172"/>
        <c:spPr>
          <a:solidFill>
            <a:schemeClr val="accent1"/>
          </a:solidFill>
          <a:ln>
            <a:noFill/>
          </a:ln>
          <a:effectLst>
            <a:outerShdw blurRad="254000" sx="102000" sy="102000" algn="ctr" rotWithShape="0">
              <a:prstClr val="black">
                <a:alpha val="20000"/>
              </a:prstClr>
            </a:outerShdw>
          </a:effectLst>
        </c:spPr>
      </c:pivotFmt>
      <c:pivotFmt>
        <c:idx val="173"/>
        <c:spPr>
          <a:solidFill>
            <a:schemeClr val="accent1"/>
          </a:solidFill>
          <a:ln>
            <a:noFill/>
          </a:ln>
          <a:effectLst>
            <a:outerShdw blurRad="254000" sx="102000" sy="102000" algn="ctr" rotWithShape="0">
              <a:prstClr val="black">
                <a:alpha val="20000"/>
              </a:prstClr>
            </a:outerShdw>
          </a:effectLst>
        </c:spPr>
      </c:pivotFmt>
      <c:pivotFmt>
        <c:idx val="174"/>
        <c:spPr>
          <a:solidFill>
            <a:schemeClr val="accent1"/>
          </a:solidFill>
          <a:ln>
            <a:noFill/>
          </a:ln>
          <a:effectLst>
            <a:outerShdw blurRad="254000" sx="102000" sy="102000" algn="ctr" rotWithShape="0">
              <a:prstClr val="black">
                <a:alpha val="20000"/>
              </a:prstClr>
            </a:outerShdw>
          </a:effectLst>
        </c:spPr>
      </c:pivotFmt>
      <c:pivotFmt>
        <c:idx val="175"/>
        <c:spPr>
          <a:solidFill>
            <a:schemeClr val="accent1"/>
          </a:solidFill>
          <a:ln>
            <a:noFill/>
          </a:ln>
          <a:effectLst>
            <a:outerShdw blurRad="254000" sx="102000" sy="102000" algn="ctr" rotWithShape="0">
              <a:prstClr val="black">
                <a:alpha val="20000"/>
              </a:prstClr>
            </a:outerShdw>
          </a:effectLst>
        </c:spPr>
      </c:pivotFmt>
      <c:pivotFmt>
        <c:idx val="176"/>
        <c:spPr>
          <a:solidFill>
            <a:schemeClr val="accent1"/>
          </a:solidFill>
          <a:ln>
            <a:noFill/>
          </a:ln>
          <a:effectLst>
            <a:outerShdw blurRad="254000" sx="102000" sy="102000" algn="ctr" rotWithShape="0">
              <a:prstClr val="black">
                <a:alpha val="20000"/>
              </a:prstClr>
            </a:outerShdw>
          </a:effectLst>
        </c:spPr>
      </c:pivotFmt>
      <c:pivotFmt>
        <c:idx val="177"/>
        <c:spPr>
          <a:solidFill>
            <a:schemeClr val="accent1"/>
          </a:solidFill>
          <a:ln>
            <a:noFill/>
          </a:ln>
          <a:effectLst>
            <a:outerShdw blurRad="254000" sx="102000" sy="102000" algn="ctr" rotWithShape="0">
              <a:prstClr val="black">
                <a:alpha val="20000"/>
              </a:prstClr>
            </a:outerShdw>
          </a:effectLst>
        </c:spPr>
      </c:pivotFmt>
      <c:pivotFmt>
        <c:idx val="178"/>
        <c:spPr>
          <a:solidFill>
            <a:schemeClr val="accent1"/>
          </a:solidFill>
          <a:ln>
            <a:noFill/>
          </a:ln>
          <a:effectLst>
            <a:outerShdw blurRad="254000" sx="102000" sy="102000" algn="ctr" rotWithShape="0">
              <a:prstClr val="black">
                <a:alpha val="20000"/>
              </a:prstClr>
            </a:outerShdw>
          </a:effectLst>
        </c:spPr>
      </c:pivotFmt>
      <c:pivotFmt>
        <c:idx val="179"/>
        <c:spPr>
          <a:solidFill>
            <a:schemeClr val="accent1"/>
          </a:solidFill>
          <a:ln>
            <a:noFill/>
          </a:ln>
          <a:effectLst>
            <a:outerShdw blurRad="254000" sx="102000" sy="102000" algn="ctr" rotWithShape="0">
              <a:prstClr val="black">
                <a:alpha val="20000"/>
              </a:prstClr>
            </a:outerShdw>
          </a:effectLst>
        </c:spPr>
      </c:pivotFmt>
      <c:pivotFmt>
        <c:idx val="180"/>
        <c:spPr>
          <a:solidFill>
            <a:schemeClr val="accent1"/>
          </a:solidFill>
          <a:ln>
            <a:noFill/>
          </a:ln>
          <a:effectLst>
            <a:outerShdw blurRad="254000" sx="102000" sy="102000" algn="ctr" rotWithShape="0">
              <a:prstClr val="black">
                <a:alpha val="20000"/>
              </a:prstClr>
            </a:outerShdw>
          </a:effectLst>
        </c:spPr>
      </c:pivotFmt>
      <c:pivotFmt>
        <c:idx val="181"/>
        <c:spPr>
          <a:solidFill>
            <a:schemeClr val="accent1"/>
          </a:solidFill>
          <a:ln>
            <a:noFill/>
          </a:ln>
          <a:effectLst>
            <a:outerShdw blurRad="254000" sx="102000" sy="102000" algn="ctr" rotWithShape="0">
              <a:prstClr val="black">
                <a:alpha val="20000"/>
              </a:prstClr>
            </a:outerShdw>
          </a:effectLst>
        </c:spPr>
      </c:pivotFmt>
      <c:pivotFmt>
        <c:idx val="182"/>
        <c:spPr>
          <a:solidFill>
            <a:schemeClr val="accent1"/>
          </a:solidFill>
          <a:ln>
            <a:noFill/>
          </a:ln>
          <a:effectLst>
            <a:outerShdw blurRad="254000" sx="102000" sy="102000" algn="ctr" rotWithShape="0">
              <a:prstClr val="black">
                <a:alpha val="20000"/>
              </a:prstClr>
            </a:outerShdw>
          </a:effectLst>
        </c:spPr>
      </c:pivotFmt>
      <c:pivotFmt>
        <c:idx val="183"/>
        <c:spPr>
          <a:solidFill>
            <a:schemeClr val="accent1"/>
          </a:solidFill>
          <a:ln>
            <a:noFill/>
          </a:ln>
          <a:effectLst>
            <a:outerShdw blurRad="254000" sx="102000" sy="102000" algn="ctr" rotWithShape="0">
              <a:prstClr val="black">
                <a:alpha val="20000"/>
              </a:prstClr>
            </a:outerShdw>
          </a:effectLst>
        </c:spPr>
      </c:pivotFmt>
      <c:pivotFmt>
        <c:idx val="184"/>
        <c:spPr>
          <a:solidFill>
            <a:schemeClr val="accent1"/>
          </a:solidFill>
          <a:ln>
            <a:noFill/>
          </a:ln>
          <a:effectLst>
            <a:outerShdw blurRad="254000" sx="102000" sy="102000" algn="ctr" rotWithShape="0">
              <a:prstClr val="black">
                <a:alpha val="20000"/>
              </a:prstClr>
            </a:outerShdw>
          </a:effectLst>
        </c:spPr>
      </c:pivotFmt>
      <c:pivotFmt>
        <c:idx val="185"/>
        <c:spPr>
          <a:solidFill>
            <a:schemeClr val="accent1"/>
          </a:solidFill>
          <a:ln>
            <a:noFill/>
          </a:ln>
          <a:effectLst>
            <a:outerShdw blurRad="254000" sx="102000" sy="102000" algn="ctr" rotWithShape="0">
              <a:prstClr val="black">
                <a:alpha val="20000"/>
              </a:prstClr>
            </a:outerShdw>
          </a:effectLst>
        </c:spPr>
      </c:pivotFmt>
      <c:pivotFmt>
        <c:idx val="186"/>
        <c:spPr>
          <a:solidFill>
            <a:schemeClr val="accent1"/>
          </a:solidFill>
          <a:ln>
            <a:noFill/>
          </a:ln>
          <a:effectLst>
            <a:outerShdw blurRad="254000" sx="102000" sy="102000" algn="ctr" rotWithShape="0">
              <a:prstClr val="black">
                <a:alpha val="20000"/>
              </a:prstClr>
            </a:outerShdw>
          </a:effectLst>
        </c:spPr>
      </c:pivotFmt>
      <c:pivotFmt>
        <c:idx val="187"/>
        <c:spPr>
          <a:solidFill>
            <a:schemeClr val="accent1"/>
          </a:solidFill>
          <a:ln>
            <a:noFill/>
          </a:ln>
          <a:effectLst>
            <a:outerShdw blurRad="254000" sx="102000" sy="102000" algn="ctr" rotWithShape="0">
              <a:prstClr val="black">
                <a:alpha val="20000"/>
              </a:prstClr>
            </a:outerShdw>
          </a:effectLst>
        </c:spPr>
      </c:pivotFmt>
      <c:pivotFmt>
        <c:idx val="188"/>
        <c:spPr>
          <a:solidFill>
            <a:schemeClr val="accent1"/>
          </a:solidFill>
          <a:ln>
            <a:noFill/>
          </a:ln>
          <a:effectLst>
            <a:outerShdw blurRad="254000" sx="102000" sy="102000" algn="ctr" rotWithShape="0">
              <a:prstClr val="black">
                <a:alpha val="20000"/>
              </a:prstClr>
            </a:outerShdw>
          </a:effectLst>
        </c:spPr>
      </c:pivotFmt>
      <c:pivotFmt>
        <c:idx val="189"/>
        <c:spPr>
          <a:solidFill>
            <a:schemeClr val="accent1"/>
          </a:solidFill>
          <a:ln>
            <a:noFill/>
          </a:ln>
          <a:effectLst>
            <a:outerShdw blurRad="254000" sx="102000" sy="102000" algn="ctr" rotWithShape="0">
              <a:prstClr val="black">
                <a:alpha val="20000"/>
              </a:prstClr>
            </a:outerShdw>
          </a:effectLst>
        </c:spPr>
      </c:pivotFmt>
      <c:pivotFmt>
        <c:idx val="190"/>
        <c:spPr>
          <a:solidFill>
            <a:schemeClr val="accent1"/>
          </a:solidFill>
          <a:ln>
            <a:noFill/>
          </a:ln>
          <a:effectLst>
            <a:outerShdw blurRad="254000" sx="102000" sy="102000" algn="ctr" rotWithShape="0">
              <a:prstClr val="black">
                <a:alpha val="20000"/>
              </a:prstClr>
            </a:outerShdw>
          </a:effectLst>
        </c:spPr>
      </c:pivotFmt>
      <c:pivotFmt>
        <c:idx val="191"/>
        <c:spPr>
          <a:solidFill>
            <a:schemeClr val="accent1"/>
          </a:solidFill>
          <a:ln>
            <a:noFill/>
          </a:ln>
          <a:effectLst>
            <a:outerShdw blurRad="254000" sx="102000" sy="102000" algn="ctr" rotWithShape="0">
              <a:prstClr val="black">
                <a:alpha val="20000"/>
              </a:prstClr>
            </a:outerShdw>
          </a:effectLst>
        </c:spPr>
      </c:pivotFmt>
      <c:pivotFmt>
        <c:idx val="192"/>
        <c:spPr>
          <a:solidFill>
            <a:schemeClr val="accent1"/>
          </a:solidFill>
          <a:ln>
            <a:noFill/>
          </a:ln>
          <a:effectLst>
            <a:outerShdw blurRad="254000" sx="102000" sy="102000" algn="ctr" rotWithShape="0">
              <a:prstClr val="black">
                <a:alpha val="20000"/>
              </a:prstClr>
            </a:outerShdw>
          </a:effectLst>
        </c:spPr>
      </c:pivotFmt>
      <c:pivotFmt>
        <c:idx val="193"/>
        <c:spPr>
          <a:solidFill>
            <a:schemeClr val="accent1"/>
          </a:solidFill>
          <a:ln>
            <a:noFill/>
          </a:ln>
          <a:effectLst>
            <a:outerShdw blurRad="254000" sx="102000" sy="102000" algn="ctr" rotWithShape="0">
              <a:prstClr val="black">
                <a:alpha val="20000"/>
              </a:prstClr>
            </a:outerShdw>
          </a:effectLst>
        </c:spPr>
      </c:pivotFmt>
      <c:pivotFmt>
        <c:idx val="194"/>
        <c:spPr>
          <a:solidFill>
            <a:schemeClr val="accent1"/>
          </a:solidFill>
          <a:ln>
            <a:noFill/>
          </a:ln>
          <a:effectLst>
            <a:outerShdw blurRad="254000" sx="102000" sy="102000" algn="ctr" rotWithShape="0">
              <a:prstClr val="black">
                <a:alpha val="20000"/>
              </a:prstClr>
            </a:outerShdw>
          </a:effectLst>
        </c:spPr>
      </c:pivotFmt>
      <c:pivotFmt>
        <c:idx val="195"/>
        <c:spPr>
          <a:solidFill>
            <a:schemeClr val="accent1"/>
          </a:solidFill>
          <a:ln>
            <a:noFill/>
          </a:ln>
          <a:effectLst>
            <a:outerShdw blurRad="254000" sx="102000" sy="102000" algn="ctr" rotWithShape="0">
              <a:prstClr val="black">
                <a:alpha val="20000"/>
              </a:prstClr>
            </a:outerShdw>
          </a:effectLst>
        </c:spPr>
      </c:pivotFmt>
      <c:pivotFmt>
        <c:idx val="196"/>
        <c:spPr>
          <a:solidFill>
            <a:schemeClr val="accent1"/>
          </a:solidFill>
          <a:ln>
            <a:noFill/>
          </a:ln>
          <a:effectLst>
            <a:outerShdw blurRad="254000" sx="102000" sy="102000" algn="ctr" rotWithShape="0">
              <a:prstClr val="black">
                <a:alpha val="20000"/>
              </a:prstClr>
            </a:outerShdw>
          </a:effectLst>
        </c:spPr>
      </c:pivotFmt>
      <c:pivotFmt>
        <c:idx val="197"/>
        <c:spPr>
          <a:solidFill>
            <a:schemeClr val="accent1"/>
          </a:solidFill>
          <a:ln>
            <a:noFill/>
          </a:ln>
          <a:effectLst>
            <a:outerShdw blurRad="254000" sx="102000" sy="102000" algn="ctr" rotWithShape="0">
              <a:prstClr val="black">
                <a:alpha val="20000"/>
              </a:prstClr>
            </a:outerShdw>
          </a:effectLst>
        </c:spPr>
      </c:pivotFmt>
      <c:pivotFmt>
        <c:idx val="198"/>
        <c:spPr>
          <a:solidFill>
            <a:schemeClr val="accent1"/>
          </a:solidFill>
          <a:ln>
            <a:noFill/>
          </a:ln>
          <a:effectLst>
            <a:outerShdw blurRad="254000" sx="102000" sy="102000" algn="ctr" rotWithShape="0">
              <a:prstClr val="black">
                <a:alpha val="20000"/>
              </a:prstClr>
            </a:outerShdw>
          </a:effectLst>
        </c:spPr>
      </c:pivotFmt>
      <c:pivotFmt>
        <c:idx val="199"/>
        <c:spPr>
          <a:solidFill>
            <a:schemeClr val="accent1"/>
          </a:solidFill>
          <a:ln>
            <a:noFill/>
          </a:ln>
          <a:effectLst>
            <a:outerShdw blurRad="254000" sx="102000" sy="102000" algn="ctr" rotWithShape="0">
              <a:prstClr val="black">
                <a:alpha val="20000"/>
              </a:prstClr>
            </a:outerShdw>
          </a:effectLst>
        </c:spPr>
      </c:pivotFmt>
      <c:pivotFmt>
        <c:idx val="200"/>
        <c:spPr>
          <a:solidFill>
            <a:schemeClr val="accent1"/>
          </a:solidFill>
          <a:ln>
            <a:noFill/>
          </a:ln>
          <a:effectLst>
            <a:outerShdw blurRad="254000" sx="102000" sy="102000" algn="ctr" rotWithShape="0">
              <a:prstClr val="black">
                <a:alpha val="20000"/>
              </a:prstClr>
            </a:outerShdw>
          </a:effectLst>
        </c:spPr>
      </c:pivotFmt>
      <c:pivotFmt>
        <c:idx val="201"/>
        <c:spPr>
          <a:solidFill>
            <a:schemeClr val="accent1"/>
          </a:solidFill>
          <a:ln>
            <a:noFill/>
          </a:ln>
          <a:effectLst>
            <a:outerShdw blurRad="254000" sx="102000" sy="102000" algn="ctr" rotWithShape="0">
              <a:prstClr val="black">
                <a:alpha val="20000"/>
              </a:prstClr>
            </a:outerShdw>
          </a:effectLst>
        </c:spPr>
      </c:pivotFmt>
      <c:pivotFmt>
        <c:idx val="202"/>
        <c:spPr>
          <a:solidFill>
            <a:schemeClr val="accent1"/>
          </a:solidFill>
          <a:ln>
            <a:noFill/>
          </a:ln>
          <a:effectLst>
            <a:outerShdw blurRad="254000" sx="102000" sy="102000" algn="ctr" rotWithShape="0">
              <a:prstClr val="black">
                <a:alpha val="20000"/>
              </a:prstClr>
            </a:outerShdw>
          </a:effectLst>
        </c:spPr>
      </c:pivotFmt>
      <c:pivotFmt>
        <c:idx val="203"/>
        <c:spPr>
          <a:solidFill>
            <a:schemeClr val="accent1"/>
          </a:solidFill>
          <a:ln>
            <a:noFill/>
          </a:ln>
          <a:effectLst>
            <a:outerShdw blurRad="254000" sx="102000" sy="102000" algn="ctr" rotWithShape="0">
              <a:prstClr val="black">
                <a:alpha val="20000"/>
              </a:prstClr>
            </a:outerShdw>
          </a:effectLst>
        </c:spPr>
      </c:pivotFmt>
      <c:pivotFmt>
        <c:idx val="204"/>
        <c:spPr>
          <a:solidFill>
            <a:schemeClr val="accent1"/>
          </a:solidFill>
          <a:ln>
            <a:noFill/>
          </a:ln>
          <a:effectLst>
            <a:outerShdw blurRad="254000" sx="102000" sy="102000" algn="ctr" rotWithShape="0">
              <a:prstClr val="black">
                <a:alpha val="20000"/>
              </a:prstClr>
            </a:outerShdw>
          </a:effectLst>
        </c:spPr>
      </c:pivotFmt>
      <c:pivotFmt>
        <c:idx val="205"/>
        <c:spPr>
          <a:solidFill>
            <a:schemeClr val="accent1"/>
          </a:solidFill>
          <a:ln>
            <a:noFill/>
          </a:ln>
          <a:effectLst>
            <a:outerShdw blurRad="254000" sx="102000" sy="102000" algn="ctr" rotWithShape="0">
              <a:prstClr val="black">
                <a:alpha val="20000"/>
              </a:prstClr>
            </a:outerShdw>
          </a:effectLst>
        </c:spPr>
      </c:pivotFmt>
      <c:pivotFmt>
        <c:idx val="206"/>
        <c:spPr>
          <a:solidFill>
            <a:schemeClr val="accent1"/>
          </a:solidFill>
          <a:ln>
            <a:noFill/>
          </a:ln>
          <a:effectLst>
            <a:outerShdw blurRad="254000" sx="102000" sy="102000" algn="ctr" rotWithShape="0">
              <a:prstClr val="black">
                <a:alpha val="20000"/>
              </a:prstClr>
            </a:outerShdw>
          </a:effectLst>
        </c:spPr>
      </c:pivotFmt>
      <c:pivotFmt>
        <c:idx val="207"/>
        <c:spPr>
          <a:solidFill>
            <a:schemeClr val="accent1"/>
          </a:solidFill>
          <a:ln>
            <a:noFill/>
          </a:ln>
          <a:effectLst>
            <a:outerShdw blurRad="254000" sx="102000" sy="102000" algn="ctr" rotWithShape="0">
              <a:prstClr val="black">
                <a:alpha val="20000"/>
              </a:prstClr>
            </a:outerShdw>
          </a:effectLst>
        </c:spPr>
      </c:pivotFmt>
      <c:pivotFmt>
        <c:idx val="208"/>
        <c:spPr>
          <a:solidFill>
            <a:schemeClr val="accent1"/>
          </a:solidFill>
          <a:ln>
            <a:noFill/>
          </a:ln>
          <a:effectLst>
            <a:outerShdw blurRad="254000" sx="102000" sy="102000" algn="ctr" rotWithShape="0">
              <a:prstClr val="black">
                <a:alpha val="20000"/>
              </a:prstClr>
            </a:outerShdw>
          </a:effectLst>
        </c:spPr>
      </c:pivotFmt>
      <c:pivotFmt>
        <c:idx val="209"/>
        <c:spPr>
          <a:solidFill>
            <a:schemeClr val="accent1"/>
          </a:solidFill>
          <a:ln>
            <a:noFill/>
          </a:ln>
          <a:effectLst>
            <a:outerShdw blurRad="254000" sx="102000" sy="102000" algn="ctr" rotWithShape="0">
              <a:prstClr val="black">
                <a:alpha val="20000"/>
              </a:prstClr>
            </a:outerShdw>
          </a:effectLst>
        </c:spPr>
      </c:pivotFmt>
      <c:pivotFmt>
        <c:idx val="210"/>
        <c:spPr>
          <a:solidFill>
            <a:schemeClr val="accent1"/>
          </a:solidFill>
          <a:ln>
            <a:noFill/>
          </a:ln>
          <a:effectLst>
            <a:outerShdw blurRad="254000" sx="102000" sy="102000" algn="ctr" rotWithShape="0">
              <a:prstClr val="black">
                <a:alpha val="20000"/>
              </a:prstClr>
            </a:outerShdw>
          </a:effectLst>
        </c:spPr>
      </c:pivotFmt>
      <c:pivotFmt>
        <c:idx val="211"/>
        <c:spPr>
          <a:solidFill>
            <a:schemeClr val="accent1"/>
          </a:solidFill>
          <a:ln>
            <a:noFill/>
          </a:ln>
          <a:effectLst>
            <a:outerShdw blurRad="254000" sx="102000" sy="102000" algn="ctr" rotWithShape="0">
              <a:prstClr val="black">
                <a:alpha val="20000"/>
              </a:prstClr>
            </a:outerShdw>
          </a:effectLst>
        </c:spPr>
      </c:pivotFmt>
      <c:pivotFmt>
        <c:idx val="212"/>
        <c:spPr>
          <a:solidFill>
            <a:schemeClr val="accent1"/>
          </a:solidFill>
          <a:ln>
            <a:noFill/>
          </a:ln>
          <a:effectLst>
            <a:outerShdw blurRad="254000" sx="102000" sy="102000" algn="ctr" rotWithShape="0">
              <a:prstClr val="black">
                <a:alpha val="20000"/>
              </a:prstClr>
            </a:outerShdw>
          </a:effectLst>
        </c:spPr>
      </c:pivotFmt>
      <c:pivotFmt>
        <c:idx val="213"/>
        <c:spPr>
          <a:solidFill>
            <a:schemeClr val="accent1"/>
          </a:solidFill>
          <a:ln>
            <a:noFill/>
          </a:ln>
          <a:effectLst>
            <a:outerShdw blurRad="254000" sx="102000" sy="102000" algn="ctr" rotWithShape="0">
              <a:prstClr val="black">
                <a:alpha val="20000"/>
              </a:prstClr>
            </a:outerShdw>
          </a:effectLst>
        </c:spPr>
      </c:pivotFmt>
      <c:pivotFmt>
        <c:idx val="214"/>
        <c:spPr>
          <a:solidFill>
            <a:schemeClr val="accent1"/>
          </a:solidFill>
          <a:ln>
            <a:noFill/>
          </a:ln>
          <a:effectLst>
            <a:outerShdw blurRad="254000" sx="102000" sy="102000" algn="ctr" rotWithShape="0">
              <a:prstClr val="black">
                <a:alpha val="20000"/>
              </a:prstClr>
            </a:outerShdw>
          </a:effectLst>
        </c:spPr>
      </c:pivotFmt>
      <c:pivotFmt>
        <c:idx val="215"/>
        <c:spPr>
          <a:solidFill>
            <a:schemeClr val="accent1"/>
          </a:solidFill>
          <a:ln>
            <a:noFill/>
          </a:ln>
          <a:effectLst>
            <a:outerShdw blurRad="254000" sx="102000" sy="102000" algn="ctr" rotWithShape="0">
              <a:prstClr val="black">
                <a:alpha val="20000"/>
              </a:prstClr>
            </a:outerShdw>
          </a:effectLst>
        </c:spPr>
      </c:pivotFmt>
      <c:pivotFmt>
        <c:idx val="216"/>
        <c:spPr>
          <a:solidFill>
            <a:schemeClr val="accent1"/>
          </a:solidFill>
          <a:ln>
            <a:noFill/>
          </a:ln>
          <a:effectLst>
            <a:outerShdw blurRad="254000" sx="102000" sy="102000" algn="ctr" rotWithShape="0">
              <a:prstClr val="black">
                <a:alpha val="20000"/>
              </a:prstClr>
            </a:outerShdw>
          </a:effectLst>
        </c:spPr>
      </c:pivotFmt>
      <c:pivotFmt>
        <c:idx val="217"/>
        <c:spPr>
          <a:solidFill>
            <a:schemeClr val="accent1"/>
          </a:solidFill>
          <a:ln>
            <a:noFill/>
          </a:ln>
          <a:effectLst>
            <a:outerShdw blurRad="254000" sx="102000" sy="102000" algn="ctr" rotWithShape="0">
              <a:prstClr val="black">
                <a:alpha val="20000"/>
              </a:prstClr>
            </a:outerShdw>
          </a:effectLst>
        </c:spPr>
      </c:pivotFmt>
      <c:pivotFmt>
        <c:idx val="218"/>
        <c:spPr>
          <a:solidFill>
            <a:schemeClr val="accent1"/>
          </a:solidFill>
          <a:ln>
            <a:noFill/>
          </a:ln>
          <a:effectLst>
            <a:outerShdw blurRad="254000" sx="102000" sy="102000" algn="ctr" rotWithShape="0">
              <a:prstClr val="black">
                <a:alpha val="20000"/>
              </a:prstClr>
            </a:outerShdw>
          </a:effectLst>
        </c:spPr>
      </c:pivotFmt>
      <c:pivotFmt>
        <c:idx val="219"/>
        <c:spPr>
          <a:solidFill>
            <a:schemeClr val="accent1"/>
          </a:solidFill>
          <a:ln>
            <a:noFill/>
          </a:ln>
          <a:effectLst>
            <a:outerShdw blurRad="254000" sx="102000" sy="102000" algn="ctr" rotWithShape="0">
              <a:prstClr val="black">
                <a:alpha val="20000"/>
              </a:prstClr>
            </a:outerShdw>
          </a:effectLst>
        </c:spPr>
      </c:pivotFmt>
      <c:pivotFmt>
        <c:idx val="220"/>
        <c:spPr>
          <a:solidFill>
            <a:schemeClr val="accent1"/>
          </a:solidFill>
          <a:ln>
            <a:noFill/>
          </a:ln>
          <a:effectLst>
            <a:outerShdw blurRad="254000" sx="102000" sy="102000" algn="ctr" rotWithShape="0">
              <a:prstClr val="black">
                <a:alpha val="20000"/>
              </a:prstClr>
            </a:outerShdw>
          </a:effectLst>
        </c:spPr>
      </c:pivotFmt>
      <c:pivotFmt>
        <c:idx val="221"/>
        <c:spPr>
          <a:solidFill>
            <a:schemeClr val="accent1"/>
          </a:solidFill>
          <a:ln>
            <a:noFill/>
          </a:ln>
          <a:effectLst>
            <a:outerShdw blurRad="254000" sx="102000" sy="102000" algn="ctr" rotWithShape="0">
              <a:prstClr val="black">
                <a:alpha val="20000"/>
              </a:prstClr>
            </a:outerShdw>
          </a:effectLst>
        </c:spPr>
      </c:pivotFmt>
      <c:pivotFmt>
        <c:idx val="222"/>
        <c:spPr>
          <a:solidFill>
            <a:schemeClr val="accent1"/>
          </a:solidFill>
          <a:ln>
            <a:noFill/>
          </a:ln>
          <a:effectLst>
            <a:outerShdw blurRad="254000" sx="102000" sy="102000" algn="ctr" rotWithShape="0">
              <a:prstClr val="black">
                <a:alpha val="20000"/>
              </a:prstClr>
            </a:outerShdw>
          </a:effectLst>
        </c:spPr>
      </c:pivotFmt>
      <c:pivotFmt>
        <c:idx val="223"/>
        <c:spPr>
          <a:solidFill>
            <a:schemeClr val="accent1"/>
          </a:solidFill>
          <a:ln>
            <a:noFill/>
          </a:ln>
          <a:effectLst>
            <a:outerShdw blurRad="254000" sx="102000" sy="102000" algn="ctr" rotWithShape="0">
              <a:prstClr val="black">
                <a:alpha val="20000"/>
              </a:prstClr>
            </a:outerShdw>
          </a:effectLst>
        </c:spPr>
      </c:pivotFmt>
      <c:pivotFmt>
        <c:idx val="224"/>
        <c:spPr>
          <a:solidFill>
            <a:schemeClr val="accent1"/>
          </a:solidFill>
          <a:ln>
            <a:noFill/>
          </a:ln>
          <a:effectLst>
            <a:outerShdw blurRad="254000" sx="102000" sy="102000" algn="ctr" rotWithShape="0">
              <a:prstClr val="black">
                <a:alpha val="20000"/>
              </a:prstClr>
            </a:outerShdw>
          </a:effectLst>
        </c:spPr>
      </c:pivotFmt>
      <c:pivotFmt>
        <c:idx val="225"/>
        <c:spPr>
          <a:solidFill>
            <a:schemeClr val="accent1"/>
          </a:solidFill>
          <a:ln>
            <a:noFill/>
          </a:ln>
          <a:effectLst>
            <a:outerShdw blurRad="254000" sx="102000" sy="102000" algn="ctr" rotWithShape="0">
              <a:prstClr val="black">
                <a:alpha val="20000"/>
              </a:prstClr>
            </a:outerShdw>
          </a:effectLst>
        </c:spPr>
      </c:pivotFmt>
      <c:pivotFmt>
        <c:idx val="226"/>
        <c:spPr>
          <a:solidFill>
            <a:schemeClr val="accent1"/>
          </a:solidFill>
          <a:ln>
            <a:noFill/>
          </a:ln>
          <a:effectLst>
            <a:outerShdw blurRad="254000" sx="102000" sy="102000" algn="ctr" rotWithShape="0">
              <a:prstClr val="black">
                <a:alpha val="20000"/>
              </a:prstClr>
            </a:outerShdw>
          </a:effectLst>
        </c:spPr>
      </c:pivotFmt>
      <c:pivotFmt>
        <c:idx val="227"/>
        <c:spPr>
          <a:solidFill>
            <a:schemeClr val="accent1"/>
          </a:solidFill>
          <a:ln>
            <a:noFill/>
          </a:ln>
          <a:effectLst>
            <a:outerShdw blurRad="254000" sx="102000" sy="102000" algn="ctr" rotWithShape="0">
              <a:prstClr val="black">
                <a:alpha val="20000"/>
              </a:prstClr>
            </a:outerShdw>
          </a:effectLst>
        </c:spPr>
      </c:pivotFmt>
      <c:pivotFmt>
        <c:idx val="228"/>
        <c:spPr>
          <a:solidFill>
            <a:schemeClr val="accent1"/>
          </a:solidFill>
          <a:ln>
            <a:noFill/>
          </a:ln>
          <a:effectLst>
            <a:outerShdw blurRad="254000" sx="102000" sy="102000" algn="ctr" rotWithShape="0">
              <a:prstClr val="black">
                <a:alpha val="20000"/>
              </a:prstClr>
            </a:outerShdw>
          </a:effectLst>
        </c:spPr>
      </c:pivotFmt>
      <c:pivotFmt>
        <c:idx val="229"/>
        <c:spPr>
          <a:solidFill>
            <a:schemeClr val="accent1"/>
          </a:solidFill>
          <a:ln>
            <a:noFill/>
          </a:ln>
          <a:effectLst>
            <a:outerShdw blurRad="254000" sx="102000" sy="102000" algn="ctr" rotWithShape="0">
              <a:prstClr val="black">
                <a:alpha val="20000"/>
              </a:prstClr>
            </a:outerShdw>
          </a:effectLst>
        </c:spPr>
      </c:pivotFmt>
      <c:pivotFmt>
        <c:idx val="230"/>
        <c:spPr>
          <a:solidFill>
            <a:schemeClr val="accent1"/>
          </a:solidFill>
          <a:ln>
            <a:noFill/>
          </a:ln>
          <a:effectLst>
            <a:outerShdw blurRad="254000" sx="102000" sy="102000" algn="ctr" rotWithShape="0">
              <a:prstClr val="black">
                <a:alpha val="20000"/>
              </a:prstClr>
            </a:outerShdw>
          </a:effectLst>
        </c:spPr>
      </c:pivotFmt>
      <c:pivotFmt>
        <c:idx val="231"/>
        <c:spPr>
          <a:solidFill>
            <a:schemeClr val="accent1"/>
          </a:solidFill>
          <a:ln>
            <a:noFill/>
          </a:ln>
          <a:effectLst>
            <a:outerShdw blurRad="254000" sx="102000" sy="102000" algn="ctr" rotWithShape="0">
              <a:prstClr val="black">
                <a:alpha val="20000"/>
              </a:prstClr>
            </a:outerShdw>
          </a:effectLst>
        </c:spPr>
      </c:pivotFmt>
      <c:pivotFmt>
        <c:idx val="232"/>
        <c:spPr>
          <a:solidFill>
            <a:schemeClr val="accent1"/>
          </a:solidFill>
          <a:ln>
            <a:noFill/>
          </a:ln>
          <a:effectLst>
            <a:outerShdw blurRad="254000" sx="102000" sy="102000" algn="ctr" rotWithShape="0">
              <a:prstClr val="black">
                <a:alpha val="20000"/>
              </a:prstClr>
            </a:outerShdw>
          </a:effectLst>
        </c:spPr>
      </c:pivotFmt>
      <c:pivotFmt>
        <c:idx val="233"/>
        <c:spPr>
          <a:solidFill>
            <a:schemeClr val="accent1"/>
          </a:solidFill>
          <a:ln>
            <a:noFill/>
          </a:ln>
          <a:effectLst>
            <a:outerShdw blurRad="254000" sx="102000" sy="102000" algn="ctr" rotWithShape="0">
              <a:prstClr val="black">
                <a:alpha val="20000"/>
              </a:prstClr>
            </a:outerShdw>
          </a:effectLst>
        </c:spPr>
      </c:pivotFmt>
      <c:pivotFmt>
        <c:idx val="234"/>
        <c:spPr>
          <a:solidFill>
            <a:schemeClr val="accent1"/>
          </a:solidFill>
          <a:ln>
            <a:noFill/>
          </a:ln>
          <a:effectLst>
            <a:outerShdw blurRad="254000" sx="102000" sy="102000" algn="ctr" rotWithShape="0">
              <a:prstClr val="black">
                <a:alpha val="20000"/>
              </a:prstClr>
            </a:outerShdw>
          </a:effectLst>
        </c:spPr>
      </c:pivotFmt>
      <c:pivotFmt>
        <c:idx val="235"/>
        <c:spPr>
          <a:solidFill>
            <a:schemeClr val="accent1"/>
          </a:solidFill>
          <a:ln>
            <a:noFill/>
          </a:ln>
          <a:effectLst>
            <a:outerShdw blurRad="254000" sx="102000" sy="102000" algn="ctr" rotWithShape="0">
              <a:prstClr val="black">
                <a:alpha val="20000"/>
              </a:prstClr>
            </a:outerShdw>
          </a:effectLst>
        </c:spPr>
      </c:pivotFmt>
      <c:pivotFmt>
        <c:idx val="236"/>
        <c:spPr>
          <a:solidFill>
            <a:schemeClr val="accent1"/>
          </a:solidFill>
          <a:ln>
            <a:noFill/>
          </a:ln>
          <a:effectLst>
            <a:outerShdw blurRad="254000" sx="102000" sy="102000" algn="ctr" rotWithShape="0">
              <a:prstClr val="black">
                <a:alpha val="20000"/>
              </a:prstClr>
            </a:outerShdw>
          </a:effectLst>
        </c:spPr>
      </c:pivotFmt>
      <c:pivotFmt>
        <c:idx val="237"/>
        <c:spPr>
          <a:solidFill>
            <a:schemeClr val="accent1"/>
          </a:solidFill>
          <a:ln>
            <a:noFill/>
          </a:ln>
          <a:effectLst>
            <a:outerShdw blurRad="254000" sx="102000" sy="102000" algn="ctr" rotWithShape="0">
              <a:prstClr val="black">
                <a:alpha val="20000"/>
              </a:prstClr>
            </a:outerShdw>
          </a:effectLst>
        </c:spPr>
      </c:pivotFmt>
      <c:pivotFmt>
        <c:idx val="238"/>
        <c:spPr>
          <a:solidFill>
            <a:schemeClr val="accent1"/>
          </a:solidFill>
          <a:ln>
            <a:noFill/>
          </a:ln>
          <a:effectLst>
            <a:outerShdw blurRad="254000" sx="102000" sy="102000" algn="ctr" rotWithShape="0">
              <a:prstClr val="black">
                <a:alpha val="20000"/>
              </a:prstClr>
            </a:outerShdw>
          </a:effectLst>
        </c:spPr>
      </c:pivotFmt>
      <c:pivotFmt>
        <c:idx val="239"/>
        <c:spPr>
          <a:solidFill>
            <a:schemeClr val="accent1"/>
          </a:solidFill>
          <a:ln>
            <a:noFill/>
          </a:ln>
          <a:effectLst>
            <a:outerShdw blurRad="254000" sx="102000" sy="102000" algn="ctr" rotWithShape="0">
              <a:prstClr val="black">
                <a:alpha val="20000"/>
              </a:prstClr>
            </a:outerShdw>
          </a:effectLst>
        </c:spPr>
      </c:pivotFmt>
      <c:pivotFmt>
        <c:idx val="240"/>
        <c:spPr>
          <a:solidFill>
            <a:schemeClr val="accent1"/>
          </a:solidFill>
          <a:ln>
            <a:noFill/>
          </a:ln>
          <a:effectLst>
            <a:outerShdw blurRad="254000" sx="102000" sy="102000" algn="ctr" rotWithShape="0">
              <a:prstClr val="black">
                <a:alpha val="20000"/>
              </a:prstClr>
            </a:outerShdw>
          </a:effectLst>
        </c:spPr>
      </c:pivotFmt>
      <c:pivotFmt>
        <c:idx val="241"/>
        <c:spPr>
          <a:solidFill>
            <a:schemeClr val="accent1"/>
          </a:solidFill>
          <a:ln>
            <a:noFill/>
          </a:ln>
          <a:effectLst>
            <a:outerShdw blurRad="254000" sx="102000" sy="102000" algn="ctr" rotWithShape="0">
              <a:prstClr val="black">
                <a:alpha val="20000"/>
              </a:prstClr>
            </a:outerShdw>
          </a:effectLst>
        </c:spPr>
      </c:pivotFmt>
      <c:pivotFmt>
        <c:idx val="242"/>
        <c:spPr>
          <a:solidFill>
            <a:schemeClr val="accent1"/>
          </a:solidFill>
          <a:ln>
            <a:noFill/>
          </a:ln>
          <a:effectLst>
            <a:outerShdw blurRad="254000" sx="102000" sy="102000" algn="ctr" rotWithShape="0">
              <a:prstClr val="black">
                <a:alpha val="20000"/>
              </a:prstClr>
            </a:outerShdw>
          </a:effectLst>
        </c:spPr>
      </c:pivotFmt>
      <c:pivotFmt>
        <c:idx val="243"/>
        <c:spPr>
          <a:solidFill>
            <a:schemeClr val="accent1"/>
          </a:solidFill>
          <a:ln>
            <a:noFill/>
          </a:ln>
          <a:effectLst>
            <a:outerShdw blurRad="254000" sx="102000" sy="102000" algn="ctr" rotWithShape="0">
              <a:prstClr val="black">
                <a:alpha val="20000"/>
              </a:prstClr>
            </a:outerShdw>
          </a:effectLst>
        </c:spPr>
      </c:pivotFmt>
      <c:pivotFmt>
        <c:idx val="244"/>
        <c:spPr>
          <a:solidFill>
            <a:schemeClr val="accent1"/>
          </a:solidFill>
          <a:ln>
            <a:noFill/>
          </a:ln>
          <a:effectLst>
            <a:outerShdw blurRad="254000" sx="102000" sy="102000" algn="ctr" rotWithShape="0">
              <a:prstClr val="black">
                <a:alpha val="20000"/>
              </a:prstClr>
            </a:outerShdw>
          </a:effectLst>
        </c:spPr>
      </c:pivotFmt>
      <c:pivotFmt>
        <c:idx val="245"/>
        <c:spPr>
          <a:solidFill>
            <a:schemeClr val="accent1"/>
          </a:solidFill>
          <a:ln>
            <a:noFill/>
          </a:ln>
          <a:effectLst>
            <a:outerShdw blurRad="254000" sx="102000" sy="102000" algn="ctr" rotWithShape="0">
              <a:prstClr val="black">
                <a:alpha val="20000"/>
              </a:prstClr>
            </a:outerShdw>
          </a:effectLst>
        </c:spPr>
      </c:pivotFmt>
      <c:pivotFmt>
        <c:idx val="246"/>
        <c:spPr>
          <a:solidFill>
            <a:schemeClr val="accent1"/>
          </a:solidFill>
          <a:ln>
            <a:noFill/>
          </a:ln>
          <a:effectLst>
            <a:outerShdw blurRad="254000" sx="102000" sy="102000" algn="ctr" rotWithShape="0">
              <a:prstClr val="black">
                <a:alpha val="20000"/>
              </a:prstClr>
            </a:outerShdw>
          </a:effectLst>
        </c:spPr>
      </c:pivotFmt>
      <c:pivotFmt>
        <c:idx val="247"/>
        <c:spPr>
          <a:solidFill>
            <a:schemeClr val="accent1"/>
          </a:solidFill>
          <a:ln>
            <a:noFill/>
          </a:ln>
          <a:effectLst>
            <a:outerShdw blurRad="254000" sx="102000" sy="102000" algn="ctr" rotWithShape="0">
              <a:prstClr val="black">
                <a:alpha val="20000"/>
              </a:prstClr>
            </a:outerShdw>
          </a:effectLst>
        </c:spPr>
      </c:pivotFmt>
      <c:pivotFmt>
        <c:idx val="248"/>
        <c:spPr>
          <a:solidFill>
            <a:schemeClr val="accent1"/>
          </a:solidFill>
          <a:ln>
            <a:noFill/>
          </a:ln>
          <a:effectLst>
            <a:outerShdw blurRad="254000" sx="102000" sy="102000" algn="ctr" rotWithShape="0">
              <a:prstClr val="black">
                <a:alpha val="20000"/>
              </a:prstClr>
            </a:outerShdw>
          </a:effectLst>
        </c:spPr>
      </c:pivotFmt>
      <c:pivotFmt>
        <c:idx val="249"/>
        <c:spPr>
          <a:solidFill>
            <a:schemeClr val="accent1"/>
          </a:solidFill>
          <a:ln>
            <a:noFill/>
          </a:ln>
          <a:effectLst>
            <a:outerShdw blurRad="254000" sx="102000" sy="102000" algn="ctr" rotWithShape="0">
              <a:prstClr val="black">
                <a:alpha val="20000"/>
              </a:prstClr>
            </a:outerShdw>
          </a:effectLst>
        </c:spPr>
      </c:pivotFmt>
      <c:pivotFmt>
        <c:idx val="250"/>
        <c:spPr>
          <a:solidFill>
            <a:schemeClr val="accent1"/>
          </a:solidFill>
          <a:ln>
            <a:noFill/>
          </a:ln>
          <a:effectLst>
            <a:outerShdw blurRad="254000" sx="102000" sy="102000" algn="ctr" rotWithShape="0">
              <a:prstClr val="black">
                <a:alpha val="20000"/>
              </a:prstClr>
            </a:outerShdw>
          </a:effectLst>
        </c:spPr>
      </c:pivotFmt>
      <c:pivotFmt>
        <c:idx val="251"/>
        <c:spPr>
          <a:solidFill>
            <a:schemeClr val="accent1"/>
          </a:solidFill>
          <a:ln>
            <a:noFill/>
          </a:ln>
          <a:effectLst>
            <a:outerShdw blurRad="254000" sx="102000" sy="102000" algn="ctr" rotWithShape="0">
              <a:prstClr val="black">
                <a:alpha val="20000"/>
              </a:prstClr>
            </a:outerShdw>
          </a:effectLst>
        </c:spPr>
      </c:pivotFmt>
      <c:pivotFmt>
        <c:idx val="252"/>
        <c:spPr>
          <a:solidFill>
            <a:schemeClr val="accent1"/>
          </a:solidFill>
          <a:ln>
            <a:noFill/>
          </a:ln>
          <a:effectLst>
            <a:outerShdw blurRad="254000" sx="102000" sy="102000" algn="ctr" rotWithShape="0">
              <a:prstClr val="black">
                <a:alpha val="20000"/>
              </a:prstClr>
            </a:outerShdw>
          </a:effectLst>
        </c:spPr>
      </c:pivotFmt>
      <c:pivotFmt>
        <c:idx val="253"/>
        <c:spPr>
          <a:solidFill>
            <a:schemeClr val="accent1"/>
          </a:solidFill>
          <a:ln>
            <a:noFill/>
          </a:ln>
          <a:effectLst>
            <a:outerShdw blurRad="254000" sx="102000" sy="102000" algn="ctr" rotWithShape="0">
              <a:prstClr val="black">
                <a:alpha val="20000"/>
              </a:prstClr>
            </a:outerShdw>
          </a:effectLst>
        </c:spPr>
      </c:pivotFmt>
      <c:pivotFmt>
        <c:idx val="254"/>
        <c:spPr>
          <a:solidFill>
            <a:schemeClr val="accent1"/>
          </a:solidFill>
          <a:ln>
            <a:noFill/>
          </a:ln>
          <a:effectLst>
            <a:outerShdw blurRad="254000" sx="102000" sy="102000" algn="ctr" rotWithShape="0">
              <a:prstClr val="black">
                <a:alpha val="20000"/>
              </a:prstClr>
            </a:outerShdw>
          </a:effectLst>
        </c:spPr>
      </c:pivotFmt>
      <c:pivotFmt>
        <c:idx val="255"/>
        <c:spPr>
          <a:solidFill>
            <a:schemeClr val="accent1"/>
          </a:solidFill>
          <a:ln>
            <a:noFill/>
          </a:ln>
          <a:effectLst>
            <a:outerShdw blurRad="254000" sx="102000" sy="102000" algn="ctr" rotWithShape="0">
              <a:prstClr val="black">
                <a:alpha val="20000"/>
              </a:prstClr>
            </a:outerShdw>
          </a:effectLst>
        </c:spPr>
      </c:pivotFmt>
      <c:pivotFmt>
        <c:idx val="25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7"/>
        <c:spPr>
          <a:solidFill>
            <a:schemeClr val="accent1"/>
          </a:solidFill>
          <a:ln>
            <a:noFill/>
          </a:ln>
          <a:effectLst>
            <a:outerShdw blurRad="254000" sx="102000" sy="102000" algn="ctr" rotWithShape="0">
              <a:prstClr val="black">
                <a:alpha val="20000"/>
              </a:prstClr>
            </a:outerShdw>
          </a:effectLst>
        </c:spPr>
      </c:pivotFmt>
      <c:pivotFmt>
        <c:idx val="258"/>
        <c:spPr>
          <a:solidFill>
            <a:schemeClr val="accent1"/>
          </a:solidFill>
          <a:ln>
            <a:noFill/>
          </a:ln>
          <a:effectLst>
            <a:outerShdw blurRad="254000" sx="102000" sy="102000" algn="ctr" rotWithShape="0">
              <a:prstClr val="black">
                <a:alpha val="20000"/>
              </a:prstClr>
            </a:outerShdw>
          </a:effectLst>
        </c:spPr>
      </c:pivotFmt>
      <c:pivotFmt>
        <c:idx val="259"/>
        <c:spPr>
          <a:solidFill>
            <a:schemeClr val="accent1"/>
          </a:solidFill>
          <a:ln>
            <a:noFill/>
          </a:ln>
          <a:effectLst>
            <a:outerShdw blurRad="254000" sx="102000" sy="102000" algn="ctr" rotWithShape="0">
              <a:prstClr val="black">
                <a:alpha val="20000"/>
              </a:prstClr>
            </a:outerShdw>
          </a:effectLst>
        </c:spPr>
      </c:pivotFmt>
      <c:pivotFmt>
        <c:idx val="260"/>
        <c:spPr>
          <a:solidFill>
            <a:schemeClr val="accent1"/>
          </a:solidFill>
          <a:ln>
            <a:noFill/>
          </a:ln>
          <a:effectLst>
            <a:outerShdw blurRad="254000" sx="102000" sy="102000" algn="ctr" rotWithShape="0">
              <a:prstClr val="black">
                <a:alpha val="20000"/>
              </a:prstClr>
            </a:outerShdw>
          </a:effectLst>
        </c:spPr>
      </c:pivotFmt>
      <c:pivotFmt>
        <c:idx val="261"/>
        <c:spPr>
          <a:solidFill>
            <a:schemeClr val="accent1"/>
          </a:solidFill>
          <a:ln>
            <a:noFill/>
          </a:ln>
          <a:effectLst>
            <a:outerShdw blurRad="254000" sx="102000" sy="102000" algn="ctr" rotWithShape="0">
              <a:prstClr val="black">
                <a:alpha val="20000"/>
              </a:prstClr>
            </a:outerShdw>
          </a:effectLst>
        </c:spPr>
      </c:pivotFmt>
      <c:pivotFmt>
        <c:idx val="262"/>
        <c:spPr>
          <a:solidFill>
            <a:schemeClr val="accent1"/>
          </a:solidFill>
          <a:ln>
            <a:noFill/>
          </a:ln>
          <a:effectLst>
            <a:outerShdw blurRad="254000" sx="102000" sy="102000" algn="ctr" rotWithShape="0">
              <a:prstClr val="black">
                <a:alpha val="20000"/>
              </a:prstClr>
            </a:outerShdw>
          </a:effectLst>
        </c:spPr>
      </c:pivotFmt>
      <c:pivotFmt>
        <c:idx val="263"/>
        <c:spPr>
          <a:solidFill>
            <a:schemeClr val="accent1"/>
          </a:solidFill>
          <a:ln>
            <a:noFill/>
          </a:ln>
          <a:effectLst>
            <a:outerShdw blurRad="254000" sx="102000" sy="102000" algn="ctr" rotWithShape="0">
              <a:prstClr val="black">
                <a:alpha val="20000"/>
              </a:prstClr>
            </a:outerShdw>
          </a:effectLst>
        </c:spPr>
      </c:pivotFmt>
      <c:pivotFmt>
        <c:idx val="264"/>
        <c:spPr>
          <a:solidFill>
            <a:schemeClr val="accent1"/>
          </a:solidFill>
          <a:ln>
            <a:noFill/>
          </a:ln>
          <a:effectLst>
            <a:outerShdw blurRad="254000" sx="102000" sy="102000" algn="ctr" rotWithShape="0">
              <a:prstClr val="black">
                <a:alpha val="20000"/>
              </a:prstClr>
            </a:outerShdw>
          </a:effectLst>
        </c:spPr>
      </c:pivotFmt>
      <c:pivotFmt>
        <c:idx val="265"/>
        <c:spPr>
          <a:solidFill>
            <a:schemeClr val="accent1"/>
          </a:solidFill>
          <a:ln>
            <a:noFill/>
          </a:ln>
          <a:effectLst>
            <a:outerShdw blurRad="254000" sx="102000" sy="102000" algn="ctr" rotWithShape="0">
              <a:prstClr val="black">
                <a:alpha val="20000"/>
              </a:prstClr>
            </a:outerShdw>
          </a:effectLst>
        </c:spPr>
      </c:pivotFmt>
      <c:pivotFmt>
        <c:idx val="266"/>
        <c:spPr>
          <a:solidFill>
            <a:schemeClr val="accent1"/>
          </a:solidFill>
          <a:ln>
            <a:noFill/>
          </a:ln>
          <a:effectLst>
            <a:outerShdw blurRad="254000" sx="102000" sy="102000" algn="ctr" rotWithShape="0">
              <a:prstClr val="black">
                <a:alpha val="20000"/>
              </a:prstClr>
            </a:outerShdw>
          </a:effectLst>
        </c:spPr>
      </c:pivotFmt>
      <c:pivotFmt>
        <c:idx val="267"/>
        <c:spPr>
          <a:solidFill>
            <a:schemeClr val="accent1"/>
          </a:solidFill>
          <a:ln>
            <a:noFill/>
          </a:ln>
          <a:effectLst>
            <a:outerShdw blurRad="254000" sx="102000" sy="102000" algn="ctr" rotWithShape="0">
              <a:prstClr val="black">
                <a:alpha val="20000"/>
              </a:prstClr>
            </a:outerShdw>
          </a:effectLst>
        </c:spPr>
      </c:pivotFmt>
      <c:pivotFmt>
        <c:idx val="268"/>
        <c:spPr>
          <a:solidFill>
            <a:schemeClr val="accent1"/>
          </a:solidFill>
          <a:ln>
            <a:noFill/>
          </a:ln>
          <a:effectLst>
            <a:outerShdw blurRad="254000" sx="102000" sy="102000" algn="ctr" rotWithShape="0">
              <a:prstClr val="black">
                <a:alpha val="20000"/>
              </a:prstClr>
            </a:outerShdw>
          </a:effectLst>
        </c:spPr>
      </c:pivotFmt>
      <c:pivotFmt>
        <c:idx val="269"/>
        <c:spPr>
          <a:solidFill>
            <a:schemeClr val="accent1"/>
          </a:solidFill>
          <a:ln>
            <a:noFill/>
          </a:ln>
          <a:effectLst>
            <a:outerShdw blurRad="254000" sx="102000" sy="102000" algn="ctr" rotWithShape="0">
              <a:prstClr val="black">
                <a:alpha val="20000"/>
              </a:prstClr>
            </a:outerShdw>
          </a:effectLst>
        </c:spPr>
      </c:pivotFmt>
      <c:pivotFmt>
        <c:idx val="270"/>
        <c:spPr>
          <a:solidFill>
            <a:schemeClr val="accent1"/>
          </a:solidFill>
          <a:ln>
            <a:noFill/>
          </a:ln>
          <a:effectLst>
            <a:outerShdw blurRad="254000" sx="102000" sy="102000" algn="ctr" rotWithShape="0">
              <a:prstClr val="black">
                <a:alpha val="20000"/>
              </a:prstClr>
            </a:outerShdw>
          </a:effectLst>
        </c:spPr>
      </c:pivotFmt>
      <c:pivotFmt>
        <c:idx val="271"/>
        <c:spPr>
          <a:solidFill>
            <a:schemeClr val="accent1"/>
          </a:solidFill>
          <a:ln>
            <a:noFill/>
          </a:ln>
          <a:effectLst>
            <a:outerShdw blurRad="254000" sx="102000" sy="102000" algn="ctr" rotWithShape="0">
              <a:prstClr val="black">
                <a:alpha val="20000"/>
              </a:prstClr>
            </a:outerShdw>
          </a:effectLst>
        </c:spPr>
      </c:pivotFmt>
      <c:pivotFmt>
        <c:idx val="272"/>
        <c:spPr>
          <a:solidFill>
            <a:schemeClr val="accent1"/>
          </a:solidFill>
          <a:ln>
            <a:noFill/>
          </a:ln>
          <a:effectLst>
            <a:outerShdw blurRad="254000" sx="102000" sy="102000" algn="ctr" rotWithShape="0">
              <a:prstClr val="black">
                <a:alpha val="20000"/>
              </a:prstClr>
            </a:outerShdw>
          </a:effectLst>
        </c:spPr>
      </c:pivotFmt>
      <c:pivotFmt>
        <c:idx val="273"/>
        <c:spPr>
          <a:solidFill>
            <a:schemeClr val="accent1"/>
          </a:solidFill>
          <a:ln>
            <a:noFill/>
          </a:ln>
          <a:effectLst>
            <a:outerShdw blurRad="254000" sx="102000" sy="102000" algn="ctr" rotWithShape="0">
              <a:prstClr val="black">
                <a:alpha val="20000"/>
              </a:prstClr>
            </a:outerShdw>
          </a:effectLst>
        </c:spPr>
      </c:pivotFmt>
      <c:pivotFmt>
        <c:idx val="274"/>
        <c:spPr>
          <a:solidFill>
            <a:schemeClr val="accent1"/>
          </a:solidFill>
          <a:ln>
            <a:noFill/>
          </a:ln>
          <a:effectLst>
            <a:outerShdw blurRad="254000" sx="102000" sy="102000" algn="ctr" rotWithShape="0">
              <a:prstClr val="black">
                <a:alpha val="20000"/>
              </a:prstClr>
            </a:outerShdw>
          </a:effectLst>
        </c:spPr>
      </c:pivotFmt>
      <c:pivotFmt>
        <c:idx val="275"/>
        <c:spPr>
          <a:solidFill>
            <a:schemeClr val="accent1"/>
          </a:solidFill>
          <a:ln>
            <a:noFill/>
          </a:ln>
          <a:effectLst>
            <a:outerShdw blurRad="254000" sx="102000" sy="102000" algn="ctr" rotWithShape="0">
              <a:prstClr val="black">
                <a:alpha val="20000"/>
              </a:prstClr>
            </a:outerShdw>
          </a:effectLst>
        </c:spPr>
      </c:pivotFmt>
      <c:pivotFmt>
        <c:idx val="276"/>
        <c:spPr>
          <a:solidFill>
            <a:schemeClr val="accent1"/>
          </a:solidFill>
          <a:ln>
            <a:noFill/>
          </a:ln>
          <a:effectLst>
            <a:outerShdw blurRad="254000" sx="102000" sy="102000" algn="ctr" rotWithShape="0">
              <a:prstClr val="black">
                <a:alpha val="20000"/>
              </a:prstClr>
            </a:outerShdw>
          </a:effectLst>
        </c:spPr>
      </c:pivotFmt>
      <c:pivotFmt>
        <c:idx val="277"/>
        <c:spPr>
          <a:solidFill>
            <a:schemeClr val="accent1"/>
          </a:solidFill>
          <a:ln>
            <a:noFill/>
          </a:ln>
          <a:effectLst>
            <a:outerShdw blurRad="254000" sx="102000" sy="102000" algn="ctr" rotWithShape="0">
              <a:prstClr val="black">
                <a:alpha val="20000"/>
              </a:prstClr>
            </a:outerShdw>
          </a:effectLst>
        </c:spPr>
      </c:pivotFmt>
      <c:pivotFmt>
        <c:idx val="278"/>
        <c:spPr>
          <a:solidFill>
            <a:schemeClr val="accent1"/>
          </a:solidFill>
          <a:ln>
            <a:noFill/>
          </a:ln>
          <a:effectLst>
            <a:outerShdw blurRad="254000" sx="102000" sy="102000" algn="ctr" rotWithShape="0">
              <a:prstClr val="black">
                <a:alpha val="20000"/>
              </a:prstClr>
            </a:outerShdw>
          </a:effectLst>
        </c:spPr>
      </c:pivotFmt>
      <c:pivotFmt>
        <c:idx val="279"/>
        <c:spPr>
          <a:solidFill>
            <a:schemeClr val="accent1"/>
          </a:solidFill>
          <a:ln>
            <a:noFill/>
          </a:ln>
          <a:effectLst>
            <a:outerShdw blurRad="254000" sx="102000" sy="102000" algn="ctr" rotWithShape="0">
              <a:prstClr val="black">
                <a:alpha val="20000"/>
              </a:prstClr>
            </a:outerShdw>
          </a:effectLst>
        </c:spPr>
      </c:pivotFmt>
      <c:pivotFmt>
        <c:idx val="280"/>
        <c:spPr>
          <a:solidFill>
            <a:schemeClr val="accent1"/>
          </a:solidFill>
          <a:ln>
            <a:noFill/>
          </a:ln>
          <a:effectLst>
            <a:outerShdw blurRad="254000" sx="102000" sy="102000" algn="ctr" rotWithShape="0">
              <a:prstClr val="black">
                <a:alpha val="20000"/>
              </a:prstClr>
            </a:outerShdw>
          </a:effectLst>
        </c:spPr>
      </c:pivotFmt>
      <c:pivotFmt>
        <c:idx val="281"/>
        <c:spPr>
          <a:solidFill>
            <a:schemeClr val="accent1"/>
          </a:solidFill>
          <a:ln>
            <a:noFill/>
          </a:ln>
          <a:effectLst>
            <a:outerShdw blurRad="254000" sx="102000" sy="102000" algn="ctr" rotWithShape="0">
              <a:prstClr val="black">
                <a:alpha val="20000"/>
              </a:prstClr>
            </a:outerShdw>
          </a:effectLst>
        </c:spPr>
      </c:pivotFmt>
      <c:pivotFmt>
        <c:idx val="282"/>
        <c:spPr>
          <a:solidFill>
            <a:schemeClr val="accent1"/>
          </a:solidFill>
          <a:ln>
            <a:noFill/>
          </a:ln>
          <a:effectLst>
            <a:outerShdw blurRad="254000" sx="102000" sy="102000" algn="ctr" rotWithShape="0">
              <a:prstClr val="black">
                <a:alpha val="20000"/>
              </a:prstClr>
            </a:outerShdw>
          </a:effectLst>
        </c:spPr>
      </c:pivotFmt>
      <c:pivotFmt>
        <c:idx val="283"/>
        <c:spPr>
          <a:solidFill>
            <a:schemeClr val="accent1"/>
          </a:solidFill>
          <a:ln>
            <a:noFill/>
          </a:ln>
          <a:effectLst>
            <a:outerShdw blurRad="254000" sx="102000" sy="102000" algn="ctr" rotWithShape="0">
              <a:prstClr val="black">
                <a:alpha val="20000"/>
              </a:prstClr>
            </a:outerShdw>
          </a:effectLst>
        </c:spPr>
      </c:pivotFmt>
      <c:pivotFmt>
        <c:idx val="284"/>
        <c:spPr>
          <a:solidFill>
            <a:schemeClr val="accent1"/>
          </a:solidFill>
          <a:ln>
            <a:noFill/>
          </a:ln>
          <a:effectLst>
            <a:outerShdw blurRad="254000" sx="102000" sy="102000" algn="ctr" rotWithShape="0">
              <a:prstClr val="black">
                <a:alpha val="20000"/>
              </a:prstClr>
            </a:outerShdw>
          </a:effectLst>
        </c:spPr>
      </c:pivotFmt>
      <c:pivotFmt>
        <c:idx val="285"/>
        <c:spPr>
          <a:solidFill>
            <a:schemeClr val="accent1"/>
          </a:solidFill>
          <a:ln>
            <a:noFill/>
          </a:ln>
          <a:effectLst>
            <a:outerShdw blurRad="254000" sx="102000" sy="102000" algn="ctr" rotWithShape="0">
              <a:prstClr val="black">
                <a:alpha val="20000"/>
              </a:prstClr>
            </a:outerShdw>
          </a:effectLst>
        </c:spPr>
      </c:pivotFmt>
      <c:pivotFmt>
        <c:idx val="286"/>
        <c:spPr>
          <a:solidFill>
            <a:schemeClr val="accent1"/>
          </a:solidFill>
          <a:ln>
            <a:noFill/>
          </a:ln>
          <a:effectLst>
            <a:outerShdw blurRad="254000" sx="102000" sy="102000" algn="ctr" rotWithShape="0">
              <a:prstClr val="black">
                <a:alpha val="20000"/>
              </a:prstClr>
            </a:outerShdw>
          </a:effectLst>
        </c:spPr>
      </c:pivotFmt>
      <c:pivotFmt>
        <c:idx val="287"/>
        <c:spPr>
          <a:solidFill>
            <a:schemeClr val="accent1"/>
          </a:solidFill>
          <a:ln>
            <a:noFill/>
          </a:ln>
          <a:effectLst>
            <a:outerShdw blurRad="254000" sx="102000" sy="102000" algn="ctr" rotWithShape="0">
              <a:prstClr val="black">
                <a:alpha val="20000"/>
              </a:prstClr>
            </a:outerShdw>
          </a:effectLst>
        </c:spPr>
      </c:pivotFmt>
      <c:pivotFmt>
        <c:idx val="288"/>
        <c:spPr>
          <a:solidFill>
            <a:schemeClr val="accent1"/>
          </a:solidFill>
          <a:ln>
            <a:noFill/>
          </a:ln>
          <a:effectLst>
            <a:outerShdw blurRad="254000" sx="102000" sy="102000" algn="ctr" rotWithShape="0">
              <a:prstClr val="black">
                <a:alpha val="20000"/>
              </a:prstClr>
            </a:outerShdw>
          </a:effectLst>
        </c:spPr>
      </c:pivotFmt>
      <c:pivotFmt>
        <c:idx val="289"/>
        <c:spPr>
          <a:solidFill>
            <a:schemeClr val="accent1"/>
          </a:solidFill>
          <a:ln>
            <a:noFill/>
          </a:ln>
          <a:effectLst>
            <a:outerShdw blurRad="254000" sx="102000" sy="102000" algn="ctr" rotWithShape="0">
              <a:prstClr val="black">
                <a:alpha val="20000"/>
              </a:prstClr>
            </a:outerShdw>
          </a:effectLst>
        </c:spPr>
      </c:pivotFmt>
      <c:pivotFmt>
        <c:idx val="290"/>
        <c:spPr>
          <a:solidFill>
            <a:schemeClr val="accent1"/>
          </a:solidFill>
          <a:ln>
            <a:noFill/>
          </a:ln>
          <a:effectLst>
            <a:outerShdw blurRad="254000" sx="102000" sy="102000" algn="ctr" rotWithShape="0">
              <a:prstClr val="black">
                <a:alpha val="20000"/>
              </a:prstClr>
            </a:outerShdw>
          </a:effectLst>
        </c:spPr>
      </c:pivotFmt>
      <c:pivotFmt>
        <c:idx val="291"/>
        <c:spPr>
          <a:solidFill>
            <a:schemeClr val="accent1"/>
          </a:solidFill>
          <a:ln>
            <a:noFill/>
          </a:ln>
          <a:effectLst>
            <a:outerShdw blurRad="254000" sx="102000" sy="102000" algn="ctr" rotWithShape="0">
              <a:prstClr val="black">
                <a:alpha val="20000"/>
              </a:prstClr>
            </a:outerShdw>
          </a:effectLst>
        </c:spPr>
      </c:pivotFmt>
      <c:pivotFmt>
        <c:idx val="292"/>
        <c:spPr>
          <a:solidFill>
            <a:schemeClr val="accent1"/>
          </a:solidFill>
          <a:ln>
            <a:noFill/>
          </a:ln>
          <a:effectLst>
            <a:outerShdw blurRad="254000" sx="102000" sy="102000" algn="ctr" rotWithShape="0">
              <a:prstClr val="black">
                <a:alpha val="20000"/>
              </a:prstClr>
            </a:outerShdw>
          </a:effectLst>
        </c:spPr>
      </c:pivotFmt>
      <c:pivotFmt>
        <c:idx val="293"/>
        <c:spPr>
          <a:solidFill>
            <a:schemeClr val="accent1"/>
          </a:solidFill>
          <a:ln>
            <a:noFill/>
          </a:ln>
          <a:effectLst>
            <a:outerShdw blurRad="254000" sx="102000" sy="102000" algn="ctr" rotWithShape="0">
              <a:prstClr val="black">
                <a:alpha val="20000"/>
              </a:prstClr>
            </a:outerShdw>
          </a:effectLst>
        </c:spPr>
      </c:pivotFmt>
      <c:pivotFmt>
        <c:idx val="294"/>
        <c:spPr>
          <a:solidFill>
            <a:schemeClr val="accent1"/>
          </a:solidFill>
          <a:ln>
            <a:noFill/>
          </a:ln>
          <a:effectLst>
            <a:outerShdw blurRad="254000" sx="102000" sy="102000" algn="ctr" rotWithShape="0">
              <a:prstClr val="black">
                <a:alpha val="20000"/>
              </a:prstClr>
            </a:outerShdw>
          </a:effectLst>
        </c:spPr>
      </c:pivotFmt>
      <c:pivotFmt>
        <c:idx val="295"/>
        <c:spPr>
          <a:solidFill>
            <a:schemeClr val="accent1"/>
          </a:solidFill>
          <a:ln>
            <a:noFill/>
          </a:ln>
          <a:effectLst>
            <a:outerShdw blurRad="254000" sx="102000" sy="102000" algn="ctr" rotWithShape="0">
              <a:prstClr val="black">
                <a:alpha val="20000"/>
              </a:prstClr>
            </a:outerShdw>
          </a:effectLst>
        </c:spPr>
      </c:pivotFmt>
      <c:pivotFmt>
        <c:idx val="296"/>
        <c:spPr>
          <a:solidFill>
            <a:schemeClr val="accent1"/>
          </a:solidFill>
          <a:ln>
            <a:noFill/>
          </a:ln>
          <a:effectLst>
            <a:outerShdw blurRad="254000" sx="102000" sy="102000" algn="ctr" rotWithShape="0">
              <a:prstClr val="black">
                <a:alpha val="20000"/>
              </a:prstClr>
            </a:outerShdw>
          </a:effectLst>
        </c:spPr>
      </c:pivotFmt>
      <c:pivotFmt>
        <c:idx val="297"/>
        <c:spPr>
          <a:solidFill>
            <a:schemeClr val="accent1"/>
          </a:solidFill>
          <a:ln>
            <a:noFill/>
          </a:ln>
          <a:effectLst>
            <a:outerShdw blurRad="254000" sx="102000" sy="102000" algn="ctr" rotWithShape="0">
              <a:prstClr val="black">
                <a:alpha val="20000"/>
              </a:prstClr>
            </a:outerShdw>
          </a:effectLst>
        </c:spPr>
      </c:pivotFmt>
      <c:pivotFmt>
        <c:idx val="298"/>
        <c:spPr>
          <a:solidFill>
            <a:schemeClr val="accent1"/>
          </a:solidFill>
          <a:ln>
            <a:noFill/>
          </a:ln>
          <a:effectLst>
            <a:outerShdw blurRad="254000" sx="102000" sy="102000" algn="ctr" rotWithShape="0">
              <a:prstClr val="black">
                <a:alpha val="20000"/>
              </a:prstClr>
            </a:outerShdw>
          </a:effectLst>
        </c:spPr>
      </c:pivotFmt>
      <c:pivotFmt>
        <c:idx val="299"/>
        <c:spPr>
          <a:solidFill>
            <a:schemeClr val="accent1"/>
          </a:solidFill>
          <a:ln>
            <a:noFill/>
          </a:ln>
          <a:effectLst>
            <a:outerShdw blurRad="254000" sx="102000" sy="102000" algn="ctr" rotWithShape="0">
              <a:prstClr val="black">
                <a:alpha val="20000"/>
              </a:prstClr>
            </a:outerShdw>
          </a:effectLst>
        </c:spPr>
      </c:pivotFmt>
      <c:pivotFmt>
        <c:idx val="300"/>
        <c:spPr>
          <a:solidFill>
            <a:schemeClr val="accent1"/>
          </a:solidFill>
          <a:ln>
            <a:noFill/>
          </a:ln>
          <a:effectLst>
            <a:outerShdw blurRad="254000" sx="102000" sy="102000" algn="ctr" rotWithShape="0">
              <a:prstClr val="black">
                <a:alpha val="20000"/>
              </a:prstClr>
            </a:outerShdw>
          </a:effectLst>
        </c:spPr>
      </c:pivotFmt>
      <c:pivotFmt>
        <c:idx val="301"/>
        <c:spPr>
          <a:solidFill>
            <a:schemeClr val="accent1"/>
          </a:solidFill>
          <a:ln>
            <a:noFill/>
          </a:ln>
          <a:effectLst>
            <a:outerShdw blurRad="254000" sx="102000" sy="102000" algn="ctr" rotWithShape="0">
              <a:prstClr val="black">
                <a:alpha val="20000"/>
              </a:prstClr>
            </a:outerShdw>
          </a:effectLst>
        </c:spPr>
      </c:pivotFmt>
      <c:pivotFmt>
        <c:idx val="302"/>
        <c:spPr>
          <a:solidFill>
            <a:schemeClr val="accent1"/>
          </a:solidFill>
          <a:ln>
            <a:noFill/>
          </a:ln>
          <a:effectLst>
            <a:outerShdw blurRad="254000" sx="102000" sy="102000" algn="ctr" rotWithShape="0">
              <a:prstClr val="black">
                <a:alpha val="20000"/>
              </a:prstClr>
            </a:outerShdw>
          </a:effectLst>
        </c:spPr>
      </c:pivotFmt>
      <c:pivotFmt>
        <c:idx val="303"/>
        <c:spPr>
          <a:solidFill>
            <a:schemeClr val="accent1"/>
          </a:solidFill>
          <a:ln>
            <a:noFill/>
          </a:ln>
          <a:effectLst>
            <a:outerShdw blurRad="254000" sx="102000" sy="102000" algn="ctr" rotWithShape="0">
              <a:prstClr val="black">
                <a:alpha val="20000"/>
              </a:prstClr>
            </a:outerShdw>
          </a:effectLst>
        </c:spPr>
      </c:pivotFmt>
      <c:pivotFmt>
        <c:idx val="304"/>
        <c:spPr>
          <a:solidFill>
            <a:schemeClr val="accent1"/>
          </a:solidFill>
          <a:ln>
            <a:noFill/>
          </a:ln>
          <a:effectLst>
            <a:outerShdw blurRad="254000" sx="102000" sy="102000" algn="ctr" rotWithShape="0">
              <a:prstClr val="black">
                <a:alpha val="20000"/>
              </a:prstClr>
            </a:outerShdw>
          </a:effectLst>
        </c:spPr>
      </c:pivotFmt>
      <c:pivotFmt>
        <c:idx val="305"/>
        <c:spPr>
          <a:solidFill>
            <a:schemeClr val="accent1"/>
          </a:solidFill>
          <a:ln>
            <a:noFill/>
          </a:ln>
          <a:effectLst>
            <a:outerShdw blurRad="254000" sx="102000" sy="102000" algn="ctr" rotWithShape="0">
              <a:prstClr val="black">
                <a:alpha val="20000"/>
              </a:prstClr>
            </a:outerShdw>
          </a:effectLst>
        </c:spPr>
      </c:pivotFmt>
      <c:pivotFmt>
        <c:idx val="306"/>
        <c:spPr>
          <a:solidFill>
            <a:schemeClr val="accent1"/>
          </a:solidFill>
          <a:ln>
            <a:noFill/>
          </a:ln>
          <a:effectLst>
            <a:outerShdw blurRad="254000" sx="102000" sy="102000" algn="ctr" rotWithShape="0">
              <a:prstClr val="black">
                <a:alpha val="20000"/>
              </a:prstClr>
            </a:outerShdw>
          </a:effectLst>
        </c:spPr>
      </c:pivotFmt>
      <c:pivotFmt>
        <c:idx val="307"/>
        <c:spPr>
          <a:solidFill>
            <a:schemeClr val="accent1"/>
          </a:solidFill>
          <a:ln>
            <a:noFill/>
          </a:ln>
          <a:effectLst>
            <a:outerShdw blurRad="254000" sx="102000" sy="102000" algn="ctr" rotWithShape="0">
              <a:prstClr val="black">
                <a:alpha val="20000"/>
              </a:prstClr>
            </a:outerShdw>
          </a:effectLst>
        </c:spPr>
      </c:pivotFmt>
      <c:pivotFmt>
        <c:idx val="308"/>
        <c:spPr>
          <a:solidFill>
            <a:schemeClr val="accent1"/>
          </a:solidFill>
          <a:ln>
            <a:noFill/>
          </a:ln>
          <a:effectLst>
            <a:outerShdw blurRad="254000" sx="102000" sy="102000" algn="ctr" rotWithShape="0">
              <a:prstClr val="black">
                <a:alpha val="20000"/>
              </a:prstClr>
            </a:outerShdw>
          </a:effectLst>
        </c:spPr>
      </c:pivotFmt>
      <c:pivotFmt>
        <c:idx val="309"/>
        <c:spPr>
          <a:solidFill>
            <a:schemeClr val="accent1"/>
          </a:solidFill>
          <a:ln>
            <a:noFill/>
          </a:ln>
          <a:effectLst>
            <a:outerShdw blurRad="254000" sx="102000" sy="102000" algn="ctr" rotWithShape="0">
              <a:prstClr val="black">
                <a:alpha val="20000"/>
              </a:prstClr>
            </a:outerShdw>
          </a:effectLst>
        </c:spPr>
      </c:pivotFmt>
      <c:pivotFmt>
        <c:idx val="310"/>
        <c:spPr>
          <a:solidFill>
            <a:schemeClr val="accent1"/>
          </a:solidFill>
          <a:ln>
            <a:noFill/>
          </a:ln>
          <a:effectLst>
            <a:outerShdw blurRad="254000" sx="102000" sy="102000" algn="ctr" rotWithShape="0">
              <a:prstClr val="black">
                <a:alpha val="20000"/>
              </a:prstClr>
            </a:outerShdw>
          </a:effectLst>
        </c:spPr>
      </c:pivotFmt>
      <c:pivotFmt>
        <c:idx val="311"/>
        <c:spPr>
          <a:solidFill>
            <a:schemeClr val="accent1"/>
          </a:solidFill>
          <a:ln>
            <a:noFill/>
          </a:ln>
          <a:effectLst>
            <a:outerShdw blurRad="254000" sx="102000" sy="102000" algn="ctr" rotWithShape="0">
              <a:prstClr val="black">
                <a:alpha val="20000"/>
              </a:prstClr>
            </a:outerShdw>
          </a:effectLst>
        </c:spPr>
      </c:pivotFmt>
      <c:pivotFmt>
        <c:idx val="312"/>
        <c:spPr>
          <a:solidFill>
            <a:schemeClr val="accent1"/>
          </a:solidFill>
          <a:ln>
            <a:noFill/>
          </a:ln>
          <a:effectLst>
            <a:outerShdw blurRad="254000" sx="102000" sy="102000" algn="ctr" rotWithShape="0">
              <a:prstClr val="black">
                <a:alpha val="20000"/>
              </a:prstClr>
            </a:outerShdw>
          </a:effectLst>
        </c:spPr>
      </c:pivotFmt>
      <c:pivotFmt>
        <c:idx val="313"/>
        <c:spPr>
          <a:solidFill>
            <a:schemeClr val="accent1"/>
          </a:solidFill>
          <a:ln>
            <a:noFill/>
          </a:ln>
          <a:effectLst>
            <a:outerShdw blurRad="254000" sx="102000" sy="102000" algn="ctr" rotWithShape="0">
              <a:prstClr val="black">
                <a:alpha val="20000"/>
              </a:prstClr>
            </a:outerShdw>
          </a:effectLst>
        </c:spPr>
      </c:pivotFmt>
      <c:pivotFmt>
        <c:idx val="314"/>
        <c:spPr>
          <a:solidFill>
            <a:schemeClr val="accent1"/>
          </a:solidFill>
          <a:ln>
            <a:noFill/>
          </a:ln>
          <a:effectLst>
            <a:outerShdw blurRad="254000" sx="102000" sy="102000" algn="ctr" rotWithShape="0">
              <a:prstClr val="black">
                <a:alpha val="20000"/>
              </a:prstClr>
            </a:outerShdw>
          </a:effectLst>
        </c:spPr>
      </c:pivotFmt>
      <c:pivotFmt>
        <c:idx val="315"/>
        <c:spPr>
          <a:solidFill>
            <a:schemeClr val="accent1"/>
          </a:solidFill>
          <a:ln>
            <a:noFill/>
          </a:ln>
          <a:effectLst>
            <a:outerShdw blurRad="254000" sx="102000" sy="102000" algn="ctr" rotWithShape="0">
              <a:prstClr val="black">
                <a:alpha val="20000"/>
              </a:prstClr>
            </a:outerShdw>
          </a:effectLst>
        </c:spPr>
      </c:pivotFmt>
      <c:pivotFmt>
        <c:idx val="316"/>
        <c:spPr>
          <a:solidFill>
            <a:schemeClr val="accent1"/>
          </a:solidFill>
          <a:ln>
            <a:noFill/>
          </a:ln>
          <a:effectLst>
            <a:outerShdw blurRad="254000" sx="102000" sy="102000" algn="ctr" rotWithShape="0">
              <a:prstClr val="black">
                <a:alpha val="20000"/>
              </a:prstClr>
            </a:outerShdw>
          </a:effectLst>
        </c:spPr>
      </c:pivotFmt>
      <c:pivotFmt>
        <c:idx val="317"/>
        <c:spPr>
          <a:solidFill>
            <a:schemeClr val="accent1"/>
          </a:solidFill>
          <a:ln>
            <a:noFill/>
          </a:ln>
          <a:effectLst>
            <a:outerShdw blurRad="254000" sx="102000" sy="102000" algn="ctr" rotWithShape="0">
              <a:prstClr val="black">
                <a:alpha val="20000"/>
              </a:prstClr>
            </a:outerShdw>
          </a:effectLst>
        </c:spPr>
      </c:pivotFmt>
      <c:pivotFmt>
        <c:idx val="318"/>
        <c:spPr>
          <a:solidFill>
            <a:schemeClr val="accent1"/>
          </a:solidFill>
          <a:ln>
            <a:noFill/>
          </a:ln>
          <a:effectLst>
            <a:outerShdw blurRad="254000" sx="102000" sy="102000" algn="ctr" rotWithShape="0">
              <a:prstClr val="black">
                <a:alpha val="20000"/>
              </a:prstClr>
            </a:outerShdw>
          </a:effectLst>
        </c:spPr>
      </c:pivotFmt>
      <c:pivotFmt>
        <c:idx val="319"/>
        <c:spPr>
          <a:solidFill>
            <a:schemeClr val="accent1"/>
          </a:solidFill>
          <a:ln>
            <a:noFill/>
          </a:ln>
          <a:effectLst>
            <a:outerShdw blurRad="254000" sx="102000" sy="102000" algn="ctr" rotWithShape="0">
              <a:prstClr val="black">
                <a:alpha val="20000"/>
              </a:prstClr>
            </a:outerShdw>
          </a:effectLst>
        </c:spPr>
      </c:pivotFmt>
      <c:pivotFmt>
        <c:idx val="320"/>
        <c:spPr>
          <a:solidFill>
            <a:schemeClr val="accent1"/>
          </a:solidFill>
          <a:ln>
            <a:noFill/>
          </a:ln>
          <a:effectLst>
            <a:outerShdw blurRad="254000" sx="102000" sy="102000" algn="ctr" rotWithShape="0">
              <a:prstClr val="black">
                <a:alpha val="20000"/>
              </a:prstClr>
            </a:outerShdw>
          </a:effectLst>
        </c:spPr>
      </c:pivotFmt>
      <c:pivotFmt>
        <c:idx val="321"/>
        <c:spPr>
          <a:solidFill>
            <a:schemeClr val="accent1"/>
          </a:solidFill>
          <a:ln>
            <a:noFill/>
          </a:ln>
          <a:effectLst>
            <a:outerShdw blurRad="254000" sx="102000" sy="102000" algn="ctr" rotWithShape="0">
              <a:prstClr val="black">
                <a:alpha val="20000"/>
              </a:prstClr>
            </a:outerShdw>
          </a:effectLst>
        </c:spPr>
      </c:pivotFmt>
      <c:pivotFmt>
        <c:idx val="322"/>
        <c:spPr>
          <a:solidFill>
            <a:schemeClr val="accent1"/>
          </a:solidFill>
          <a:ln>
            <a:noFill/>
          </a:ln>
          <a:effectLst>
            <a:outerShdw blurRad="254000" sx="102000" sy="102000" algn="ctr" rotWithShape="0">
              <a:prstClr val="black">
                <a:alpha val="20000"/>
              </a:prstClr>
            </a:outerShdw>
          </a:effectLst>
        </c:spPr>
      </c:pivotFmt>
      <c:pivotFmt>
        <c:idx val="323"/>
        <c:spPr>
          <a:solidFill>
            <a:schemeClr val="accent1"/>
          </a:solidFill>
          <a:ln>
            <a:noFill/>
          </a:ln>
          <a:effectLst>
            <a:outerShdw blurRad="254000" sx="102000" sy="102000" algn="ctr" rotWithShape="0">
              <a:prstClr val="black">
                <a:alpha val="20000"/>
              </a:prstClr>
            </a:outerShdw>
          </a:effectLst>
        </c:spPr>
      </c:pivotFmt>
      <c:pivotFmt>
        <c:idx val="324"/>
        <c:spPr>
          <a:solidFill>
            <a:schemeClr val="accent1"/>
          </a:solidFill>
          <a:ln>
            <a:noFill/>
          </a:ln>
          <a:effectLst>
            <a:outerShdw blurRad="254000" sx="102000" sy="102000" algn="ctr" rotWithShape="0">
              <a:prstClr val="black">
                <a:alpha val="20000"/>
              </a:prstClr>
            </a:outerShdw>
          </a:effectLst>
        </c:spPr>
      </c:pivotFmt>
      <c:pivotFmt>
        <c:idx val="325"/>
        <c:spPr>
          <a:solidFill>
            <a:schemeClr val="accent1"/>
          </a:solidFill>
          <a:ln>
            <a:noFill/>
          </a:ln>
          <a:effectLst>
            <a:outerShdw blurRad="254000" sx="102000" sy="102000" algn="ctr" rotWithShape="0">
              <a:prstClr val="black">
                <a:alpha val="20000"/>
              </a:prstClr>
            </a:outerShdw>
          </a:effectLst>
        </c:spPr>
      </c:pivotFmt>
      <c:pivotFmt>
        <c:idx val="326"/>
        <c:spPr>
          <a:solidFill>
            <a:schemeClr val="accent1"/>
          </a:solidFill>
          <a:ln>
            <a:noFill/>
          </a:ln>
          <a:effectLst>
            <a:outerShdw blurRad="254000" sx="102000" sy="102000" algn="ctr" rotWithShape="0">
              <a:prstClr val="black">
                <a:alpha val="20000"/>
              </a:prstClr>
            </a:outerShdw>
          </a:effectLst>
        </c:spPr>
      </c:pivotFmt>
      <c:pivotFmt>
        <c:idx val="327"/>
        <c:spPr>
          <a:solidFill>
            <a:schemeClr val="accent1"/>
          </a:solidFill>
          <a:ln>
            <a:noFill/>
          </a:ln>
          <a:effectLst>
            <a:outerShdw blurRad="254000" sx="102000" sy="102000" algn="ctr" rotWithShape="0">
              <a:prstClr val="black">
                <a:alpha val="20000"/>
              </a:prstClr>
            </a:outerShdw>
          </a:effectLst>
        </c:spPr>
      </c:pivotFmt>
      <c:pivotFmt>
        <c:idx val="328"/>
        <c:spPr>
          <a:solidFill>
            <a:schemeClr val="accent1"/>
          </a:solidFill>
          <a:ln>
            <a:noFill/>
          </a:ln>
          <a:effectLst>
            <a:outerShdw blurRad="254000" sx="102000" sy="102000" algn="ctr" rotWithShape="0">
              <a:prstClr val="black">
                <a:alpha val="20000"/>
              </a:prstClr>
            </a:outerShdw>
          </a:effectLst>
        </c:spPr>
      </c:pivotFmt>
      <c:pivotFmt>
        <c:idx val="329"/>
        <c:spPr>
          <a:solidFill>
            <a:schemeClr val="accent1"/>
          </a:solidFill>
          <a:ln>
            <a:noFill/>
          </a:ln>
          <a:effectLst>
            <a:outerShdw blurRad="254000" sx="102000" sy="102000" algn="ctr" rotWithShape="0">
              <a:prstClr val="black">
                <a:alpha val="20000"/>
              </a:prstClr>
            </a:outerShdw>
          </a:effectLst>
        </c:spPr>
      </c:pivotFmt>
      <c:pivotFmt>
        <c:idx val="330"/>
        <c:spPr>
          <a:solidFill>
            <a:schemeClr val="accent1"/>
          </a:solidFill>
          <a:ln>
            <a:noFill/>
          </a:ln>
          <a:effectLst>
            <a:outerShdw blurRad="254000" sx="102000" sy="102000" algn="ctr" rotWithShape="0">
              <a:prstClr val="black">
                <a:alpha val="20000"/>
              </a:prstClr>
            </a:outerShdw>
          </a:effectLst>
        </c:spPr>
      </c:pivotFmt>
      <c:pivotFmt>
        <c:idx val="331"/>
        <c:spPr>
          <a:solidFill>
            <a:schemeClr val="accent1"/>
          </a:solidFill>
          <a:ln>
            <a:noFill/>
          </a:ln>
          <a:effectLst>
            <a:outerShdw blurRad="254000" sx="102000" sy="102000" algn="ctr" rotWithShape="0">
              <a:prstClr val="black">
                <a:alpha val="20000"/>
              </a:prstClr>
            </a:outerShdw>
          </a:effectLst>
        </c:spPr>
      </c:pivotFmt>
      <c:pivotFmt>
        <c:idx val="332"/>
        <c:spPr>
          <a:solidFill>
            <a:schemeClr val="accent1"/>
          </a:solidFill>
          <a:ln>
            <a:noFill/>
          </a:ln>
          <a:effectLst>
            <a:outerShdw blurRad="254000" sx="102000" sy="102000" algn="ctr" rotWithShape="0">
              <a:prstClr val="black">
                <a:alpha val="20000"/>
              </a:prstClr>
            </a:outerShdw>
          </a:effectLst>
        </c:spPr>
      </c:pivotFmt>
      <c:pivotFmt>
        <c:idx val="333"/>
        <c:spPr>
          <a:solidFill>
            <a:schemeClr val="accent1"/>
          </a:solidFill>
          <a:ln>
            <a:noFill/>
          </a:ln>
          <a:effectLst>
            <a:outerShdw blurRad="254000" sx="102000" sy="102000" algn="ctr" rotWithShape="0">
              <a:prstClr val="black">
                <a:alpha val="20000"/>
              </a:prstClr>
            </a:outerShdw>
          </a:effectLst>
        </c:spPr>
      </c:pivotFmt>
      <c:pivotFmt>
        <c:idx val="334"/>
        <c:spPr>
          <a:solidFill>
            <a:schemeClr val="accent1"/>
          </a:solidFill>
          <a:ln>
            <a:noFill/>
          </a:ln>
          <a:effectLst>
            <a:outerShdw blurRad="254000" sx="102000" sy="102000" algn="ctr" rotWithShape="0">
              <a:prstClr val="black">
                <a:alpha val="20000"/>
              </a:prstClr>
            </a:outerShdw>
          </a:effectLst>
        </c:spPr>
      </c:pivotFmt>
      <c:pivotFmt>
        <c:idx val="335"/>
        <c:spPr>
          <a:solidFill>
            <a:schemeClr val="accent1"/>
          </a:solidFill>
          <a:ln>
            <a:noFill/>
          </a:ln>
          <a:effectLst>
            <a:outerShdw blurRad="254000" sx="102000" sy="102000" algn="ctr" rotWithShape="0">
              <a:prstClr val="black">
                <a:alpha val="20000"/>
              </a:prstClr>
            </a:outerShdw>
          </a:effectLst>
        </c:spPr>
      </c:pivotFmt>
      <c:pivotFmt>
        <c:idx val="336"/>
        <c:spPr>
          <a:solidFill>
            <a:schemeClr val="accent1"/>
          </a:solidFill>
          <a:ln>
            <a:noFill/>
          </a:ln>
          <a:effectLst>
            <a:outerShdw blurRad="254000" sx="102000" sy="102000" algn="ctr" rotWithShape="0">
              <a:prstClr val="black">
                <a:alpha val="20000"/>
              </a:prstClr>
            </a:outerShdw>
          </a:effectLst>
        </c:spPr>
      </c:pivotFmt>
      <c:pivotFmt>
        <c:idx val="337"/>
        <c:spPr>
          <a:solidFill>
            <a:schemeClr val="accent1"/>
          </a:solidFill>
          <a:ln>
            <a:noFill/>
          </a:ln>
          <a:effectLst>
            <a:outerShdw blurRad="254000" sx="102000" sy="102000" algn="ctr" rotWithShape="0">
              <a:prstClr val="black">
                <a:alpha val="20000"/>
              </a:prstClr>
            </a:outerShdw>
          </a:effectLst>
        </c:spPr>
      </c:pivotFmt>
      <c:pivotFmt>
        <c:idx val="338"/>
        <c:spPr>
          <a:solidFill>
            <a:schemeClr val="accent1"/>
          </a:solidFill>
          <a:ln>
            <a:noFill/>
          </a:ln>
          <a:effectLst>
            <a:outerShdw blurRad="254000" sx="102000" sy="102000" algn="ctr" rotWithShape="0">
              <a:prstClr val="black">
                <a:alpha val="20000"/>
              </a:prstClr>
            </a:outerShdw>
          </a:effectLst>
        </c:spPr>
      </c:pivotFmt>
      <c:pivotFmt>
        <c:idx val="339"/>
        <c:spPr>
          <a:solidFill>
            <a:schemeClr val="accent1"/>
          </a:solidFill>
          <a:ln>
            <a:noFill/>
          </a:ln>
          <a:effectLst>
            <a:outerShdw blurRad="254000" sx="102000" sy="102000" algn="ctr" rotWithShape="0">
              <a:prstClr val="black">
                <a:alpha val="20000"/>
              </a:prstClr>
            </a:outerShdw>
          </a:effectLst>
        </c:spPr>
      </c:pivotFmt>
      <c:pivotFmt>
        <c:idx val="340"/>
        <c:spPr>
          <a:solidFill>
            <a:schemeClr val="accent1"/>
          </a:solidFill>
          <a:ln>
            <a:noFill/>
          </a:ln>
          <a:effectLst>
            <a:outerShdw blurRad="254000" sx="102000" sy="102000" algn="ctr" rotWithShape="0">
              <a:prstClr val="black">
                <a:alpha val="20000"/>
              </a:prstClr>
            </a:outerShdw>
          </a:effectLst>
        </c:spPr>
      </c:pivotFmt>
      <c:pivotFmt>
        <c:idx val="341"/>
        <c:spPr>
          <a:solidFill>
            <a:schemeClr val="accent1"/>
          </a:solidFill>
          <a:ln>
            <a:noFill/>
          </a:ln>
          <a:effectLst>
            <a:outerShdw blurRad="254000" sx="102000" sy="102000" algn="ctr" rotWithShape="0">
              <a:prstClr val="black">
                <a:alpha val="20000"/>
              </a:prstClr>
            </a:outerShdw>
          </a:effectLst>
        </c:spPr>
      </c:pivotFmt>
      <c:pivotFmt>
        <c:idx val="342"/>
        <c:spPr>
          <a:solidFill>
            <a:schemeClr val="accent1"/>
          </a:solidFill>
          <a:ln>
            <a:noFill/>
          </a:ln>
          <a:effectLst>
            <a:outerShdw blurRad="254000" sx="102000" sy="102000" algn="ctr" rotWithShape="0">
              <a:prstClr val="black">
                <a:alpha val="20000"/>
              </a:prstClr>
            </a:outerShdw>
          </a:effectLst>
        </c:spPr>
      </c:pivotFmt>
      <c:pivotFmt>
        <c:idx val="343"/>
        <c:spPr>
          <a:solidFill>
            <a:schemeClr val="accent1"/>
          </a:solidFill>
          <a:ln>
            <a:noFill/>
          </a:ln>
          <a:effectLst>
            <a:outerShdw blurRad="254000" sx="102000" sy="102000" algn="ctr" rotWithShape="0">
              <a:prstClr val="black">
                <a:alpha val="20000"/>
              </a:prstClr>
            </a:outerShdw>
          </a:effectLst>
        </c:spPr>
      </c:pivotFmt>
      <c:pivotFmt>
        <c:idx val="344"/>
        <c:spPr>
          <a:solidFill>
            <a:schemeClr val="accent1"/>
          </a:solidFill>
          <a:ln>
            <a:noFill/>
          </a:ln>
          <a:effectLst>
            <a:outerShdw blurRad="254000" sx="102000" sy="102000" algn="ctr" rotWithShape="0">
              <a:prstClr val="black">
                <a:alpha val="20000"/>
              </a:prstClr>
            </a:outerShdw>
          </a:effectLst>
        </c:spPr>
      </c:pivotFmt>
      <c:pivotFmt>
        <c:idx val="345"/>
        <c:spPr>
          <a:solidFill>
            <a:schemeClr val="accent1"/>
          </a:solidFill>
          <a:ln>
            <a:noFill/>
          </a:ln>
          <a:effectLst>
            <a:outerShdw blurRad="254000" sx="102000" sy="102000" algn="ctr" rotWithShape="0">
              <a:prstClr val="black">
                <a:alpha val="20000"/>
              </a:prstClr>
            </a:outerShdw>
          </a:effectLst>
        </c:spPr>
      </c:pivotFmt>
      <c:pivotFmt>
        <c:idx val="346"/>
        <c:spPr>
          <a:solidFill>
            <a:schemeClr val="accent1"/>
          </a:solidFill>
          <a:ln>
            <a:noFill/>
          </a:ln>
          <a:effectLst>
            <a:outerShdw blurRad="254000" sx="102000" sy="102000" algn="ctr" rotWithShape="0">
              <a:prstClr val="black">
                <a:alpha val="20000"/>
              </a:prstClr>
            </a:outerShdw>
          </a:effectLst>
        </c:spPr>
      </c:pivotFmt>
      <c:pivotFmt>
        <c:idx val="347"/>
        <c:spPr>
          <a:solidFill>
            <a:schemeClr val="accent1"/>
          </a:solidFill>
          <a:ln>
            <a:noFill/>
          </a:ln>
          <a:effectLst>
            <a:outerShdw blurRad="254000" sx="102000" sy="102000" algn="ctr" rotWithShape="0">
              <a:prstClr val="black">
                <a:alpha val="20000"/>
              </a:prstClr>
            </a:outerShdw>
          </a:effectLst>
        </c:spPr>
      </c:pivotFmt>
      <c:pivotFmt>
        <c:idx val="348"/>
        <c:spPr>
          <a:solidFill>
            <a:schemeClr val="accent1"/>
          </a:solidFill>
          <a:ln>
            <a:noFill/>
          </a:ln>
          <a:effectLst>
            <a:outerShdw blurRad="254000" sx="102000" sy="102000" algn="ctr" rotWithShape="0">
              <a:prstClr val="black">
                <a:alpha val="20000"/>
              </a:prstClr>
            </a:outerShdw>
          </a:effectLst>
        </c:spPr>
      </c:pivotFmt>
      <c:pivotFmt>
        <c:idx val="349"/>
        <c:spPr>
          <a:solidFill>
            <a:schemeClr val="accent1"/>
          </a:solidFill>
          <a:ln>
            <a:noFill/>
          </a:ln>
          <a:effectLst>
            <a:outerShdw blurRad="254000" sx="102000" sy="102000" algn="ctr" rotWithShape="0">
              <a:prstClr val="black">
                <a:alpha val="20000"/>
              </a:prstClr>
            </a:outerShdw>
          </a:effectLst>
        </c:spPr>
      </c:pivotFmt>
      <c:pivotFmt>
        <c:idx val="350"/>
        <c:spPr>
          <a:solidFill>
            <a:schemeClr val="accent1"/>
          </a:solidFill>
          <a:ln>
            <a:noFill/>
          </a:ln>
          <a:effectLst>
            <a:outerShdw blurRad="254000" sx="102000" sy="102000" algn="ctr" rotWithShape="0">
              <a:prstClr val="black">
                <a:alpha val="20000"/>
              </a:prstClr>
            </a:outerShdw>
          </a:effectLst>
        </c:spPr>
      </c:pivotFmt>
      <c:pivotFmt>
        <c:idx val="351"/>
        <c:spPr>
          <a:solidFill>
            <a:schemeClr val="accent1"/>
          </a:solidFill>
          <a:ln>
            <a:noFill/>
          </a:ln>
          <a:effectLst>
            <a:outerShdw blurRad="254000" sx="102000" sy="102000" algn="ctr" rotWithShape="0">
              <a:prstClr val="black">
                <a:alpha val="20000"/>
              </a:prstClr>
            </a:outerShdw>
          </a:effectLst>
        </c:spPr>
      </c:pivotFmt>
      <c:pivotFmt>
        <c:idx val="352"/>
        <c:spPr>
          <a:solidFill>
            <a:schemeClr val="accent1"/>
          </a:solidFill>
          <a:ln>
            <a:noFill/>
          </a:ln>
          <a:effectLst>
            <a:outerShdw blurRad="254000" sx="102000" sy="102000" algn="ctr" rotWithShape="0">
              <a:prstClr val="black">
                <a:alpha val="20000"/>
              </a:prstClr>
            </a:outerShdw>
          </a:effectLst>
        </c:spPr>
      </c:pivotFmt>
      <c:pivotFmt>
        <c:idx val="353"/>
        <c:spPr>
          <a:solidFill>
            <a:schemeClr val="accent1"/>
          </a:solidFill>
          <a:ln>
            <a:noFill/>
          </a:ln>
          <a:effectLst>
            <a:outerShdw blurRad="254000" sx="102000" sy="102000" algn="ctr" rotWithShape="0">
              <a:prstClr val="black">
                <a:alpha val="20000"/>
              </a:prstClr>
            </a:outerShdw>
          </a:effectLst>
        </c:spPr>
      </c:pivotFmt>
      <c:pivotFmt>
        <c:idx val="354"/>
        <c:spPr>
          <a:solidFill>
            <a:schemeClr val="accent1"/>
          </a:solidFill>
          <a:ln>
            <a:noFill/>
          </a:ln>
          <a:effectLst>
            <a:outerShdw blurRad="254000" sx="102000" sy="102000" algn="ctr" rotWithShape="0">
              <a:prstClr val="black">
                <a:alpha val="20000"/>
              </a:prstClr>
            </a:outerShdw>
          </a:effectLst>
        </c:spPr>
      </c:pivotFmt>
      <c:pivotFmt>
        <c:idx val="355"/>
        <c:spPr>
          <a:solidFill>
            <a:schemeClr val="accent1"/>
          </a:solidFill>
          <a:ln>
            <a:noFill/>
          </a:ln>
          <a:effectLst>
            <a:outerShdw blurRad="254000" sx="102000" sy="102000" algn="ctr" rotWithShape="0">
              <a:prstClr val="black">
                <a:alpha val="20000"/>
              </a:prstClr>
            </a:outerShdw>
          </a:effectLst>
        </c:spPr>
      </c:pivotFmt>
      <c:pivotFmt>
        <c:idx val="356"/>
        <c:spPr>
          <a:solidFill>
            <a:schemeClr val="accent1"/>
          </a:solidFill>
          <a:ln>
            <a:noFill/>
          </a:ln>
          <a:effectLst>
            <a:outerShdw blurRad="254000" sx="102000" sy="102000" algn="ctr" rotWithShape="0">
              <a:prstClr val="black">
                <a:alpha val="20000"/>
              </a:prstClr>
            </a:outerShdw>
          </a:effectLst>
        </c:spPr>
      </c:pivotFmt>
      <c:pivotFmt>
        <c:idx val="357"/>
        <c:spPr>
          <a:solidFill>
            <a:schemeClr val="accent1"/>
          </a:solidFill>
          <a:ln>
            <a:noFill/>
          </a:ln>
          <a:effectLst>
            <a:outerShdw blurRad="254000" sx="102000" sy="102000" algn="ctr" rotWithShape="0">
              <a:prstClr val="black">
                <a:alpha val="20000"/>
              </a:prstClr>
            </a:outerShdw>
          </a:effectLst>
        </c:spPr>
      </c:pivotFmt>
      <c:pivotFmt>
        <c:idx val="358"/>
        <c:spPr>
          <a:solidFill>
            <a:schemeClr val="accent1"/>
          </a:solidFill>
          <a:ln>
            <a:noFill/>
          </a:ln>
          <a:effectLst>
            <a:outerShdw blurRad="254000" sx="102000" sy="102000" algn="ctr" rotWithShape="0">
              <a:prstClr val="black">
                <a:alpha val="20000"/>
              </a:prstClr>
            </a:outerShdw>
          </a:effectLst>
        </c:spPr>
      </c:pivotFmt>
      <c:pivotFmt>
        <c:idx val="359"/>
        <c:spPr>
          <a:solidFill>
            <a:schemeClr val="accent1"/>
          </a:solidFill>
          <a:ln>
            <a:noFill/>
          </a:ln>
          <a:effectLst>
            <a:outerShdw blurRad="254000" sx="102000" sy="102000" algn="ctr" rotWithShape="0">
              <a:prstClr val="black">
                <a:alpha val="20000"/>
              </a:prstClr>
            </a:outerShdw>
          </a:effectLst>
        </c:spPr>
      </c:pivotFmt>
      <c:pivotFmt>
        <c:idx val="360"/>
        <c:spPr>
          <a:solidFill>
            <a:schemeClr val="accent1"/>
          </a:solidFill>
          <a:ln>
            <a:noFill/>
          </a:ln>
          <a:effectLst>
            <a:outerShdw blurRad="254000" sx="102000" sy="102000" algn="ctr" rotWithShape="0">
              <a:prstClr val="black">
                <a:alpha val="20000"/>
              </a:prstClr>
            </a:outerShdw>
          </a:effectLst>
        </c:spPr>
      </c:pivotFmt>
      <c:pivotFmt>
        <c:idx val="361"/>
        <c:spPr>
          <a:solidFill>
            <a:schemeClr val="accent1"/>
          </a:solidFill>
          <a:ln>
            <a:noFill/>
          </a:ln>
          <a:effectLst>
            <a:outerShdw blurRad="254000" sx="102000" sy="102000" algn="ctr" rotWithShape="0">
              <a:prstClr val="black">
                <a:alpha val="20000"/>
              </a:prstClr>
            </a:outerShdw>
          </a:effectLst>
        </c:spPr>
      </c:pivotFmt>
      <c:pivotFmt>
        <c:idx val="362"/>
        <c:spPr>
          <a:solidFill>
            <a:schemeClr val="accent1"/>
          </a:solidFill>
          <a:ln>
            <a:noFill/>
          </a:ln>
          <a:effectLst>
            <a:outerShdw blurRad="254000" sx="102000" sy="102000" algn="ctr" rotWithShape="0">
              <a:prstClr val="black">
                <a:alpha val="20000"/>
              </a:prstClr>
            </a:outerShdw>
          </a:effectLst>
        </c:spPr>
      </c:pivotFmt>
      <c:pivotFmt>
        <c:idx val="363"/>
        <c:spPr>
          <a:solidFill>
            <a:schemeClr val="accent1"/>
          </a:solidFill>
          <a:ln>
            <a:noFill/>
          </a:ln>
          <a:effectLst>
            <a:outerShdw blurRad="254000" sx="102000" sy="102000" algn="ctr" rotWithShape="0">
              <a:prstClr val="black">
                <a:alpha val="20000"/>
              </a:prstClr>
            </a:outerShdw>
          </a:effectLst>
        </c:spPr>
      </c:pivotFmt>
      <c:pivotFmt>
        <c:idx val="364"/>
        <c:spPr>
          <a:solidFill>
            <a:schemeClr val="accent1"/>
          </a:solidFill>
          <a:ln>
            <a:noFill/>
          </a:ln>
          <a:effectLst>
            <a:outerShdw blurRad="254000" sx="102000" sy="102000" algn="ctr" rotWithShape="0">
              <a:prstClr val="black">
                <a:alpha val="20000"/>
              </a:prstClr>
            </a:outerShdw>
          </a:effectLst>
        </c:spPr>
      </c:pivotFmt>
      <c:pivotFmt>
        <c:idx val="365"/>
        <c:spPr>
          <a:solidFill>
            <a:schemeClr val="accent1"/>
          </a:solidFill>
          <a:ln>
            <a:noFill/>
          </a:ln>
          <a:effectLst>
            <a:outerShdw blurRad="254000" sx="102000" sy="102000" algn="ctr" rotWithShape="0">
              <a:prstClr val="black">
                <a:alpha val="20000"/>
              </a:prstClr>
            </a:outerShdw>
          </a:effectLst>
        </c:spPr>
      </c:pivotFmt>
      <c:pivotFmt>
        <c:idx val="366"/>
        <c:spPr>
          <a:solidFill>
            <a:schemeClr val="accent1"/>
          </a:solidFill>
          <a:ln>
            <a:noFill/>
          </a:ln>
          <a:effectLst>
            <a:outerShdw blurRad="254000" sx="102000" sy="102000" algn="ctr" rotWithShape="0">
              <a:prstClr val="black">
                <a:alpha val="20000"/>
              </a:prstClr>
            </a:outerShdw>
          </a:effectLst>
        </c:spPr>
      </c:pivotFmt>
      <c:pivotFmt>
        <c:idx val="367"/>
        <c:spPr>
          <a:solidFill>
            <a:schemeClr val="accent1"/>
          </a:solidFill>
          <a:ln>
            <a:noFill/>
          </a:ln>
          <a:effectLst>
            <a:outerShdw blurRad="254000" sx="102000" sy="102000" algn="ctr" rotWithShape="0">
              <a:prstClr val="black">
                <a:alpha val="20000"/>
              </a:prstClr>
            </a:outerShdw>
          </a:effectLst>
        </c:spPr>
      </c:pivotFmt>
      <c:pivotFmt>
        <c:idx val="368"/>
        <c:spPr>
          <a:solidFill>
            <a:schemeClr val="accent1"/>
          </a:solidFill>
          <a:ln>
            <a:noFill/>
          </a:ln>
          <a:effectLst>
            <a:outerShdw blurRad="254000" sx="102000" sy="102000" algn="ctr" rotWithShape="0">
              <a:prstClr val="black">
                <a:alpha val="20000"/>
              </a:prstClr>
            </a:outerShdw>
          </a:effectLst>
        </c:spPr>
      </c:pivotFmt>
      <c:pivotFmt>
        <c:idx val="369"/>
        <c:spPr>
          <a:solidFill>
            <a:schemeClr val="accent1"/>
          </a:solidFill>
          <a:ln>
            <a:noFill/>
          </a:ln>
          <a:effectLst>
            <a:outerShdw blurRad="254000" sx="102000" sy="102000" algn="ctr" rotWithShape="0">
              <a:prstClr val="black">
                <a:alpha val="20000"/>
              </a:prstClr>
            </a:outerShdw>
          </a:effectLst>
        </c:spPr>
      </c:pivotFmt>
      <c:pivotFmt>
        <c:idx val="370"/>
        <c:spPr>
          <a:solidFill>
            <a:schemeClr val="accent1"/>
          </a:solidFill>
          <a:ln>
            <a:noFill/>
          </a:ln>
          <a:effectLst>
            <a:outerShdw blurRad="254000" sx="102000" sy="102000" algn="ctr" rotWithShape="0">
              <a:prstClr val="black">
                <a:alpha val="20000"/>
              </a:prstClr>
            </a:outerShdw>
          </a:effectLst>
        </c:spPr>
      </c:pivotFmt>
      <c:pivotFmt>
        <c:idx val="371"/>
        <c:spPr>
          <a:solidFill>
            <a:schemeClr val="accent1"/>
          </a:solidFill>
          <a:ln>
            <a:noFill/>
          </a:ln>
          <a:effectLst>
            <a:outerShdw blurRad="254000" sx="102000" sy="102000" algn="ctr" rotWithShape="0">
              <a:prstClr val="black">
                <a:alpha val="20000"/>
              </a:prstClr>
            </a:outerShdw>
          </a:effectLst>
        </c:spPr>
      </c:pivotFmt>
      <c:pivotFmt>
        <c:idx val="372"/>
        <c:spPr>
          <a:solidFill>
            <a:schemeClr val="accent1"/>
          </a:solidFill>
          <a:ln>
            <a:noFill/>
          </a:ln>
          <a:effectLst>
            <a:outerShdw blurRad="254000" sx="102000" sy="102000" algn="ctr" rotWithShape="0">
              <a:prstClr val="black">
                <a:alpha val="20000"/>
              </a:prstClr>
            </a:outerShdw>
          </a:effectLst>
        </c:spPr>
      </c:pivotFmt>
      <c:pivotFmt>
        <c:idx val="373"/>
        <c:spPr>
          <a:solidFill>
            <a:schemeClr val="accent1"/>
          </a:solidFill>
          <a:ln>
            <a:noFill/>
          </a:ln>
          <a:effectLst>
            <a:outerShdw blurRad="254000" sx="102000" sy="102000" algn="ctr" rotWithShape="0">
              <a:prstClr val="black">
                <a:alpha val="20000"/>
              </a:prstClr>
            </a:outerShdw>
          </a:effectLst>
        </c:spPr>
      </c:pivotFmt>
      <c:pivotFmt>
        <c:idx val="374"/>
        <c:spPr>
          <a:solidFill>
            <a:schemeClr val="accent1"/>
          </a:solidFill>
          <a:ln>
            <a:noFill/>
          </a:ln>
          <a:effectLst>
            <a:outerShdw blurRad="254000" sx="102000" sy="102000" algn="ctr" rotWithShape="0">
              <a:prstClr val="black">
                <a:alpha val="20000"/>
              </a:prstClr>
            </a:outerShdw>
          </a:effectLst>
        </c:spPr>
      </c:pivotFmt>
      <c:pivotFmt>
        <c:idx val="375"/>
        <c:spPr>
          <a:solidFill>
            <a:schemeClr val="accent1"/>
          </a:solidFill>
          <a:ln>
            <a:noFill/>
          </a:ln>
          <a:effectLst>
            <a:outerShdw blurRad="254000" sx="102000" sy="102000" algn="ctr" rotWithShape="0">
              <a:prstClr val="black">
                <a:alpha val="20000"/>
              </a:prstClr>
            </a:outerShdw>
          </a:effectLst>
        </c:spPr>
      </c:pivotFmt>
      <c:pivotFmt>
        <c:idx val="376"/>
        <c:spPr>
          <a:solidFill>
            <a:schemeClr val="accent1"/>
          </a:solidFill>
          <a:ln>
            <a:noFill/>
          </a:ln>
          <a:effectLst>
            <a:outerShdw blurRad="254000" sx="102000" sy="102000" algn="ctr" rotWithShape="0">
              <a:prstClr val="black">
                <a:alpha val="20000"/>
              </a:prstClr>
            </a:outerShdw>
          </a:effectLst>
        </c:spPr>
      </c:pivotFmt>
      <c:pivotFmt>
        <c:idx val="377"/>
        <c:spPr>
          <a:solidFill>
            <a:schemeClr val="accent1"/>
          </a:solidFill>
          <a:ln>
            <a:noFill/>
          </a:ln>
          <a:effectLst>
            <a:outerShdw blurRad="254000" sx="102000" sy="102000" algn="ctr" rotWithShape="0">
              <a:prstClr val="black">
                <a:alpha val="20000"/>
              </a:prstClr>
            </a:outerShdw>
          </a:effectLst>
        </c:spPr>
      </c:pivotFmt>
      <c:pivotFmt>
        <c:idx val="378"/>
        <c:spPr>
          <a:solidFill>
            <a:schemeClr val="accent1"/>
          </a:solidFill>
          <a:ln>
            <a:noFill/>
          </a:ln>
          <a:effectLst>
            <a:outerShdw blurRad="254000" sx="102000" sy="102000" algn="ctr" rotWithShape="0">
              <a:prstClr val="black">
                <a:alpha val="20000"/>
              </a:prstClr>
            </a:outerShdw>
          </a:effectLst>
        </c:spPr>
      </c:pivotFmt>
      <c:pivotFmt>
        <c:idx val="379"/>
        <c:spPr>
          <a:solidFill>
            <a:schemeClr val="accent1"/>
          </a:solidFill>
          <a:ln>
            <a:noFill/>
          </a:ln>
          <a:effectLst>
            <a:outerShdw blurRad="254000" sx="102000" sy="102000" algn="ctr" rotWithShape="0">
              <a:prstClr val="black">
                <a:alpha val="20000"/>
              </a:prstClr>
            </a:outerShdw>
          </a:effectLst>
        </c:spPr>
      </c:pivotFmt>
      <c:pivotFmt>
        <c:idx val="380"/>
        <c:spPr>
          <a:solidFill>
            <a:schemeClr val="accent1"/>
          </a:solidFill>
          <a:ln>
            <a:noFill/>
          </a:ln>
          <a:effectLst>
            <a:outerShdw blurRad="254000" sx="102000" sy="102000" algn="ctr" rotWithShape="0">
              <a:prstClr val="black">
                <a:alpha val="20000"/>
              </a:prstClr>
            </a:outerShdw>
          </a:effectLst>
        </c:spPr>
      </c:pivotFmt>
      <c:pivotFmt>
        <c:idx val="381"/>
        <c:spPr>
          <a:solidFill>
            <a:schemeClr val="accent1"/>
          </a:solidFill>
          <a:ln>
            <a:noFill/>
          </a:ln>
          <a:effectLst>
            <a:outerShdw blurRad="254000" sx="102000" sy="102000" algn="ctr" rotWithShape="0">
              <a:prstClr val="black">
                <a:alpha val="20000"/>
              </a:prstClr>
            </a:outerShdw>
          </a:effectLst>
        </c:spPr>
      </c:pivotFmt>
      <c:pivotFmt>
        <c:idx val="382"/>
        <c:spPr>
          <a:solidFill>
            <a:schemeClr val="accent1"/>
          </a:solidFill>
          <a:ln>
            <a:noFill/>
          </a:ln>
          <a:effectLst>
            <a:outerShdw blurRad="254000" sx="102000" sy="102000" algn="ctr" rotWithShape="0">
              <a:prstClr val="black">
                <a:alpha val="20000"/>
              </a:prstClr>
            </a:outerShdw>
          </a:effectLst>
        </c:spPr>
      </c:pivotFmt>
      <c:pivotFmt>
        <c:idx val="383"/>
        <c:spPr>
          <a:solidFill>
            <a:schemeClr val="accent1"/>
          </a:solidFill>
          <a:ln>
            <a:noFill/>
          </a:ln>
          <a:effectLst>
            <a:outerShdw blurRad="254000" sx="102000" sy="102000" algn="ctr" rotWithShape="0">
              <a:prstClr val="black">
                <a:alpha val="20000"/>
              </a:prstClr>
            </a:outerShdw>
          </a:effectLst>
        </c:spPr>
      </c:pivotFmt>
      <c:pivotFmt>
        <c:idx val="384"/>
        <c:spPr>
          <a:solidFill>
            <a:schemeClr val="accent1"/>
          </a:solidFill>
          <a:ln>
            <a:noFill/>
          </a:ln>
          <a:effectLst>
            <a:outerShdw blurRad="254000" sx="102000" sy="102000" algn="ctr" rotWithShape="0">
              <a:prstClr val="black">
                <a:alpha val="20000"/>
              </a:prstClr>
            </a:outerShdw>
          </a:effectLst>
        </c:spPr>
      </c:pivotFmt>
      <c:pivotFmt>
        <c:idx val="385"/>
        <c:spPr>
          <a:solidFill>
            <a:schemeClr val="accent1"/>
          </a:solidFill>
          <a:ln>
            <a:noFill/>
          </a:ln>
          <a:effectLst>
            <a:outerShdw blurRad="254000" sx="102000" sy="102000" algn="ctr" rotWithShape="0">
              <a:prstClr val="black">
                <a:alpha val="20000"/>
              </a:prstClr>
            </a:outerShdw>
          </a:effectLst>
        </c:spPr>
      </c:pivotFmt>
      <c:pivotFmt>
        <c:idx val="386"/>
        <c:spPr>
          <a:solidFill>
            <a:schemeClr val="accent1"/>
          </a:solidFill>
          <a:ln>
            <a:noFill/>
          </a:ln>
          <a:effectLst>
            <a:outerShdw blurRad="254000" sx="102000" sy="102000" algn="ctr" rotWithShape="0">
              <a:prstClr val="black">
                <a:alpha val="20000"/>
              </a:prstClr>
            </a:outerShdw>
          </a:effectLst>
        </c:spPr>
      </c:pivotFmt>
      <c:pivotFmt>
        <c:idx val="387"/>
        <c:spPr>
          <a:solidFill>
            <a:schemeClr val="accent1"/>
          </a:solidFill>
          <a:ln>
            <a:noFill/>
          </a:ln>
          <a:effectLst>
            <a:outerShdw blurRad="254000" sx="102000" sy="102000" algn="ctr" rotWithShape="0">
              <a:prstClr val="black">
                <a:alpha val="20000"/>
              </a:prstClr>
            </a:outerShdw>
          </a:effectLst>
        </c:spPr>
      </c:pivotFmt>
      <c:pivotFmt>
        <c:idx val="388"/>
        <c:spPr>
          <a:solidFill>
            <a:schemeClr val="accent1"/>
          </a:solidFill>
          <a:ln>
            <a:noFill/>
          </a:ln>
          <a:effectLst>
            <a:outerShdw blurRad="254000" sx="102000" sy="102000" algn="ctr" rotWithShape="0">
              <a:prstClr val="black">
                <a:alpha val="20000"/>
              </a:prstClr>
            </a:outerShdw>
          </a:effectLst>
        </c:spPr>
      </c:pivotFmt>
      <c:pivotFmt>
        <c:idx val="389"/>
        <c:spPr>
          <a:solidFill>
            <a:schemeClr val="accent1"/>
          </a:solidFill>
          <a:ln>
            <a:noFill/>
          </a:ln>
          <a:effectLst>
            <a:outerShdw blurRad="254000" sx="102000" sy="102000" algn="ctr" rotWithShape="0">
              <a:prstClr val="black">
                <a:alpha val="20000"/>
              </a:prstClr>
            </a:outerShdw>
          </a:effectLst>
        </c:spPr>
      </c:pivotFmt>
      <c:pivotFmt>
        <c:idx val="390"/>
        <c:spPr>
          <a:solidFill>
            <a:schemeClr val="accent1"/>
          </a:solidFill>
          <a:ln>
            <a:noFill/>
          </a:ln>
          <a:effectLst>
            <a:outerShdw blurRad="254000" sx="102000" sy="102000" algn="ctr" rotWithShape="0">
              <a:prstClr val="black">
                <a:alpha val="20000"/>
              </a:prstClr>
            </a:outerShdw>
          </a:effectLst>
        </c:spPr>
      </c:pivotFmt>
      <c:pivotFmt>
        <c:idx val="391"/>
        <c:spPr>
          <a:solidFill>
            <a:schemeClr val="accent1"/>
          </a:solidFill>
          <a:ln>
            <a:noFill/>
          </a:ln>
          <a:effectLst>
            <a:outerShdw blurRad="254000" sx="102000" sy="102000" algn="ctr" rotWithShape="0">
              <a:prstClr val="black">
                <a:alpha val="20000"/>
              </a:prstClr>
            </a:outerShdw>
          </a:effectLst>
        </c:spPr>
      </c:pivotFmt>
      <c:pivotFmt>
        <c:idx val="392"/>
        <c:spPr>
          <a:solidFill>
            <a:schemeClr val="accent1"/>
          </a:solidFill>
          <a:ln>
            <a:noFill/>
          </a:ln>
          <a:effectLst>
            <a:outerShdw blurRad="254000" sx="102000" sy="102000" algn="ctr" rotWithShape="0">
              <a:prstClr val="black">
                <a:alpha val="20000"/>
              </a:prstClr>
            </a:outerShdw>
          </a:effectLst>
        </c:spPr>
      </c:pivotFmt>
      <c:pivotFmt>
        <c:idx val="393"/>
        <c:spPr>
          <a:solidFill>
            <a:schemeClr val="accent1"/>
          </a:solidFill>
          <a:ln>
            <a:noFill/>
          </a:ln>
          <a:effectLst>
            <a:outerShdw blurRad="254000" sx="102000" sy="102000" algn="ctr" rotWithShape="0">
              <a:prstClr val="black">
                <a:alpha val="20000"/>
              </a:prstClr>
            </a:outerShdw>
          </a:effectLst>
        </c:spPr>
      </c:pivotFmt>
      <c:pivotFmt>
        <c:idx val="394"/>
        <c:spPr>
          <a:solidFill>
            <a:schemeClr val="accent1"/>
          </a:solidFill>
          <a:ln>
            <a:noFill/>
          </a:ln>
          <a:effectLst>
            <a:outerShdw blurRad="254000" sx="102000" sy="102000" algn="ctr" rotWithShape="0">
              <a:prstClr val="black">
                <a:alpha val="20000"/>
              </a:prstClr>
            </a:outerShdw>
          </a:effectLst>
        </c:spPr>
      </c:pivotFmt>
      <c:pivotFmt>
        <c:idx val="395"/>
        <c:spPr>
          <a:solidFill>
            <a:schemeClr val="accent1"/>
          </a:solidFill>
          <a:ln>
            <a:noFill/>
          </a:ln>
          <a:effectLst>
            <a:outerShdw blurRad="254000" sx="102000" sy="102000" algn="ctr" rotWithShape="0">
              <a:prstClr val="black">
                <a:alpha val="20000"/>
              </a:prstClr>
            </a:outerShdw>
          </a:effectLst>
        </c:spPr>
      </c:pivotFmt>
      <c:pivotFmt>
        <c:idx val="396"/>
        <c:spPr>
          <a:solidFill>
            <a:schemeClr val="accent1"/>
          </a:solidFill>
          <a:ln>
            <a:noFill/>
          </a:ln>
          <a:effectLst>
            <a:outerShdw blurRad="254000" sx="102000" sy="102000" algn="ctr" rotWithShape="0">
              <a:prstClr val="black">
                <a:alpha val="20000"/>
              </a:prstClr>
            </a:outerShdw>
          </a:effectLst>
        </c:spPr>
      </c:pivotFmt>
      <c:pivotFmt>
        <c:idx val="397"/>
        <c:spPr>
          <a:solidFill>
            <a:schemeClr val="accent1"/>
          </a:solidFill>
          <a:ln>
            <a:noFill/>
          </a:ln>
          <a:effectLst>
            <a:outerShdw blurRad="254000" sx="102000" sy="102000" algn="ctr" rotWithShape="0">
              <a:prstClr val="black">
                <a:alpha val="20000"/>
              </a:prstClr>
            </a:outerShdw>
          </a:effectLst>
        </c:spPr>
      </c:pivotFmt>
      <c:pivotFmt>
        <c:idx val="398"/>
        <c:spPr>
          <a:solidFill>
            <a:schemeClr val="accent1"/>
          </a:solidFill>
          <a:ln>
            <a:noFill/>
          </a:ln>
          <a:effectLst>
            <a:outerShdw blurRad="254000" sx="102000" sy="102000" algn="ctr" rotWithShape="0">
              <a:prstClr val="black">
                <a:alpha val="20000"/>
              </a:prstClr>
            </a:outerShdw>
          </a:effectLst>
        </c:spPr>
      </c:pivotFmt>
      <c:pivotFmt>
        <c:idx val="399"/>
        <c:spPr>
          <a:solidFill>
            <a:schemeClr val="accent1"/>
          </a:solidFill>
          <a:ln>
            <a:noFill/>
          </a:ln>
          <a:effectLst>
            <a:outerShdw blurRad="254000" sx="102000" sy="102000" algn="ctr" rotWithShape="0">
              <a:prstClr val="black">
                <a:alpha val="20000"/>
              </a:prstClr>
            </a:outerShdw>
          </a:effectLst>
        </c:spPr>
      </c:pivotFmt>
      <c:pivotFmt>
        <c:idx val="400"/>
        <c:spPr>
          <a:solidFill>
            <a:schemeClr val="accent1"/>
          </a:solidFill>
          <a:ln>
            <a:noFill/>
          </a:ln>
          <a:effectLst>
            <a:outerShdw blurRad="254000" sx="102000" sy="102000" algn="ctr" rotWithShape="0">
              <a:prstClr val="black">
                <a:alpha val="20000"/>
              </a:prstClr>
            </a:outerShdw>
          </a:effectLst>
        </c:spPr>
      </c:pivotFmt>
      <c:pivotFmt>
        <c:idx val="401"/>
        <c:spPr>
          <a:solidFill>
            <a:schemeClr val="accent1"/>
          </a:solidFill>
          <a:ln>
            <a:noFill/>
          </a:ln>
          <a:effectLst>
            <a:outerShdw blurRad="254000" sx="102000" sy="102000" algn="ctr" rotWithShape="0">
              <a:prstClr val="black">
                <a:alpha val="20000"/>
              </a:prstClr>
            </a:outerShdw>
          </a:effectLst>
        </c:spPr>
      </c:pivotFmt>
      <c:pivotFmt>
        <c:idx val="402"/>
        <c:spPr>
          <a:solidFill>
            <a:schemeClr val="accent1"/>
          </a:solidFill>
          <a:ln>
            <a:noFill/>
          </a:ln>
          <a:effectLst>
            <a:outerShdw blurRad="254000" sx="102000" sy="102000" algn="ctr" rotWithShape="0">
              <a:prstClr val="black">
                <a:alpha val="20000"/>
              </a:prstClr>
            </a:outerShdw>
          </a:effectLst>
        </c:spPr>
      </c:pivotFmt>
      <c:pivotFmt>
        <c:idx val="403"/>
        <c:spPr>
          <a:solidFill>
            <a:schemeClr val="accent1"/>
          </a:solidFill>
          <a:ln>
            <a:noFill/>
          </a:ln>
          <a:effectLst>
            <a:outerShdw blurRad="254000" sx="102000" sy="102000" algn="ctr" rotWithShape="0">
              <a:prstClr val="black">
                <a:alpha val="20000"/>
              </a:prstClr>
            </a:outerShdw>
          </a:effectLst>
        </c:spPr>
      </c:pivotFmt>
      <c:pivotFmt>
        <c:idx val="404"/>
        <c:spPr>
          <a:solidFill>
            <a:schemeClr val="accent1"/>
          </a:solidFill>
          <a:ln>
            <a:noFill/>
          </a:ln>
          <a:effectLst>
            <a:outerShdw blurRad="254000" sx="102000" sy="102000" algn="ctr" rotWithShape="0">
              <a:prstClr val="black">
                <a:alpha val="20000"/>
              </a:prstClr>
            </a:outerShdw>
          </a:effectLst>
        </c:spPr>
      </c:pivotFmt>
      <c:pivotFmt>
        <c:idx val="405"/>
        <c:spPr>
          <a:solidFill>
            <a:schemeClr val="accent1"/>
          </a:solidFill>
          <a:ln>
            <a:noFill/>
          </a:ln>
          <a:effectLst>
            <a:outerShdw blurRad="254000" sx="102000" sy="102000" algn="ctr" rotWithShape="0">
              <a:prstClr val="black">
                <a:alpha val="20000"/>
              </a:prstClr>
            </a:outerShdw>
          </a:effectLst>
        </c:spPr>
      </c:pivotFmt>
      <c:pivotFmt>
        <c:idx val="406"/>
        <c:spPr>
          <a:solidFill>
            <a:schemeClr val="accent1"/>
          </a:solidFill>
          <a:ln>
            <a:noFill/>
          </a:ln>
          <a:effectLst>
            <a:outerShdw blurRad="254000" sx="102000" sy="102000" algn="ctr" rotWithShape="0">
              <a:prstClr val="black">
                <a:alpha val="20000"/>
              </a:prstClr>
            </a:outerShdw>
          </a:effectLst>
        </c:spPr>
      </c:pivotFmt>
      <c:pivotFmt>
        <c:idx val="407"/>
        <c:spPr>
          <a:solidFill>
            <a:schemeClr val="accent1"/>
          </a:solidFill>
          <a:ln>
            <a:noFill/>
          </a:ln>
          <a:effectLst>
            <a:outerShdw blurRad="254000" sx="102000" sy="102000" algn="ctr" rotWithShape="0">
              <a:prstClr val="black">
                <a:alpha val="20000"/>
              </a:prstClr>
            </a:outerShdw>
          </a:effectLst>
        </c:spPr>
      </c:pivotFmt>
      <c:pivotFmt>
        <c:idx val="408"/>
        <c:spPr>
          <a:solidFill>
            <a:schemeClr val="accent1"/>
          </a:solidFill>
          <a:ln>
            <a:noFill/>
          </a:ln>
          <a:effectLst>
            <a:outerShdw blurRad="254000" sx="102000" sy="102000" algn="ctr" rotWithShape="0">
              <a:prstClr val="black">
                <a:alpha val="20000"/>
              </a:prstClr>
            </a:outerShdw>
          </a:effectLst>
        </c:spPr>
      </c:pivotFmt>
      <c:pivotFmt>
        <c:idx val="409"/>
        <c:spPr>
          <a:solidFill>
            <a:schemeClr val="accent1"/>
          </a:solidFill>
          <a:ln>
            <a:noFill/>
          </a:ln>
          <a:effectLst>
            <a:outerShdw blurRad="254000" sx="102000" sy="102000" algn="ctr" rotWithShape="0">
              <a:prstClr val="black">
                <a:alpha val="20000"/>
              </a:prstClr>
            </a:outerShdw>
          </a:effectLst>
        </c:spPr>
      </c:pivotFmt>
      <c:pivotFmt>
        <c:idx val="410"/>
        <c:spPr>
          <a:solidFill>
            <a:schemeClr val="accent1"/>
          </a:solidFill>
          <a:ln>
            <a:noFill/>
          </a:ln>
          <a:effectLst>
            <a:outerShdw blurRad="254000" sx="102000" sy="102000" algn="ctr" rotWithShape="0">
              <a:prstClr val="black">
                <a:alpha val="20000"/>
              </a:prstClr>
            </a:outerShdw>
          </a:effectLst>
        </c:spPr>
      </c:pivotFmt>
      <c:pivotFmt>
        <c:idx val="411"/>
        <c:spPr>
          <a:solidFill>
            <a:schemeClr val="accent1"/>
          </a:solidFill>
          <a:ln>
            <a:noFill/>
          </a:ln>
          <a:effectLst>
            <a:outerShdw blurRad="254000" sx="102000" sy="102000" algn="ctr" rotWithShape="0">
              <a:prstClr val="black">
                <a:alpha val="20000"/>
              </a:prstClr>
            </a:outerShdw>
          </a:effectLst>
        </c:spPr>
      </c:pivotFmt>
      <c:pivotFmt>
        <c:idx val="412"/>
        <c:spPr>
          <a:solidFill>
            <a:schemeClr val="accent1"/>
          </a:solidFill>
          <a:ln>
            <a:noFill/>
          </a:ln>
          <a:effectLst>
            <a:outerShdw blurRad="254000" sx="102000" sy="102000" algn="ctr" rotWithShape="0">
              <a:prstClr val="black">
                <a:alpha val="20000"/>
              </a:prstClr>
            </a:outerShdw>
          </a:effectLst>
        </c:spPr>
      </c:pivotFmt>
      <c:pivotFmt>
        <c:idx val="413"/>
        <c:spPr>
          <a:solidFill>
            <a:schemeClr val="accent1"/>
          </a:solidFill>
          <a:ln>
            <a:noFill/>
          </a:ln>
          <a:effectLst>
            <a:outerShdw blurRad="254000" sx="102000" sy="102000" algn="ctr" rotWithShape="0">
              <a:prstClr val="black">
                <a:alpha val="20000"/>
              </a:prstClr>
            </a:outerShdw>
          </a:effectLst>
        </c:spPr>
      </c:pivotFmt>
      <c:pivotFmt>
        <c:idx val="414"/>
        <c:spPr>
          <a:solidFill>
            <a:schemeClr val="accent1"/>
          </a:solidFill>
          <a:ln>
            <a:noFill/>
          </a:ln>
          <a:effectLst>
            <a:outerShdw blurRad="254000" sx="102000" sy="102000" algn="ctr" rotWithShape="0">
              <a:prstClr val="black">
                <a:alpha val="20000"/>
              </a:prstClr>
            </a:outerShdw>
          </a:effectLst>
        </c:spPr>
      </c:pivotFmt>
      <c:pivotFmt>
        <c:idx val="415"/>
        <c:spPr>
          <a:solidFill>
            <a:schemeClr val="accent1"/>
          </a:solidFill>
          <a:ln>
            <a:noFill/>
          </a:ln>
          <a:effectLst>
            <a:outerShdw blurRad="254000" sx="102000" sy="102000" algn="ctr" rotWithShape="0">
              <a:prstClr val="black">
                <a:alpha val="20000"/>
              </a:prstClr>
            </a:outerShdw>
          </a:effectLst>
        </c:spPr>
      </c:pivotFmt>
      <c:pivotFmt>
        <c:idx val="416"/>
        <c:spPr>
          <a:solidFill>
            <a:schemeClr val="accent1"/>
          </a:solidFill>
          <a:ln>
            <a:noFill/>
          </a:ln>
          <a:effectLst>
            <a:outerShdw blurRad="254000" sx="102000" sy="102000" algn="ctr" rotWithShape="0">
              <a:prstClr val="black">
                <a:alpha val="20000"/>
              </a:prstClr>
            </a:outerShdw>
          </a:effectLst>
        </c:spPr>
      </c:pivotFmt>
      <c:pivotFmt>
        <c:idx val="417"/>
        <c:spPr>
          <a:solidFill>
            <a:schemeClr val="accent1"/>
          </a:solidFill>
          <a:ln>
            <a:noFill/>
          </a:ln>
          <a:effectLst>
            <a:outerShdw blurRad="254000" sx="102000" sy="102000" algn="ctr" rotWithShape="0">
              <a:prstClr val="black">
                <a:alpha val="20000"/>
              </a:prstClr>
            </a:outerShdw>
          </a:effectLst>
        </c:spPr>
      </c:pivotFmt>
      <c:pivotFmt>
        <c:idx val="418"/>
        <c:spPr>
          <a:solidFill>
            <a:schemeClr val="accent1"/>
          </a:solidFill>
          <a:ln>
            <a:noFill/>
          </a:ln>
          <a:effectLst>
            <a:outerShdw blurRad="254000" sx="102000" sy="102000" algn="ctr" rotWithShape="0">
              <a:prstClr val="black">
                <a:alpha val="20000"/>
              </a:prstClr>
            </a:outerShdw>
          </a:effectLst>
        </c:spPr>
      </c:pivotFmt>
      <c:pivotFmt>
        <c:idx val="419"/>
        <c:spPr>
          <a:solidFill>
            <a:schemeClr val="accent1"/>
          </a:solidFill>
          <a:ln>
            <a:noFill/>
          </a:ln>
          <a:effectLst>
            <a:outerShdw blurRad="254000" sx="102000" sy="102000" algn="ctr" rotWithShape="0">
              <a:prstClr val="black">
                <a:alpha val="20000"/>
              </a:prstClr>
            </a:outerShdw>
          </a:effectLst>
        </c:spPr>
      </c:pivotFmt>
      <c:pivotFmt>
        <c:idx val="420"/>
        <c:spPr>
          <a:solidFill>
            <a:schemeClr val="accent1"/>
          </a:solidFill>
          <a:ln>
            <a:noFill/>
          </a:ln>
          <a:effectLst>
            <a:outerShdw blurRad="254000" sx="102000" sy="102000" algn="ctr" rotWithShape="0">
              <a:prstClr val="black">
                <a:alpha val="20000"/>
              </a:prstClr>
            </a:outerShdw>
          </a:effectLst>
        </c:spPr>
      </c:pivotFmt>
      <c:pivotFmt>
        <c:idx val="421"/>
        <c:spPr>
          <a:solidFill>
            <a:schemeClr val="accent1"/>
          </a:solidFill>
          <a:ln>
            <a:noFill/>
          </a:ln>
          <a:effectLst>
            <a:outerShdw blurRad="254000" sx="102000" sy="102000" algn="ctr" rotWithShape="0">
              <a:prstClr val="black">
                <a:alpha val="20000"/>
              </a:prstClr>
            </a:outerShdw>
          </a:effectLst>
        </c:spPr>
      </c:pivotFmt>
      <c:pivotFmt>
        <c:idx val="422"/>
        <c:spPr>
          <a:solidFill>
            <a:schemeClr val="accent1"/>
          </a:solidFill>
          <a:ln>
            <a:noFill/>
          </a:ln>
          <a:effectLst>
            <a:outerShdw blurRad="254000" sx="102000" sy="102000" algn="ctr" rotWithShape="0">
              <a:prstClr val="black">
                <a:alpha val="20000"/>
              </a:prstClr>
            </a:outerShdw>
          </a:effectLst>
        </c:spPr>
      </c:pivotFmt>
      <c:pivotFmt>
        <c:idx val="423"/>
        <c:spPr>
          <a:solidFill>
            <a:schemeClr val="accent1"/>
          </a:solidFill>
          <a:ln>
            <a:noFill/>
          </a:ln>
          <a:effectLst>
            <a:outerShdw blurRad="254000" sx="102000" sy="102000" algn="ctr" rotWithShape="0">
              <a:prstClr val="black">
                <a:alpha val="20000"/>
              </a:prstClr>
            </a:outerShdw>
          </a:effectLst>
        </c:spPr>
      </c:pivotFmt>
      <c:pivotFmt>
        <c:idx val="424"/>
        <c:spPr>
          <a:solidFill>
            <a:schemeClr val="accent1"/>
          </a:solidFill>
          <a:ln>
            <a:noFill/>
          </a:ln>
          <a:effectLst>
            <a:outerShdw blurRad="254000" sx="102000" sy="102000" algn="ctr" rotWithShape="0">
              <a:prstClr val="black">
                <a:alpha val="20000"/>
              </a:prstClr>
            </a:outerShdw>
          </a:effectLst>
        </c:spPr>
      </c:pivotFmt>
      <c:pivotFmt>
        <c:idx val="425"/>
        <c:spPr>
          <a:solidFill>
            <a:schemeClr val="accent1"/>
          </a:solidFill>
          <a:ln>
            <a:noFill/>
          </a:ln>
          <a:effectLst>
            <a:outerShdw blurRad="254000" sx="102000" sy="102000" algn="ctr" rotWithShape="0">
              <a:prstClr val="black">
                <a:alpha val="20000"/>
              </a:prstClr>
            </a:outerShdw>
          </a:effectLst>
        </c:spPr>
      </c:pivotFmt>
      <c:pivotFmt>
        <c:idx val="426"/>
        <c:spPr>
          <a:solidFill>
            <a:schemeClr val="accent1"/>
          </a:solidFill>
          <a:ln>
            <a:noFill/>
          </a:ln>
          <a:effectLst>
            <a:outerShdw blurRad="254000" sx="102000" sy="102000" algn="ctr" rotWithShape="0">
              <a:prstClr val="black">
                <a:alpha val="20000"/>
              </a:prstClr>
            </a:outerShdw>
          </a:effectLst>
        </c:spPr>
      </c:pivotFmt>
      <c:pivotFmt>
        <c:idx val="427"/>
        <c:spPr>
          <a:solidFill>
            <a:schemeClr val="accent1"/>
          </a:solidFill>
          <a:ln>
            <a:noFill/>
          </a:ln>
          <a:effectLst>
            <a:outerShdw blurRad="254000" sx="102000" sy="102000" algn="ctr" rotWithShape="0">
              <a:prstClr val="black">
                <a:alpha val="20000"/>
              </a:prstClr>
            </a:outerShdw>
          </a:effectLst>
        </c:spPr>
      </c:pivotFmt>
      <c:pivotFmt>
        <c:idx val="428"/>
        <c:spPr>
          <a:solidFill>
            <a:schemeClr val="accent1"/>
          </a:solidFill>
          <a:ln>
            <a:noFill/>
          </a:ln>
          <a:effectLst>
            <a:outerShdw blurRad="254000" sx="102000" sy="102000" algn="ctr" rotWithShape="0">
              <a:prstClr val="black">
                <a:alpha val="20000"/>
              </a:prstClr>
            </a:outerShdw>
          </a:effectLst>
        </c:spPr>
      </c:pivotFmt>
      <c:pivotFmt>
        <c:idx val="429"/>
        <c:spPr>
          <a:solidFill>
            <a:schemeClr val="accent1"/>
          </a:solidFill>
          <a:ln>
            <a:noFill/>
          </a:ln>
          <a:effectLst>
            <a:outerShdw blurRad="254000" sx="102000" sy="102000" algn="ctr" rotWithShape="0">
              <a:prstClr val="black">
                <a:alpha val="20000"/>
              </a:prstClr>
            </a:outerShdw>
          </a:effectLst>
        </c:spPr>
      </c:pivotFmt>
      <c:pivotFmt>
        <c:idx val="430"/>
        <c:spPr>
          <a:solidFill>
            <a:schemeClr val="accent1"/>
          </a:solidFill>
          <a:ln>
            <a:noFill/>
          </a:ln>
          <a:effectLst>
            <a:outerShdw blurRad="254000" sx="102000" sy="102000" algn="ctr" rotWithShape="0">
              <a:prstClr val="black">
                <a:alpha val="20000"/>
              </a:prstClr>
            </a:outerShdw>
          </a:effectLst>
        </c:spPr>
      </c:pivotFmt>
      <c:pivotFmt>
        <c:idx val="431"/>
        <c:spPr>
          <a:solidFill>
            <a:schemeClr val="accent1"/>
          </a:solidFill>
          <a:ln>
            <a:noFill/>
          </a:ln>
          <a:effectLst>
            <a:outerShdw blurRad="254000" sx="102000" sy="102000" algn="ctr" rotWithShape="0">
              <a:prstClr val="black">
                <a:alpha val="20000"/>
              </a:prstClr>
            </a:outerShdw>
          </a:effectLst>
        </c:spPr>
      </c:pivotFmt>
      <c:pivotFmt>
        <c:idx val="432"/>
        <c:spPr>
          <a:solidFill>
            <a:schemeClr val="accent1"/>
          </a:solidFill>
          <a:ln>
            <a:noFill/>
          </a:ln>
          <a:effectLst>
            <a:outerShdw blurRad="254000" sx="102000" sy="102000" algn="ctr" rotWithShape="0">
              <a:prstClr val="black">
                <a:alpha val="20000"/>
              </a:prstClr>
            </a:outerShdw>
          </a:effectLst>
        </c:spPr>
      </c:pivotFmt>
      <c:pivotFmt>
        <c:idx val="433"/>
        <c:spPr>
          <a:solidFill>
            <a:schemeClr val="accent1"/>
          </a:solidFill>
          <a:ln>
            <a:noFill/>
          </a:ln>
          <a:effectLst>
            <a:outerShdw blurRad="254000" sx="102000" sy="102000" algn="ctr" rotWithShape="0">
              <a:prstClr val="black">
                <a:alpha val="20000"/>
              </a:prstClr>
            </a:outerShdw>
          </a:effectLst>
        </c:spPr>
      </c:pivotFmt>
      <c:pivotFmt>
        <c:idx val="434"/>
        <c:spPr>
          <a:solidFill>
            <a:schemeClr val="accent1"/>
          </a:solidFill>
          <a:ln>
            <a:noFill/>
          </a:ln>
          <a:effectLst>
            <a:outerShdw blurRad="254000" sx="102000" sy="102000" algn="ctr" rotWithShape="0">
              <a:prstClr val="black">
                <a:alpha val="20000"/>
              </a:prstClr>
            </a:outerShdw>
          </a:effectLst>
        </c:spPr>
      </c:pivotFmt>
      <c:pivotFmt>
        <c:idx val="435"/>
        <c:spPr>
          <a:solidFill>
            <a:schemeClr val="accent1"/>
          </a:solidFill>
          <a:ln>
            <a:noFill/>
          </a:ln>
          <a:effectLst>
            <a:outerShdw blurRad="254000" sx="102000" sy="102000" algn="ctr" rotWithShape="0">
              <a:prstClr val="black">
                <a:alpha val="20000"/>
              </a:prstClr>
            </a:outerShdw>
          </a:effectLst>
        </c:spPr>
      </c:pivotFmt>
      <c:pivotFmt>
        <c:idx val="436"/>
        <c:spPr>
          <a:solidFill>
            <a:schemeClr val="accent1"/>
          </a:solidFill>
          <a:ln>
            <a:noFill/>
          </a:ln>
          <a:effectLst>
            <a:outerShdw blurRad="254000" sx="102000" sy="102000" algn="ctr" rotWithShape="0">
              <a:prstClr val="black">
                <a:alpha val="20000"/>
              </a:prstClr>
            </a:outerShdw>
          </a:effectLst>
        </c:spPr>
      </c:pivotFmt>
      <c:pivotFmt>
        <c:idx val="437"/>
        <c:spPr>
          <a:solidFill>
            <a:schemeClr val="accent1"/>
          </a:solidFill>
          <a:ln>
            <a:noFill/>
          </a:ln>
          <a:effectLst>
            <a:outerShdw blurRad="254000" sx="102000" sy="102000" algn="ctr" rotWithShape="0">
              <a:prstClr val="black">
                <a:alpha val="20000"/>
              </a:prstClr>
            </a:outerShdw>
          </a:effectLst>
        </c:spPr>
      </c:pivotFmt>
      <c:pivotFmt>
        <c:idx val="438"/>
        <c:spPr>
          <a:solidFill>
            <a:schemeClr val="accent1"/>
          </a:solidFill>
          <a:ln>
            <a:noFill/>
          </a:ln>
          <a:effectLst>
            <a:outerShdw blurRad="254000" sx="102000" sy="102000" algn="ctr" rotWithShape="0">
              <a:prstClr val="black">
                <a:alpha val="20000"/>
              </a:prstClr>
            </a:outerShdw>
          </a:effectLst>
        </c:spPr>
      </c:pivotFmt>
      <c:pivotFmt>
        <c:idx val="439"/>
        <c:spPr>
          <a:solidFill>
            <a:schemeClr val="accent1"/>
          </a:solidFill>
          <a:ln>
            <a:noFill/>
          </a:ln>
          <a:effectLst>
            <a:outerShdw blurRad="254000" sx="102000" sy="102000" algn="ctr" rotWithShape="0">
              <a:prstClr val="black">
                <a:alpha val="20000"/>
              </a:prstClr>
            </a:outerShdw>
          </a:effectLst>
        </c:spPr>
      </c:pivotFmt>
      <c:pivotFmt>
        <c:idx val="440"/>
        <c:spPr>
          <a:solidFill>
            <a:schemeClr val="accent1"/>
          </a:solidFill>
          <a:ln>
            <a:noFill/>
          </a:ln>
          <a:effectLst>
            <a:outerShdw blurRad="254000" sx="102000" sy="102000" algn="ctr" rotWithShape="0">
              <a:prstClr val="black">
                <a:alpha val="20000"/>
              </a:prstClr>
            </a:outerShdw>
          </a:effectLst>
        </c:spPr>
      </c:pivotFmt>
      <c:pivotFmt>
        <c:idx val="441"/>
        <c:spPr>
          <a:solidFill>
            <a:schemeClr val="accent1"/>
          </a:solidFill>
          <a:ln>
            <a:noFill/>
          </a:ln>
          <a:effectLst>
            <a:outerShdw blurRad="254000" sx="102000" sy="102000" algn="ctr" rotWithShape="0">
              <a:prstClr val="black">
                <a:alpha val="20000"/>
              </a:prstClr>
            </a:outerShdw>
          </a:effectLst>
        </c:spPr>
      </c:pivotFmt>
      <c:pivotFmt>
        <c:idx val="442"/>
        <c:spPr>
          <a:solidFill>
            <a:schemeClr val="accent1"/>
          </a:solidFill>
          <a:ln>
            <a:noFill/>
          </a:ln>
          <a:effectLst>
            <a:outerShdw blurRad="254000" sx="102000" sy="102000" algn="ctr" rotWithShape="0">
              <a:prstClr val="black">
                <a:alpha val="20000"/>
              </a:prstClr>
            </a:outerShdw>
          </a:effectLst>
        </c:spPr>
      </c:pivotFmt>
      <c:pivotFmt>
        <c:idx val="443"/>
        <c:spPr>
          <a:solidFill>
            <a:schemeClr val="accent1"/>
          </a:solidFill>
          <a:ln>
            <a:noFill/>
          </a:ln>
          <a:effectLst>
            <a:outerShdw blurRad="254000" sx="102000" sy="102000" algn="ctr" rotWithShape="0">
              <a:prstClr val="black">
                <a:alpha val="20000"/>
              </a:prstClr>
            </a:outerShdw>
          </a:effectLst>
        </c:spPr>
      </c:pivotFmt>
      <c:pivotFmt>
        <c:idx val="444"/>
        <c:spPr>
          <a:solidFill>
            <a:schemeClr val="accent1"/>
          </a:solidFill>
          <a:ln>
            <a:noFill/>
          </a:ln>
          <a:effectLst>
            <a:outerShdw blurRad="254000" sx="102000" sy="102000" algn="ctr" rotWithShape="0">
              <a:prstClr val="black">
                <a:alpha val="20000"/>
              </a:prstClr>
            </a:outerShdw>
          </a:effectLst>
        </c:spPr>
      </c:pivotFmt>
      <c:pivotFmt>
        <c:idx val="445"/>
        <c:spPr>
          <a:solidFill>
            <a:schemeClr val="accent1"/>
          </a:solidFill>
          <a:ln>
            <a:noFill/>
          </a:ln>
          <a:effectLst>
            <a:outerShdw blurRad="254000" sx="102000" sy="102000" algn="ctr" rotWithShape="0">
              <a:prstClr val="black">
                <a:alpha val="20000"/>
              </a:prstClr>
            </a:outerShdw>
          </a:effectLst>
        </c:spPr>
      </c:pivotFmt>
      <c:pivotFmt>
        <c:idx val="446"/>
        <c:spPr>
          <a:solidFill>
            <a:schemeClr val="accent1"/>
          </a:solidFill>
          <a:ln>
            <a:noFill/>
          </a:ln>
          <a:effectLst>
            <a:outerShdw blurRad="254000" sx="102000" sy="102000" algn="ctr" rotWithShape="0">
              <a:prstClr val="black">
                <a:alpha val="20000"/>
              </a:prstClr>
            </a:outerShdw>
          </a:effectLst>
        </c:spPr>
      </c:pivotFmt>
      <c:pivotFmt>
        <c:idx val="447"/>
        <c:spPr>
          <a:solidFill>
            <a:schemeClr val="accent1"/>
          </a:solidFill>
          <a:ln>
            <a:noFill/>
          </a:ln>
          <a:effectLst>
            <a:outerShdw blurRad="254000" sx="102000" sy="102000" algn="ctr" rotWithShape="0">
              <a:prstClr val="black">
                <a:alpha val="20000"/>
              </a:prstClr>
            </a:outerShdw>
          </a:effectLst>
        </c:spPr>
      </c:pivotFmt>
      <c:pivotFmt>
        <c:idx val="448"/>
        <c:spPr>
          <a:solidFill>
            <a:schemeClr val="accent1"/>
          </a:solidFill>
          <a:ln>
            <a:noFill/>
          </a:ln>
          <a:effectLst>
            <a:outerShdw blurRad="254000" sx="102000" sy="102000" algn="ctr" rotWithShape="0">
              <a:prstClr val="black">
                <a:alpha val="20000"/>
              </a:prstClr>
            </a:outerShdw>
          </a:effectLst>
        </c:spPr>
      </c:pivotFmt>
      <c:pivotFmt>
        <c:idx val="449"/>
        <c:spPr>
          <a:solidFill>
            <a:schemeClr val="accent1"/>
          </a:solidFill>
          <a:ln>
            <a:noFill/>
          </a:ln>
          <a:effectLst>
            <a:outerShdw blurRad="254000" sx="102000" sy="102000" algn="ctr" rotWithShape="0">
              <a:prstClr val="black">
                <a:alpha val="20000"/>
              </a:prstClr>
            </a:outerShdw>
          </a:effectLst>
        </c:spPr>
      </c:pivotFmt>
      <c:pivotFmt>
        <c:idx val="450"/>
        <c:spPr>
          <a:solidFill>
            <a:schemeClr val="accent1"/>
          </a:solidFill>
          <a:ln>
            <a:noFill/>
          </a:ln>
          <a:effectLst>
            <a:outerShdw blurRad="254000" sx="102000" sy="102000" algn="ctr" rotWithShape="0">
              <a:prstClr val="black">
                <a:alpha val="20000"/>
              </a:prstClr>
            </a:outerShdw>
          </a:effectLst>
        </c:spPr>
      </c:pivotFmt>
      <c:pivotFmt>
        <c:idx val="451"/>
        <c:spPr>
          <a:solidFill>
            <a:schemeClr val="accent1"/>
          </a:solidFill>
          <a:ln>
            <a:noFill/>
          </a:ln>
          <a:effectLst>
            <a:outerShdw blurRad="254000" sx="102000" sy="102000" algn="ctr" rotWithShape="0">
              <a:prstClr val="black">
                <a:alpha val="20000"/>
              </a:prstClr>
            </a:outerShdw>
          </a:effectLst>
        </c:spPr>
      </c:pivotFmt>
      <c:pivotFmt>
        <c:idx val="452"/>
        <c:spPr>
          <a:solidFill>
            <a:schemeClr val="accent1"/>
          </a:solidFill>
          <a:ln>
            <a:noFill/>
          </a:ln>
          <a:effectLst>
            <a:outerShdw blurRad="254000" sx="102000" sy="102000" algn="ctr" rotWithShape="0">
              <a:prstClr val="black">
                <a:alpha val="20000"/>
              </a:prstClr>
            </a:outerShdw>
          </a:effectLst>
        </c:spPr>
      </c:pivotFmt>
      <c:pivotFmt>
        <c:idx val="453"/>
        <c:spPr>
          <a:solidFill>
            <a:schemeClr val="accent1"/>
          </a:solidFill>
          <a:ln>
            <a:noFill/>
          </a:ln>
          <a:effectLst>
            <a:outerShdw blurRad="254000" sx="102000" sy="102000" algn="ctr" rotWithShape="0">
              <a:prstClr val="black">
                <a:alpha val="20000"/>
              </a:prstClr>
            </a:outerShdw>
          </a:effectLst>
        </c:spPr>
      </c:pivotFmt>
      <c:pivotFmt>
        <c:idx val="454"/>
        <c:spPr>
          <a:solidFill>
            <a:schemeClr val="accent1"/>
          </a:solidFill>
          <a:ln>
            <a:noFill/>
          </a:ln>
          <a:effectLst>
            <a:outerShdw blurRad="254000" sx="102000" sy="102000" algn="ctr" rotWithShape="0">
              <a:prstClr val="black">
                <a:alpha val="20000"/>
              </a:prstClr>
            </a:outerShdw>
          </a:effectLst>
        </c:spPr>
      </c:pivotFmt>
      <c:pivotFmt>
        <c:idx val="455"/>
        <c:spPr>
          <a:solidFill>
            <a:schemeClr val="accent1"/>
          </a:solidFill>
          <a:ln>
            <a:noFill/>
          </a:ln>
          <a:effectLst>
            <a:outerShdw blurRad="254000" sx="102000" sy="102000" algn="ctr" rotWithShape="0">
              <a:prstClr val="black">
                <a:alpha val="20000"/>
              </a:prstClr>
            </a:outerShdw>
          </a:effectLst>
        </c:spPr>
      </c:pivotFmt>
      <c:pivotFmt>
        <c:idx val="456"/>
        <c:spPr>
          <a:solidFill>
            <a:schemeClr val="accent1"/>
          </a:solidFill>
          <a:ln>
            <a:noFill/>
          </a:ln>
          <a:effectLst>
            <a:outerShdw blurRad="254000" sx="102000" sy="102000" algn="ctr" rotWithShape="0">
              <a:prstClr val="black">
                <a:alpha val="20000"/>
              </a:prstClr>
            </a:outerShdw>
          </a:effectLst>
        </c:spPr>
      </c:pivotFmt>
      <c:pivotFmt>
        <c:idx val="457"/>
        <c:spPr>
          <a:solidFill>
            <a:schemeClr val="accent1"/>
          </a:solidFill>
          <a:ln>
            <a:noFill/>
          </a:ln>
          <a:effectLst>
            <a:outerShdw blurRad="254000" sx="102000" sy="102000" algn="ctr" rotWithShape="0">
              <a:prstClr val="black">
                <a:alpha val="20000"/>
              </a:prstClr>
            </a:outerShdw>
          </a:effectLst>
        </c:spPr>
      </c:pivotFmt>
      <c:pivotFmt>
        <c:idx val="458"/>
        <c:spPr>
          <a:solidFill>
            <a:schemeClr val="accent1"/>
          </a:solidFill>
          <a:ln>
            <a:noFill/>
          </a:ln>
          <a:effectLst>
            <a:outerShdw blurRad="254000" sx="102000" sy="102000" algn="ctr" rotWithShape="0">
              <a:prstClr val="black">
                <a:alpha val="20000"/>
              </a:prstClr>
            </a:outerShdw>
          </a:effectLst>
        </c:spPr>
      </c:pivotFmt>
      <c:pivotFmt>
        <c:idx val="459"/>
        <c:spPr>
          <a:solidFill>
            <a:schemeClr val="accent1"/>
          </a:solidFill>
          <a:ln>
            <a:noFill/>
          </a:ln>
          <a:effectLst>
            <a:outerShdw blurRad="254000" sx="102000" sy="102000" algn="ctr" rotWithShape="0">
              <a:prstClr val="black">
                <a:alpha val="20000"/>
              </a:prstClr>
            </a:outerShdw>
          </a:effectLst>
        </c:spPr>
      </c:pivotFmt>
      <c:pivotFmt>
        <c:idx val="460"/>
        <c:spPr>
          <a:solidFill>
            <a:schemeClr val="accent1"/>
          </a:solidFill>
          <a:ln>
            <a:noFill/>
          </a:ln>
          <a:effectLst>
            <a:outerShdw blurRad="254000" sx="102000" sy="102000" algn="ctr" rotWithShape="0">
              <a:prstClr val="black">
                <a:alpha val="20000"/>
              </a:prstClr>
            </a:outerShdw>
          </a:effectLst>
        </c:spPr>
      </c:pivotFmt>
      <c:pivotFmt>
        <c:idx val="461"/>
        <c:spPr>
          <a:solidFill>
            <a:schemeClr val="accent1"/>
          </a:solidFill>
          <a:ln>
            <a:noFill/>
          </a:ln>
          <a:effectLst>
            <a:outerShdw blurRad="254000" sx="102000" sy="102000" algn="ctr" rotWithShape="0">
              <a:prstClr val="black">
                <a:alpha val="20000"/>
              </a:prstClr>
            </a:outerShdw>
          </a:effectLst>
        </c:spPr>
      </c:pivotFmt>
      <c:pivotFmt>
        <c:idx val="462"/>
        <c:spPr>
          <a:solidFill>
            <a:schemeClr val="accent1"/>
          </a:solidFill>
          <a:ln>
            <a:noFill/>
          </a:ln>
          <a:effectLst>
            <a:outerShdw blurRad="254000" sx="102000" sy="102000" algn="ctr" rotWithShape="0">
              <a:prstClr val="black">
                <a:alpha val="20000"/>
              </a:prstClr>
            </a:outerShdw>
          </a:effectLst>
        </c:spPr>
      </c:pivotFmt>
      <c:pivotFmt>
        <c:idx val="463"/>
        <c:spPr>
          <a:solidFill>
            <a:schemeClr val="accent1"/>
          </a:solidFill>
          <a:ln>
            <a:noFill/>
          </a:ln>
          <a:effectLst>
            <a:outerShdw blurRad="254000" sx="102000" sy="102000" algn="ctr" rotWithShape="0">
              <a:prstClr val="black">
                <a:alpha val="20000"/>
              </a:prstClr>
            </a:outerShdw>
          </a:effectLst>
        </c:spPr>
      </c:pivotFmt>
      <c:pivotFmt>
        <c:idx val="464"/>
        <c:spPr>
          <a:solidFill>
            <a:schemeClr val="accent1"/>
          </a:solidFill>
          <a:ln>
            <a:noFill/>
          </a:ln>
          <a:effectLst>
            <a:outerShdw blurRad="254000" sx="102000" sy="102000" algn="ctr" rotWithShape="0">
              <a:prstClr val="black">
                <a:alpha val="20000"/>
              </a:prstClr>
            </a:outerShdw>
          </a:effectLst>
        </c:spPr>
      </c:pivotFmt>
      <c:pivotFmt>
        <c:idx val="465"/>
        <c:spPr>
          <a:solidFill>
            <a:schemeClr val="accent1"/>
          </a:solidFill>
          <a:ln>
            <a:noFill/>
          </a:ln>
          <a:effectLst>
            <a:outerShdw blurRad="254000" sx="102000" sy="102000" algn="ctr" rotWithShape="0">
              <a:prstClr val="black">
                <a:alpha val="20000"/>
              </a:prstClr>
            </a:outerShdw>
          </a:effectLst>
        </c:spPr>
      </c:pivotFmt>
      <c:pivotFmt>
        <c:idx val="466"/>
        <c:spPr>
          <a:solidFill>
            <a:schemeClr val="accent1"/>
          </a:solidFill>
          <a:ln>
            <a:noFill/>
          </a:ln>
          <a:effectLst>
            <a:outerShdw blurRad="254000" sx="102000" sy="102000" algn="ctr" rotWithShape="0">
              <a:prstClr val="black">
                <a:alpha val="20000"/>
              </a:prstClr>
            </a:outerShdw>
          </a:effectLst>
        </c:spPr>
      </c:pivotFmt>
      <c:pivotFmt>
        <c:idx val="467"/>
        <c:spPr>
          <a:solidFill>
            <a:schemeClr val="accent1"/>
          </a:solidFill>
          <a:ln>
            <a:noFill/>
          </a:ln>
          <a:effectLst>
            <a:outerShdw blurRad="254000" sx="102000" sy="102000" algn="ctr" rotWithShape="0">
              <a:prstClr val="black">
                <a:alpha val="20000"/>
              </a:prstClr>
            </a:outerShdw>
          </a:effectLst>
        </c:spPr>
      </c:pivotFmt>
      <c:pivotFmt>
        <c:idx val="468"/>
        <c:spPr>
          <a:solidFill>
            <a:schemeClr val="accent1"/>
          </a:solidFill>
          <a:ln>
            <a:noFill/>
          </a:ln>
          <a:effectLst>
            <a:outerShdw blurRad="254000" sx="102000" sy="102000" algn="ctr" rotWithShape="0">
              <a:prstClr val="black">
                <a:alpha val="20000"/>
              </a:prstClr>
            </a:outerShdw>
          </a:effectLst>
        </c:spPr>
      </c:pivotFmt>
      <c:pivotFmt>
        <c:idx val="469"/>
        <c:spPr>
          <a:solidFill>
            <a:schemeClr val="accent1"/>
          </a:solidFill>
          <a:ln>
            <a:noFill/>
          </a:ln>
          <a:effectLst>
            <a:outerShdw blurRad="254000" sx="102000" sy="102000" algn="ctr" rotWithShape="0">
              <a:prstClr val="black">
                <a:alpha val="20000"/>
              </a:prstClr>
            </a:outerShdw>
          </a:effectLst>
        </c:spPr>
      </c:pivotFmt>
      <c:pivotFmt>
        <c:idx val="470"/>
        <c:spPr>
          <a:solidFill>
            <a:schemeClr val="accent1"/>
          </a:solidFill>
          <a:ln>
            <a:noFill/>
          </a:ln>
          <a:effectLst>
            <a:outerShdw blurRad="254000" sx="102000" sy="102000" algn="ctr" rotWithShape="0">
              <a:prstClr val="black">
                <a:alpha val="20000"/>
              </a:prstClr>
            </a:outerShdw>
          </a:effectLst>
        </c:spPr>
      </c:pivotFmt>
      <c:pivotFmt>
        <c:idx val="471"/>
        <c:spPr>
          <a:solidFill>
            <a:schemeClr val="accent1"/>
          </a:solidFill>
          <a:ln>
            <a:noFill/>
          </a:ln>
          <a:effectLst>
            <a:outerShdw blurRad="254000" sx="102000" sy="102000" algn="ctr" rotWithShape="0">
              <a:prstClr val="black">
                <a:alpha val="20000"/>
              </a:prstClr>
            </a:outerShdw>
          </a:effectLst>
        </c:spPr>
      </c:pivotFmt>
      <c:pivotFmt>
        <c:idx val="472"/>
        <c:spPr>
          <a:solidFill>
            <a:schemeClr val="accent1"/>
          </a:solidFill>
          <a:ln>
            <a:noFill/>
          </a:ln>
          <a:effectLst>
            <a:outerShdw blurRad="254000" sx="102000" sy="102000" algn="ctr" rotWithShape="0">
              <a:prstClr val="black">
                <a:alpha val="20000"/>
              </a:prstClr>
            </a:outerShdw>
          </a:effectLst>
        </c:spPr>
      </c:pivotFmt>
      <c:pivotFmt>
        <c:idx val="473"/>
        <c:spPr>
          <a:solidFill>
            <a:schemeClr val="accent1"/>
          </a:solidFill>
          <a:ln>
            <a:noFill/>
          </a:ln>
          <a:effectLst>
            <a:outerShdw blurRad="254000" sx="102000" sy="102000" algn="ctr" rotWithShape="0">
              <a:prstClr val="black">
                <a:alpha val="20000"/>
              </a:prstClr>
            </a:outerShdw>
          </a:effectLst>
        </c:spPr>
      </c:pivotFmt>
      <c:pivotFmt>
        <c:idx val="474"/>
        <c:spPr>
          <a:solidFill>
            <a:schemeClr val="accent1"/>
          </a:solidFill>
          <a:ln>
            <a:noFill/>
          </a:ln>
          <a:effectLst>
            <a:outerShdw blurRad="254000" sx="102000" sy="102000" algn="ctr" rotWithShape="0">
              <a:prstClr val="black">
                <a:alpha val="20000"/>
              </a:prstClr>
            </a:outerShdw>
          </a:effectLst>
        </c:spPr>
      </c:pivotFmt>
      <c:pivotFmt>
        <c:idx val="475"/>
        <c:spPr>
          <a:solidFill>
            <a:schemeClr val="accent1"/>
          </a:solidFill>
          <a:ln>
            <a:noFill/>
          </a:ln>
          <a:effectLst>
            <a:outerShdw blurRad="254000" sx="102000" sy="102000" algn="ctr" rotWithShape="0">
              <a:prstClr val="black">
                <a:alpha val="20000"/>
              </a:prstClr>
            </a:outerShdw>
          </a:effectLst>
        </c:spPr>
      </c:pivotFmt>
      <c:pivotFmt>
        <c:idx val="476"/>
        <c:spPr>
          <a:solidFill>
            <a:schemeClr val="accent1"/>
          </a:solidFill>
          <a:ln>
            <a:noFill/>
          </a:ln>
          <a:effectLst>
            <a:outerShdw blurRad="254000" sx="102000" sy="102000" algn="ctr" rotWithShape="0">
              <a:prstClr val="black">
                <a:alpha val="20000"/>
              </a:prstClr>
            </a:outerShdw>
          </a:effectLst>
        </c:spPr>
      </c:pivotFmt>
      <c:pivotFmt>
        <c:idx val="477"/>
        <c:spPr>
          <a:solidFill>
            <a:schemeClr val="accent1"/>
          </a:solidFill>
          <a:ln>
            <a:noFill/>
          </a:ln>
          <a:effectLst>
            <a:outerShdw blurRad="254000" sx="102000" sy="102000" algn="ctr" rotWithShape="0">
              <a:prstClr val="black">
                <a:alpha val="20000"/>
              </a:prstClr>
            </a:outerShdw>
          </a:effectLst>
        </c:spPr>
      </c:pivotFmt>
      <c:pivotFmt>
        <c:idx val="478"/>
        <c:spPr>
          <a:solidFill>
            <a:schemeClr val="accent1"/>
          </a:solidFill>
          <a:ln>
            <a:noFill/>
          </a:ln>
          <a:effectLst>
            <a:outerShdw blurRad="254000" sx="102000" sy="102000" algn="ctr" rotWithShape="0">
              <a:prstClr val="black">
                <a:alpha val="20000"/>
              </a:prstClr>
            </a:outerShdw>
          </a:effectLst>
        </c:spPr>
      </c:pivotFmt>
      <c:pivotFmt>
        <c:idx val="479"/>
        <c:spPr>
          <a:solidFill>
            <a:schemeClr val="accent1"/>
          </a:solidFill>
          <a:ln>
            <a:noFill/>
          </a:ln>
          <a:effectLst>
            <a:outerShdw blurRad="254000" sx="102000" sy="102000" algn="ctr" rotWithShape="0">
              <a:prstClr val="black">
                <a:alpha val="20000"/>
              </a:prstClr>
            </a:outerShdw>
          </a:effectLst>
        </c:spPr>
      </c:pivotFmt>
      <c:pivotFmt>
        <c:idx val="480"/>
        <c:spPr>
          <a:solidFill>
            <a:schemeClr val="accent1"/>
          </a:solidFill>
          <a:ln>
            <a:noFill/>
          </a:ln>
          <a:effectLst>
            <a:outerShdw blurRad="254000" sx="102000" sy="102000" algn="ctr" rotWithShape="0">
              <a:prstClr val="black">
                <a:alpha val="20000"/>
              </a:prstClr>
            </a:outerShdw>
          </a:effectLst>
        </c:spPr>
      </c:pivotFmt>
      <c:pivotFmt>
        <c:idx val="481"/>
        <c:spPr>
          <a:solidFill>
            <a:schemeClr val="accent1"/>
          </a:solidFill>
          <a:ln>
            <a:noFill/>
          </a:ln>
          <a:effectLst>
            <a:outerShdw blurRad="254000" sx="102000" sy="102000" algn="ctr" rotWithShape="0">
              <a:prstClr val="black">
                <a:alpha val="20000"/>
              </a:prstClr>
            </a:outerShdw>
          </a:effectLst>
        </c:spPr>
      </c:pivotFmt>
      <c:pivotFmt>
        <c:idx val="482"/>
        <c:spPr>
          <a:solidFill>
            <a:schemeClr val="accent1"/>
          </a:solidFill>
          <a:ln>
            <a:noFill/>
          </a:ln>
          <a:effectLst>
            <a:outerShdw blurRad="254000" sx="102000" sy="102000" algn="ctr" rotWithShape="0">
              <a:prstClr val="black">
                <a:alpha val="20000"/>
              </a:prstClr>
            </a:outerShdw>
          </a:effectLst>
        </c:spPr>
      </c:pivotFmt>
      <c:pivotFmt>
        <c:idx val="483"/>
        <c:spPr>
          <a:solidFill>
            <a:schemeClr val="accent1"/>
          </a:solidFill>
          <a:ln>
            <a:noFill/>
          </a:ln>
          <a:effectLst>
            <a:outerShdw blurRad="254000" sx="102000" sy="102000" algn="ctr" rotWithShape="0">
              <a:prstClr val="black">
                <a:alpha val="20000"/>
              </a:prstClr>
            </a:outerShdw>
          </a:effectLst>
        </c:spPr>
      </c:pivotFmt>
      <c:pivotFmt>
        <c:idx val="484"/>
        <c:spPr>
          <a:solidFill>
            <a:schemeClr val="accent1"/>
          </a:solidFill>
          <a:ln>
            <a:noFill/>
          </a:ln>
          <a:effectLst>
            <a:outerShdw blurRad="254000" sx="102000" sy="102000" algn="ctr" rotWithShape="0">
              <a:prstClr val="black">
                <a:alpha val="20000"/>
              </a:prstClr>
            </a:outerShdw>
          </a:effectLst>
        </c:spPr>
      </c:pivotFmt>
      <c:pivotFmt>
        <c:idx val="485"/>
        <c:spPr>
          <a:solidFill>
            <a:schemeClr val="accent1"/>
          </a:solidFill>
          <a:ln>
            <a:noFill/>
          </a:ln>
          <a:effectLst>
            <a:outerShdw blurRad="254000" sx="102000" sy="102000" algn="ctr" rotWithShape="0">
              <a:prstClr val="black">
                <a:alpha val="20000"/>
              </a:prstClr>
            </a:outerShdw>
          </a:effectLst>
        </c:spPr>
      </c:pivotFmt>
      <c:pivotFmt>
        <c:idx val="486"/>
        <c:spPr>
          <a:solidFill>
            <a:schemeClr val="accent1"/>
          </a:solidFill>
          <a:ln>
            <a:noFill/>
          </a:ln>
          <a:effectLst>
            <a:outerShdw blurRad="254000" sx="102000" sy="102000" algn="ctr" rotWithShape="0">
              <a:prstClr val="black">
                <a:alpha val="20000"/>
              </a:prstClr>
            </a:outerShdw>
          </a:effectLst>
        </c:spPr>
      </c:pivotFmt>
      <c:pivotFmt>
        <c:idx val="487"/>
        <c:spPr>
          <a:solidFill>
            <a:schemeClr val="accent1"/>
          </a:solidFill>
          <a:ln>
            <a:noFill/>
          </a:ln>
          <a:effectLst>
            <a:outerShdw blurRad="254000" sx="102000" sy="102000" algn="ctr" rotWithShape="0">
              <a:prstClr val="black">
                <a:alpha val="20000"/>
              </a:prstClr>
            </a:outerShdw>
          </a:effectLst>
        </c:spPr>
      </c:pivotFmt>
      <c:pivotFmt>
        <c:idx val="488"/>
        <c:spPr>
          <a:solidFill>
            <a:schemeClr val="accent1"/>
          </a:solidFill>
          <a:ln>
            <a:noFill/>
          </a:ln>
          <a:effectLst>
            <a:outerShdw blurRad="254000" sx="102000" sy="102000" algn="ctr" rotWithShape="0">
              <a:prstClr val="black">
                <a:alpha val="20000"/>
              </a:prstClr>
            </a:outerShdw>
          </a:effectLst>
        </c:spPr>
      </c:pivotFmt>
      <c:pivotFmt>
        <c:idx val="489"/>
        <c:spPr>
          <a:solidFill>
            <a:schemeClr val="accent1"/>
          </a:solidFill>
          <a:ln>
            <a:noFill/>
          </a:ln>
          <a:effectLst>
            <a:outerShdw blurRad="254000" sx="102000" sy="102000" algn="ctr" rotWithShape="0">
              <a:prstClr val="black">
                <a:alpha val="20000"/>
              </a:prstClr>
            </a:outerShdw>
          </a:effectLst>
        </c:spPr>
      </c:pivotFmt>
      <c:pivotFmt>
        <c:idx val="490"/>
        <c:spPr>
          <a:solidFill>
            <a:schemeClr val="accent1"/>
          </a:solidFill>
          <a:ln>
            <a:noFill/>
          </a:ln>
          <a:effectLst>
            <a:outerShdw blurRad="254000" sx="102000" sy="102000" algn="ctr" rotWithShape="0">
              <a:prstClr val="black">
                <a:alpha val="20000"/>
              </a:prstClr>
            </a:outerShdw>
          </a:effectLst>
        </c:spPr>
      </c:pivotFmt>
      <c:pivotFmt>
        <c:idx val="491"/>
        <c:spPr>
          <a:solidFill>
            <a:schemeClr val="accent1"/>
          </a:solidFill>
          <a:ln>
            <a:noFill/>
          </a:ln>
          <a:effectLst>
            <a:outerShdw blurRad="254000" sx="102000" sy="102000" algn="ctr" rotWithShape="0">
              <a:prstClr val="black">
                <a:alpha val="20000"/>
              </a:prstClr>
            </a:outerShdw>
          </a:effectLst>
        </c:spPr>
      </c:pivotFmt>
      <c:pivotFmt>
        <c:idx val="492"/>
        <c:spPr>
          <a:solidFill>
            <a:schemeClr val="accent1"/>
          </a:solidFill>
          <a:ln>
            <a:noFill/>
          </a:ln>
          <a:effectLst>
            <a:outerShdw blurRad="254000" sx="102000" sy="102000" algn="ctr" rotWithShape="0">
              <a:prstClr val="black">
                <a:alpha val="20000"/>
              </a:prstClr>
            </a:outerShdw>
          </a:effectLst>
        </c:spPr>
      </c:pivotFmt>
      <c:pivotFmt>
        <c:idx val="493"/>
        <c:spPr>
          <a:solidFill>
            <a:schemeClr val="accent1"/>
          </a:solidFill>
          <a:ln>
            <a:noFill/>
          </a:ln>
          <a:effectLst>
            <a:outerShdw blurRad="254000" sx="102000" sy="102000" algn="ctr" rotWithShape="0">
              <a:prstClr val="black">
                <a:alpha val="20000"/>
              </a:prstClr>
            </a:outerShdw>
          </a:effectLst>
        </c:spPr>
      </c:pivotFmt>
      <c:pivotFmt>
        <c:idx val="494"/>
        <c:spPr>
          <a:solidFill>
            <a:schemeClr val="accent1"/>
          </a:solidFill>
          <a:ln>
            <a:noFill/>
          </a:ln>
          <a:effectLst>
            <a:outerShdw blurRad="254000" sx="102000" sy="102000" algn="ctr" rotWithShape="0">
              <a:prstClr val="black">
                <a:alpha val="20000"/>
              </a:prstClr>
            </a:outerShdw>
          </a:effectLst>
        </c:spPr>
      </c:pivotFmt>
      <c:pivotFmt>
        <c:idx val="495"/>
        <c:spPr>
          <a:solidFill>
            <a:schemeClr val="accent1"/>
          </a:solidFill>
          <a:ln>
            <a:noFill/>
          </a:ln>
          <a:effectLst>
            <a:outerShdw blurRad="254000" sx="102000" sy="102000" algn="ctr" rotWithShape="0">
              <a:prstClr val="black">
                <a:alpha val="20000"/>
              </a:prstClr>
            </a:outerShdw>
          </a:effectLst>
        </c:spPr>
      </c:pivotFmt>
      <c:pivotFmt>
        <c:idx val="496"/>
        <c:spPr>
          <a:solidFill>
            <a:schemeClr val="accent1"/>
          </a:solidFill>
          <a:ln>
            <a:noFill/>
          </a:ln>
          <a:effectLst>
            <a:outerShdw blurRad="254000" sx="102000" sy="102000" algn="ctr" rotWithShape="0">
              <a:prstClr val="black">
                <a:alpha val="20000"/>
              </a:prstClr>
            </a:outerShdw>
          </a:effectLst>
        </c:spPr>
      </c:pivotFmt>
      <c:pivotFmt>
        <c:idx val="497"/>
        <c:spPr>
          <a:solidFill>
            <a:schemeClr val="accent1"/>
          </a:solidFill>
          <a:ln>
            <a:noFill/>
          </a:ln>
          <a:effectLst>
            <a:outerShdw blurRad="254000" sx="102000" sy="102000" algn="ctr" rotWithShape="0">
              <a:prstClr val="black">
                <a:alpha val="20000"/>
              </a:prstClr>
            </a:outerShdw>
          </a:effectLst>
        </c:spPr>
      </c:pivotFmt>
      <c:pivotFmt>
        <c:idx val="498"/>
        <c:spPr>
          <a:solidFill>
            <a:schemeClr val="accent1"/>
          </a:solidFill>
          <a:ln>
            <a:noFill/>
          </a:ln>
          <a:effectLst>
            <a:outerShdw blurRad="254000" sx="102000" sy="102000" algn="ctr" rotWithShape="0">
              <a:prstClr val="black">
                <a:alpha val="20000"/>
              </a:prstClr>
            </a:outerShdw>
          </a:effectLst>
        </c:spPr>
      </c:pivotFmt>
      <c:pivotFmt>
        <c:idx val="499"/>
        <c:spPr>
          <a:solidFill>
            <a:schemeClr val="accent1"/>
          </a:solidFill>
          <a:ln>
            <a:noFill/>
          </a:ln>
          <a:effectLst>
            <a:outerShdw blurRad="254000" sx="102000" sy="102000" algn="ctr" rotWithShape="0">
              <a:prstClr val="black">
                <a:alpha val="20000"/>
              </a:prstClr>
            </a:outerShdw>
          </a:effectLst>
        </c:spPr>
      </c:pivotFmt>
      <c:pivotFmt>
        <c:idx val="500"/>
        <c:spPr>
          <a:solidFill>
            <a:schemeClr val="accent1"/>
          </a:solidFill>
          <a:ln>
            <a:noFill/>
          </a:ln>
          <a:effectLst>
            <a:outerShdw blurRad="254000" sx="102000" sy="102000" algn="ctr" rotWithShape="0">
              <a:prstClr val="black">
                <a:alpha val="20000"/>
              </a:prstClr>
            </a:outerShdw>
          </a:effectLst>
        </c:spPr>
      </c:pivotFmt>
      <c:pivotFmt>
        <c:idx val="501"/>
        <c:spPr>
          <a:solidFill>
            <a:schemeClr val="accent1"/>
          </a:solidFill>
          <a:ln>
            <a:noFill/>
          </a:ln>
          <a:effectLst>
            <a:outerShdw blurRad="254000" sx="102000" sy="102000" algn="ctr" rotWithShape="0">
              <a:prstClr val="black">
                <a:alpha val="20000"/>
              </a:prstClr>
            </a:outerShdw>
          </a:effectLst>
        </c:spPr>
      </c:pivotFmt>
      <c:pivotFmt>
        <c:idx val="502"/>
        <c:spPr>
          <a:solidFill>
            <a:schemeClr val="accent1"/>
          </a:solidFill>
          <a:ln>
            <a:noFill/>
          </a:ln>
          <a:effectLst>
            <a:outerShdw blurRad="254000" sx="102000" sy="102000" algn="ctr" rotWithShape="0">
              <a:prstClr val="black">
                <a:alpha val="20000"/>
              </a:prstClr>
            </a:outerShdw>
          </a:effectLst>
        </c:spPr>
      </c:pivotFmt>
      <c:pivotFmt>
        <c:idx val="503"/>
        <c:spPr>
          <a:solidFill>
            <a:schemeClr val="accent1"/>
          </a:solidFill>
          <a:ln>
            <a:noFill/>
          </a:ln>
          <a:effectLst>
            <a:outerShdw blurRad="254000" sx="102000" sy="102000" algn="ctr" rotWithShape="0">
              <a:prstClr val="black">
                <a:alpha val="20000"/>
              </a:prstClr>
            </a:outerShdw>
          </a:effectLst>
        </c:spPr>
      </c:pivotFmt>
      <c:pivotFmt>
        <c:idx val="504"/>
        <c:spPr>
          <a:solidFill>
            <a:schemeClr val="accent1"/>
          </a:solidFill>
          <a:ln>
            <a:noFill/>
          </a:ln>
          <a:effectLst>
            <a:outerShdw blurRad="254000" sx="102000" sy="102000" algn="ctr" rotWithShape="0">
              <a:prstClr val="black">
                <a:alpha val="20000"/>
              </a:prstClr>
            </a:outerShdw>
          </a:effectLst>
        </c:spPr>
      </c:pivotFmt>
      <c:pivotFmt>
        <c:idx val="505"/>
        <c:spPr>
          <a:solidFill>
            <a:schemeClr val="accent1"/>
          </a:solidFill>
          <a:ln>
            <a:noFill/>
          </a:ln>
          <a:effectLst>
            <a:outerShdw blurRad="254000" sx="102000" sy="102000" algn="ctr" rotWithShape="0">
              <a:prstClr val="black">
                <a:alpha val="20000"/>
              </a:prstClr>
            </a:outerShdw>
          </a:effectLst>
        </c:spPr>
      </c:pivotFmt>
      <c:pivotFmt>
        <c:idx val="506"/>
        <c:spPr>
          <a:solidFill>
            <a:schemeClr val="accent1"/>
          </a:solidFill>
          <a:ln>
            <a:noFill/>
          </a:ln>
          <a:effectLst>
            <a:outerShdw blurRad="254000" sx="102000" sy="102000" algn="ctr" rotWithShape="0">
              <a:prstClr val="black">
                <a:alpha val="20000"/>
              </a:prstClr>
            </a:outerShdw>
          </a:effectLst>
        </c:spPr>
      </c:pivotFmt>
      <c:pivotFmt>
        <c:idx val="507"/>
        <c:spPr>
          <a:solidFill>
            <a:schemeClr val="accent1"/>
          </a:solidFill>
          <a:ln>
            <a:noFill/>
          </a:ln>
          <a:effectLst>
            <a:outerShdw blurRad="254000" sx="102000" sy="102000" algn="ctr" rotWithShape="0">
              <a:prstClr val="black">
                <a:alpha val="20000"/>
              </a:prstClr>
            </a:outerShdw>
          </a:effectLst>
        </c:spPr>
      </c:pivotFmt>
      <c:pivotFmt>
        <c:idx val="508"/>
        <c:spPr>
          <a:solidFill>
            <a:schemeClr val="accent1"/>
          </a:solidFill>
          <a:ln>
            <a:noFill/>
          </a:ln>
          <a:effectLst>
            <a:outerShdw blurRad="254000" sx="102000" sy="102000" algn="ctr" rotWithShape="0">
              <a:prstClr val="black">
                <a:alpha val="20000"/>
              </a:prstClr>
            </a:outerShdw>
          </a:effectLst>
        </c:spPr>
      </c:pivotFmt>
      <c:pivotFmt>
        <c:idx val="509"/>
        <c:spPr>
          <a:solidFill>
            <a:schemeClr val="accent1"/>
          </a:solidFill>
          <a:ln>
            <a:noFill/>
          </a:ln>
          <a:effectLst>
            <a:outerShdw blurRad="254000" sx="102000" sy="102000" algn="ctr" rotWithShape="0">
              <a:prstClr val="black">
                <a:alpha val="20000"/>
              </a:prstClr>
            </a:outerShdw>
          </a:effectLst>
        </c:spPr>
      </c:pivotFmt>
      <c:pivotFmt>
        <c:idx val="510"/>
        <c:spPr>
          <a:solidFill>
            <a:schemeClr val="accent1"/>
          </a:solidFill>
          <a:ln>
            <a:noFill/>
          </a:ln>
          <a:effectLst>
            <a:outerShdw blurRad="254000" sx="102000" sy="102000" algn="ctr" rotWithShape="0">
              <a:prstClr val="black">
                <a:alpha val="20000"/>
              </a:prstClr>
            </a:outerShdw>
          </a:effectLst>
        </c:spPr>
      </c:pivotFmt>
      <c:pivotFmt>
        <c:idx val="511"/>
        <c:spPr>
          <a:solidFill>
            <a:schemeClr val="accent1"/>
          </a:solidFill>
          <a:ln>
            <a:noFill/>
          </a:ln>
          <a:effectLst>
            <a:outerShdw blurRad="254000" sx="102000" sy="102000" algn="ctr" rotWithShape="0">
              <a:prstClr val="black">
                <a:alpha val="20000"/>
              </a:prstClr>
            </a:outerShdw>
          </a:effectLst>
        </c:spPr>
      </c:pivotFmt>
      <c:pivotFmt>
        <c:idx val="512"/>
        <c:spPr>
          <a:solidFill>
            <a:schemeClr val="accent1"/>
          </a:solidFill>
          <a:ln>
            <a:noFill/>
          </a:ln>
          <a:effectLst>
            <a:outerShdw blurRad="254000" sx="102000" sy="102000" algn="ctr" rotWithShape="0">
              <a:prstClr val="black">
                <a:alpha val="20000"/>
              </a:prstClr>
            </a:outerShdw>
          </a:effectLst>
        </c:spPr>
      </c:pivotFmt>
      <c:pivotFmt>
        <c:idx val="513"/>
        <c:spPr>
          <a:solidFill>
            <a:schemeClr val="accent1"/>
          </a:solidFill>
          <a:ln>
            <a:noFill/>
          </a:ln>
          <a:effectLst>
            <a:outerShdw blurRad="254000" sx="102000" sy="102000" algn="ctr" rotWithShape="0">
              <a:prstClr val="black">
                <a:alpha val="20000"/>
              </a:prstClr>
            </a:outerShdw>
          </a:effectLst>
        </c:spPr>
      </c:pivotFmt>
      <c:pivotFmt>
        <c:idx val="514"/>
        <c:spPr>
          <a:solidFill>
            <a:schemeClr val="accent1"/>
          </a:solidFill>
          <a:ln>
            <a:noFill/>
          </a:ln>
          <a:effectLst>
            <a:outerShdw blurRad="254000" sx="102000" sy="102000" algn="ctr" rotWithShape="0">
              <a:prstClr val="black">
                <a:alpha val="20000"/>
              </a:prstClr>
            </a:outerShdw>
          </a:effectLst>
        </c:spPr>
      </c:pivotFmt>
      <c:pivotFmt>
        <c:idx val="515"/>
        <c:spPr>
          <a:solidFill>
            <a:schemeClr val="accent1"/>
          </a:solidFill>
          <a:ln>
            <a:noFill/>
          </a:ln>
          <a:effectLst>
            <a:outerShdw blurRad="254000" sx="102000" sy="102000" algn="ctr" rotWithShape="0">
              <a:prstClr val="black">
                <a:alpha val="20000"/>
              </a:prstClr>
            </a:outerShdw>
          </a:effectLst>
        </c:spPr>
      </c:pivotFmt>
      <c:pivotFmt>
        <c:idx val="516"/>
        <c:spPr>
          <a:solidFill>
            <a:schemeClr val="accent1"/>
          </a:solidFill>
          <a:ln>
            <a:noFill/>
          </a:ln>
          <a:effectLst>
            <a:outerShdw blurRad="254000" sx="102000" sy="102000" algn="ctr" rotWithShape="0">
              <a:prstClr val="black">
                <a:alpha val="20000"/>
              </a:prstClr>
            </a:outerShdw>
          </a:effectLst>
        </c:spPr>
      </c:pivotFmt>
      <c:pivotFmt>
        <c:idx val="517"/>
        <c:spPr>
          <a:solidFill>
            <a:schemeClr val="accent1"/>
          </a:solidFill>
          <a:ln>
            <a:noFill/>
          </a:ln>
          <a:effectLst>
            <a:outerShdw blurRad="254000" sx="102000" sy="102000" algn="ctr" rotWithShape="0">
              <a:prstClr val="black">
                <a:alpha val="20000"/>
              </a:prstClr>
            </a:outerShdw>
          </a:effectLst>
        </c:spPr>
      </c:pivotFmt>
      <c:pivotFmt>
        <c:idx val="518"/>
        <c:spPr>
          <a:solidFill>
            <a:schemeClr val="accent1"/>
          </a:solidFill>
          <a:ln>
            <a:noFill/>
          </a:ln>
          <a:effectLst>
            <a:outerShdw blurRad="254000" sx="102000" sy="102000" algn="ctr" rotWithShape="0">
              <a:prstClr val="black">
                <a:alpha val="20000"/>
              </a:prstClr>
            </a:outerShdw>
          </a:effectLst>
        </c:spPr>
      </c:pivotFmt>
      <c:pivotFmt>
        <c:idx val="519"/>
        <c:spPr>
          <a:solidFill>
            <a:schemeClr val="accent1"/>
          </a:solidFill>
          <a:ln>
            <a:noFill/>
          </a:ln>
          <a:effectLst>
            <a:outerShdw blurRad="254000" sx="102000" sy="102000" algn="ctr" rotWithShape="0">
              <a:prstClr val="black">
                <a:alpha val="20000"/>
              </a:prstClr>
            </a:outerShdw>
          </a:effectLst>
        </c:spPr>
      </c:pivotFmt>
      <c:pivotFmt>
        <c:idx val="520"/>
        <c:spPr>
          <a:solidFill>
            <a:schemeClr val="accent1"/>
          </a:solidFill>
          <a:ln>
            <a:noFill/>
          </a:ln>
          <a:effectLst>
            <a:outerShdw blurRad="254000" sx="102000" sy="102000" algn="ctr" rotWithShape="0">
              <a:prstClr val="black">
                <a:alpha val="20000"/>
              </a:prstClr>
            </a:outerShdw>
          </a:effectLst>
        </c:spPr>
      </c:pivotFmt>
      <c:pivotFmt>
        <c:idx val="521"/>
        <c:spPr>
          <a:solidFill>
            <a:schemeClr val="accent1"/>
          </a:solidFill>
          <a:ln>
            <a:noFill/>
          </a:ln>
          <a:effectLst>
            <a:outerShdw blurRad="254000" sx="102000" sy="102000" algn="ctr" rotWithShape="0">
              <a:prstClr val="black">
                <a:alpha val="20000"/>
              </a:prstClr>
            </a:outerShdw>
          </a:effectLst>
        </c:spPr>
      </c:pivotFmt>
      <c:pivotFmt>
        <c:idx val="522"/>
        <c:spPr>
          <a:solidFill>
            <a:schemeClr val="accent1"/>
          </a:solidFill>
          <a:ln>
            <a:noFill/>
          </a:ln>
          <a:effectLst>
            <a:outerShdw blurRad="254000" sx="102000" sy="102000" algn="ctr" rotWithShape="0">
              <a:prstClr val="black">
                <a:alpha val="20000"/>
              </a:prstClr>
            </a:outerShdw>
          </a:effectLst>
        </c:spPr>
      </c:pivotFmt>
      <c:pivotFmt>
        <c:idx val="523"/>
        <c:spPr>
          <a:solidFill>
            <a:schemeClr val="accent1"/>
          </a:solidFill>
          <a:ln>
            <a:noFill/>
          </a:ln>
          <a:effectLst>
            <a:outerShdw blurRad="254000" sx="102000" sy="102000" algn="ctr" rotWithShape="0">
              <a:prstClr val="black">
                <a:alpha val="20000"/>
              </a:prstClr>
            </a:outerShdw>
          </a:effectLst>
        </c:spPr>
      </c:pivotFmt>
      <c:pivotFmt>
        <c:idx val="524"/>
        <c:spPr>
          <a:solidFill>
            <a:schemeClr val="accent1"/>
          </a:solidFill>
          <a:ln>
            <a:noFill/>
          </a:ln>
          <a:effectLst>
            <a:outerShdw blurRad="254000" sx="102000" sy="102000" algn="ctr" rotWithShape="0">
              <a:prstClr val="black">
                <a:alpha val="20000"/>
              </a:prstClr>
            </a:outerShdw>
          </a:effectLst>
        </c:spPr>
      </c:pivotFmt>
      <c:pivotFmt>
        <c:idx val="525"/>
        <c:spPr>
          <a:solidFill>
            <a:schemeClr val="accent1"/>
          </a:solidFill>
          <a:ln>
            <a:noFill/>
          </a:ln>
          <a:effectLst>
            <a:outerShdw blurRad="254000" sx="102000" sy="102000" algn="ctr" rotWithShape="0">
              <a:prstClr val="black">
                <a:alpha val="20000"/>
              </a:prstClr>
            </a:outerShdw>
          </a:effectLst>
        </c:spPr>
      </c:pivotFmt>
      <c:pivotFmt>
        <c:idx val="526"/>
        <c:spPr>
          <a:solidFill>
            <a:schemeClr val="accent1"/>
          </a:solidFill>
          <a:ln>
            <a:noFill/>
          </a:ln>
          <a:effectLst>
            <a:outerShdw blurRad="254000" sx="102000" sy="102000" algn="ctr" rotWithShape="0">
              <a:prstClr val="black">
                <a:alpha val="20000"/>
              </a:prstClr>
            </a:outerShdw>
          </a:effectLst>
        </c:spPr>
      </c:pivotFmt>
      <c:pivotFmt>
        <c:idx val="527"/>
        <c:spPr>
          <a:solidFill>
            <a:schemeClr val="accent1"/>
          </a:solidFill>
          <a:ln>
            <a:noFill/>
          </a:ln>
          <a:effectLst>
            <a:outerShdw blurRad="254000" sx="102000" sy="102000" algn="ctr" rotWithShape="0">
              <a:prstClr val="black">
                <a:alpha val="20000"/>
              </a:prstClr>
            </a:outerShdw>
          </a:effectLst>
        </c:spPr>
      </c:pivotFmt>
      <c:pivotFmt>
        <c:idx val="528"/>
        <c:spPr>
          <a:solidFill>
            <a:schemeClr val="accent1"/>
          </a:solidFill>
          <a:ln>
            <a:noFill/>
          </a:ln>
          <a:effectLst>
            <a:outerShdw blurRad="254000" sx="102000" sy="102000" algn="ctr" rotWithShape="0">
              <a:prstClr val="black">
                <a:alpha val="20000"/>
              </a:prstClr>
            </a:outerShdw>
          </a:effectLst>
        </c:spPr>
      </c:pivotFmt>
      <c:pivotFmt>
        <c:idx val="529"/>
        <c:spPr>
          <a:solidFill>
            <a:schemeClr val="accent1"/>
          </a:solidFill>
          <a:ln>
            <a:noFill/>
          </a:ln>
          <a:effectLst>
            <a:outerShdw blurRad="254000" sx="102000" sy="102000" algn="ctr" rotWithShape="0">
              <a:prstClr val="black">
                <a:alpha val="20000"/>
              </a:prstClr>
            </a:outerShdw>
          </a:effectLst>
        </c:spPr>
      </c:pivotFmt>
      <c:pivotFmt>
        <c:idx val="530"/>
        <c:spPr>
          <a:solidFill>
            <a:schemeClr val="accent1"/>
          </a:solidFill>
          <a:ln>
            <a:noFill/>
          </a:ln>
          <a:effectLst>
            <a:outerShdw blurRad="254000" sx="102000" sy="102000" algn="ctr" rotWithShape="0">
              <a:prstClr val="black">
                <a:alpha val="20000"/>
              </a:prstClr>
            </a:outerShdw>
          </a:effectLst>
        </c:spPr>
      </c:pivotFmt>
      <c:pivotFmt>
        <c:idx val="531"/>
        <c:spPr>
          <a:solidFill>
            <a:schemeClr val="accent1"/>
          </a:solidFill>
          <a:ln>
            <a:noFill/>
          </a:ln>
          <a:effectLst>
            <a:outerShdw blurRad="254000" sx="102000" sy="102000" algn="ctr" rotWithShape="0">
              <a:prstClr val="black">
                <a:alpha val="20000"/>
              </a:prstClr>
            </a:outerShdw>
          </a:effectLst>
        </c:spPr>
      </c:pivotFmt>
      <c:pivotFmt>
        <c:idx val="532"/>
        <c:spPr>
          <a:solidFill>
            <a:schemeClr val="accent1"/>
          </a:solidFill>
          <a:ln>
            <a:noFill/>
          </a:ln>
          <a:effectLst>
            <a:outerShdw blurRad="254000" sx="102000" sy="102000" algn="ctr" rotWithShape="0">
              <a:prstClr val="black">
                <a:alpha val="20000"/>
              </a:prstClr>
            </a:outerShdw>
          </a:effectLst>
        </c:spPr>
      </c:pivotFmt>
      <c:pivotFmt>
        <c:idx val="533"/>
        <c:spPr>
          <a:solidFill>
            <a:schemeClr val="accent1"/>
          </a:solidFill>
          <a:ln>
            <a:noFill/>
          </a:ln>
          <a:effectLst>
            <a:outerShdw blurRad="254000" sx="102000" sy="102000" algn="ctr" rotWithShape="0">
              <a:prstClr val="black">
                <a:alpha val="20000"/>
              </a:prstClr>
            </a:outerShdw>
          </a:effectLst>
        </c:spPr>
      </c:pivotFmt>
      <c:pivotFmt>
        <c:idx val="534"/>
        <c:spPr>
          <a:solidFill>
            <a:schemeClr val="accent1"/>
          </a:solidFill>
          <a:ln>
            <a:noFill/>
          </a:ln>
          <a:effectLst>
            <a:outerShdw blurRad="254000" sx="102000" sy="102000" algn="ctr" rotWithShape="0">
              <a:prstClr val="black">
                <a:alpha val="20000"/>
              </a:prstClr>
            </a:outerShdw>
          </a:effectLst>
        </c:spPr>
      </c:pivotFmt>
      <c:pivotFmt>
        <c:idx val="535"/>
        <c:spPr>
          <a:solidFill>
            <a:schemeClr val="accent1"/>
          </a:solidFill>
          <a:ln>
            <a:noFill/>
          </a:ln>
          <a:effectLst>
            <a:outerShdw blurRad="254000" sx="102000" sy="102000" algn="ctr" rotWithShape="0">
              <a:prstClr val="black">
                <a:alpha val="20000"/>
              </a:prstClr>
            </a:outerShdw>
          </a:effectLst>
        </c:spPr>
      </c:pivotFmt>
      <c:pivotFmt>
        <c:idx val="536"/>
        <c:spPr>
          <a:solidFill>
            <a:schemeClr val="accent1"/>
          </a:solidFill>
          <a:ln>
            <a:noFill/>
          </a:ln>
          <a:effectLst>
            <a:outerShdw blurRad="254000" sx="102000" sy="102000" algn="ctr" rotWithShape="0">
              <a:prstClr val="black">
                <a:alpha val="20000"/>
              </a:prstClr>
            </a:outerShdw>
          </a:effectLst>
        </c:spPr>
      </c:pivotFmt>
      <c:pivotFmt>
        <c:idx val="537"/>
        <c:spPr>
          <a:solidFill>
            <a:schemeClr val="accent1"/>
          </a:solidFill>
          <a:ln>
            <a:noFill/>
          </a:ln>
          <a:effectLst>
            <a:outerShdw blurRad="254000" sx="102000" sy="102000" algn="ctr" rotWithShape="0">
              <a:prstClr val="black">
                <a:alpha val="20000"/>
              </a:prstClr>
            </a:outerShdw>
          </a:effectLst>
        </c:spPr>
      </c:pivotFmt>
      <c:pivotFmt>
        <c:idx val="538"/>
        <c:spPr>
          <a:solidFill>
            <a:schemeClr val="accent1"/>
          </a:solidFill>
          <a:ln>
            <a:noFill/>
          </a:ln>
          <a:effectLst>
            <a:outerShdw blurRad="254000" sx="102000" sy="102000" algn="ctr" rotWithShape="0">
              <a:prstClr val="black">
                <a:alpha val="20000"/>
              </a:prstClr>
            </a:outerShdw>
          </a:effectLst>
        </c:spPr>
      </c:pivotFmt>
      <c:pivotFmt>
        <c:idx val="539"/>
        <c:spPr>
          <a:solidFill>
            <a:schemeClr val="accent1"/>
          </a:solidFill>
          <a:ln>
            <a:noFill/>
          </a:ln>
          <a:effectLst>
            <a:outerShdw blurRad="254000" sx="102000" sy="102000" algn="ctr" rotWithShape="0">
              <a:prstClr val="black">
                <a:alpha val="20000"/>
              </a:prstClr>
            </a:outerShdw>
          </a:effectLst>
        </c:spPr>
      </c:pivotFmt>
      <c:pivotFmt>
        <c:idx val="540"/>
        <c:spPr>
          <a:solidFill>
            <a:schemeClr val="accent1"/>
          </a:solidFill>
          <a:ln>
            <a:noFill/>
          </a:ln>
          <a:effectLst>
            <a:outerShdw blurRad="254000" sx="102000" sy="102000" algn="ctr" rotWithShape="0">
              <a:prstClr val="black">
                <a:alpha val="20000"/>
              </a:prstClr>
            </a:outerShdw>
          </a:effectLst>
        </c:spPr>
      </c:pivotFmt>
      <c:pivotFmt>
        <c:idx val="541"/>
        <c:spPr>
          <a:solidFill>
            <a:schemeClr val="accent1"/>
          </a:solidFill>
          <a:ln>
            <a:noFill/>
          </a:ln>
          <a:effectLst>
            <a:outerShdw blurRad="254000" sx="102000" sy="102000" algn="ctr" rotWithShape="0">
              <a:prstClr val="black">
                <a:alpha val="20000"/>
              </a:prstClr>
            </a:outerShdw>
          </a:effectLst>
        </c:spPr>
      </c:pivotFmt>
      <c:pivotFmt>
        <c:idx val="542"/>
        <c:spPr>
          <a:solidFill>
            <a:schemeClr val="accent1"/>
          </a:solidFill>
          <a:ln>
            <a:noFill/>
          </a:ln>
          <a:effectLst>
            <a:outerShdw blurRad="254000" sx="102000" sy="102000" algn="ctr" rotWithShape="0">
              <a:prstClr val="black">
                <a:alpha val="20000"/>
              </a:prstClr>
            </a:outerShdw>
          </a:effectLst>
        </c:spPr>
      </c:pivotFmt>
      <c:pivotFmt>
        <c:idx val="543"/>
        <c:spPr>
          <a:solidFill>
            <a:schemeClr val="accent1"/>
          </a:solidFill>
          <a:ln>
            <a:noFill/>
          </a:ln>
          <a:effectLst>
            <a:outerShdw blurRad="254000" sx="102000" sy="102000" algn="ctr" rotWithShape="0">
              <a:prstClr val="black">
                <a:alpha val="20000"/>
              </a:prstClr>
            </a:outerShdw>
          </a:effectLst>
        </c:spPr>
      </c:pivotFmt>
      <c:pivotFmt>
        <c:idx val="544"/>
        <c:spPr>
          <a:solidFill>
            <a:schemeClr val="accent1"/>
          </a:solidFill>
          <a:ln>
            <a:noFill/>
          </a:ln>
          <a:effectLst>
            <a:outerShdw blurRad="254000" sx="102000" sy="102000" algn="ctr" rotWithShape="0">
              <a:prstClr val="black">
                <a:alpha val="20000"/>
              </a:prstClr>
            </a:outerShdw>
          </a:effectLst>
        </c:spPr>
      </c:pivotFmt>
      <c:pivotFmt>
        <c:idx val="545"/>
        <c:spPr>
          <a:solidFill>
            <a:schemeClr val="accent1"/>
          </a:solidFill>
          <a:ln>
            <a:noFill/>
          </a:ln>
          <a:effectLst>
            <a:outerShdw blurRad="254000" sx="102000" sy="102000" algn="ctr" rotWithShape="0">
              <a:prstClr val="black">
                <a:alpha val="20000"/>
              </a:prstClr>
            </a:outerShdw>
          </a:effectLst>
        </c:spPr>
      </c:pivotFmt>
      <c:pivotFmt>
        <c:idx val="546"/>
        <c:spPr>
          <a:solidFill>
            <a:schemeClr val="accent1"/>
          </a:solidFill>
          <a:ln>
            <a:noFill/>
          </a:ln>
          <a:effectLst>
            <a:outerShdw blurRad="254000" sx="102000" sy="102000" algn="ctr" rotWithShape="0">
              <a:prstClr val="black">
                <a:alpha val="20000"/>
              </a:prstClr>
            </a:outerShdw>
          </a:effectLst>
        </c:spPr>
      </c:pivotFmt>
      <c:pivotFmt>
        <c:idx val="547"/>
        <c:spPr>
          <a:solidFill>
            <a:schemeClr val="accent1"/>
          </a:solidFill>
          <a:ln>
            <a:noFill/>
          </a:ln>
          <a:effectLst>
            <a:outerShdw blurRad="254000" sx="102000" sy="102000" algn="ctr" rotWithShape="0">
              <a:prstClr val="black">
                <a:alpha val="20000"/>
              </a:prstClr>
            </a:outerShdw>
          </a:effectLst>
        </c:spPr>
      </c:pivotFmt>
      <c:pivotFmt>
        <c:idx val="548"/>
        <c:spPr>
          <a:solidFill>
            <a:schemeClr val="accent1"/>
          </a:solidFill>
          <a:ln>
            <a:noFill/>
          </a:ln>
          <a:effectLst>
            <a:outerShdw blurRad="254000" sx="102000" sy="102000" algn="ctr" rotWithShape="0">
              <a:prstClr val="black">
                <a:alpha val="20000"/>
              </a:prstClr>
            </a:outerShdw>
          </a:effectLst>
        </c:spPr>
      </c:pivotFmt>
      <c:pivotFmt>
        <c:idx val="549"/>
        <c:spPr>
          <a:solidFill>
            <a:schemeClr val="accent1"/>
          </a:solidFill>
          <a:ln>
            <a:noFill/>
          </a:ln>
          <a:effectLst>
            <a:outerShdw blurRad="254000" sx="102000" sy="102000" algn="ctr" rotWithShape="0">
              <a:prstClr val="black">
                <a:alpha val="20000"/>
              </a:prstClr>
            </a:outerShdw>
          </a:effectLst>
        </c:spPr>
      </c:pivotFmt>
      <c:pivotFmt>
        <c:idx val="550"/>
        <c:spPr>
          <a:solidFill>
            <a:schemeClr val="accent1"/>
          </a:solidFill>
          <a:ln>
            <a:noFill/>
          </a:ln>
          <a:effectLst>
            <a:outerShdw blurRad="254000" sx="102000" sy="102000" algn="ctr" rotWithShape="0">
              <a:prstClr val="black">
                <a:alpha val="20000"/>
              </a:prstClr>
            </a:outerShdw>
          </a:effectLst>
        </c:spPr>
      </c:pivotFmt>
      <c:pivotFmt>
        <c:idx val="551"/>
        <c:spPr>
          <a:solidFill>
            <a:schemeClr val="accent1"/>
          </a:solidFill>
          <a:ln>
            <a:noFill/>
          </a:ln>
          <a:effectLst>
            <a:outerShdw blurRad="254000" sx="102000" sy="102000" algn="ctr" rotWithShape="0">
              <a:prstClr val="black">
                <a:alpha val="20000"/>
              </a:prstClr>
            </a:outerShdw>
          </a:effectLst>
        </c:spPr>
      </c:pivotFmt>
      <c:pivotFmt>
        <c:idx val="552"/>
        <c:spPr>
          <a:solidFill>
            <a:schemeClr val="accent1"/>
          </a:solidFill>
          <a:ln>
            <a:noFill/>
          </a:ln>
          <a:effectLst>
            <a:outerShdw blurRad="254000" sx="102000" sy="102000" algn="ctr" rotWithShape="0">
              <a:prstClr val="black">
                <a:alpha val="20000"/>
              </a:prstClr>
            </a:outerShdw>
          </a:effectLst>
        </c:spPr>
      </c:pivotFmt>
      <c:pivotFmt>
        <c:idx val="553"/>
        <c:spPr>
          <a:solidFill>
            <a:schemeClr val="accent1"/>
          </a:solidFill>
          <a:ln>
            <a:noFill/>
          </a:ln>
          <a:effectLst>
            <a:outerShdw blurRad="254000" sx="102000" sy="102000" algn="ctr" rotWithShape="0">
              <a:prstClr val="black">
                <a:alpha val="20000"/>
              </a:prstClr>
            </a:outerShdw>
          </a:effectLst>
        </c:spPr>
      </c:pivotFmt>
      <c:pivotFmt>
        <c:idx val="554"/>
        <c:spPr>
          <a:solidFill>
            <a:schemeClr val="accent1"/>
          </a:solidFill>
          <a:ln>
            <a:noFill/>
          </a:ln>
          <a:effectLst>
            <a:outerShdw blurRad="254000" sx="102000" sy="102000" algn="ctr" rotWithShape="0">
              <a:prstClr val="black">
                <a:alpha val="20000"/>
              </a:prstClr>
            </a:outerShdw>
          </a:effectLst>
        </c:spPr>
      </c:pivotFmt>
      <c:pivotFmt>
        <c:idx val="555"/>
        <c:spPr>
          <a:solidFill>
            <a:schemeClr val="accent1"/>
          </a:solidFill>
          <a:ln>
            <a:noFill/>
          </a:ln>
          <a:effectLst>
            <a:outerShdw blurRad="254000" sx="102000" sy="102000" algn="ctr" rotWithShape="0">
              <a:prstClr val="black">
                <a:alpha val="20000"/>
              </a:prstClr>
            </a:outerShdw>
          </a:effectLst>
        </c:spPr>
      </c:pivotFmt>
      <c:pivotFmt>
        <c:idx val="556"/>
        <c:spPr>
          <a:solidFill>
            <a:schemeClr val="accent1"/>
          </a:solidFill>
          <a:ln>
            <a:noFill/>
          </a:ln>
          <a:effectLst>
            <a:outerShdw blurRad="254000" sx="102000" sy="102000" algn="ctr" rotWithShape="0">
              <a:prstClr val="black">
                <a:alpha val="20000"/>
              </a:prstClr>
            </a:outerShdw>
          </a:effectLst>
        </c:spPr>
      </c:pivotFmt>
      <c:pivotFmt>
        <c:idx val="557"/>
        <c:spPr>
          <a:solidFill>
            <a:schemeClr val="accent1"/>
          </a:solidFill>
          <a:ln>
            <a:noFill/>
          </a:ln>
          <a:effectLst>
            <a:outerShdw blurRad="254000" sx="102000" sy="102000" algn="ctr" rotWithShape="0">
              <a:prstClr val="black">
                <a:alpha val="20000"/>
              </a:prstClr>
            </a:outerShdw>
          </a:effectLst>
        </c:spPr>
      </c:pivotFmt>
      <c:pivotFmt>
        <c:idx val="558"/>
        <c:spPr>
          <a:solidFill>
            <a:schemeClr val="accent1"/>
          </a:solidFill>
          <a:ln>
            <a:noFill/>
          </a:ln>
          <a:effectLst>
            <a:outerShdw blurRad="254000" sx="102000" sy="102000" algn="ctr" rotWithShape="0">
              <a:prstClr val="black">
                <a:alpha val="20000"/>
              </a:prstClr>
            </a:outerShdw>
          </a:effectLst>
        </c:spPr>
      </c:pivotFmt>
      <c:pivotFmt>
        <c:idx val="559"/>
        <c:spPr>
          <a:solidFill>
            <a:schemeClr val="accent1"/>
          </a:solidFill>
          <a:ln>
            <a:noFill/>
          </a:ln>
          <a:effectLst>
            <a:outerShdw blurRad="254000" sx="102000" sy="102000" algn="ctr" rotWithShape="0">
              <a:prstClr val="black">
                <a:alpha val="20000"/>
              </a:prstClr>
            </a:outerShdw>
          </a:effectLst>
        </c:spPr>
      </c:pivotFmt>
      <c:pivotFmt>
        <c:idx val="560"/>
        <c:spPr>
          <a:solidFill>
            <a:schemeClr val="accent1"/>
          </a:solidFill>
          <a:ln>
            <a:noFill/>
          </a:ln>
          <a:effectLst>
            <a:outerShdw blurRad="254000" sx="102000" sy="102000" algn="ctr" rotWithShape="0">
              <a:prstClr val="black">
                <a:alpha val="20000"/>
              </a:prstClr>
            </a:outerShdw>
          </a:effectLst>
        </c:spPr>
      </c:pivotFmt>
      <c:pivotFmt>
        <c:idx val="561"/>
        <c:spPr>
          <a:solidFill>
            <a:schemeClr val="accent1"/>
          </a:solidFill>
          <a:ln>
            <a:noFill/>
          </a:ln>
          <a:effectLst>
            <a:outerShdw blurRad="254000" sx="102000" sy="102000" algn="ctr" rotWithShape="0">
              <a:prstClr val="black">
                <a:alpha val="20000"/>
              </a:prstClr>
            </a:outerShdw>
          </a:effectLst>
        </c:spPr>
      </c:pivotFmt>
      <c:pivotFmt>
        <c:idx val="562"/>
        <c:spPr>
          <a:solidFill>
            <a:schemeClr val="accent1"/>
          </a:solidFill>
          <a:ln>
            <a:noFill/>
          </a:ln>
          <a:effectLst>
            <a:outerShdw blurRad="254000" sx="102000" sy="102000" algn="ctr" rotWithShape="0">
              <a:prstClr val="black">
                <a:alpha val="20000"/>
              </a:prstClr>
            </a:outerShdw>
          </a:effectLst>
        </c:spPr>
      </c:pivotFmt>
      <c:pivotFmt>
        <c:idx val="563"/>
        <c:spPr>
          <a:solidFill>
            <a:schemeClr val="accent1"/>
          </a:solidFill>
          <a:ln>
            <a:noFill/>
          </a:ln>
          <a:effectLst>
            <a:outerShdw blurRad="254000" sx="102000" sy="102000" algn="ctr" rotWithShape="0">
              <a:prstClr val="black">
                <a:alpha val="20000"/>
              </a:prstClr>
            </a:outerShdw>
          </a:effectLst>
        </c:spPr>
      </c:pivotFmt>
      <c:pivotFmt>
        <c:idx val="564"/>
        <c:spPr>
          <a:solidFill>
            <a:schemeClr val="accent1"/>
          </a:solidFill>
          <a:ln>
            <a:noFill/>
          </a:ln>
          <a:effectLst>
            <a:outerShdw blurRad="254000" sx="102000" sy="102000" algn="ctr" rotWithShape="0">
              <a:prstClr val="black">
                <a:alpha val="20000"/>
              </a:prstClr>
            </a:outerShdw>
          </a:effectLst>
        </c:spPr>
      </c:pivotFmt>
      <c:pivotFmt>
        <c:idx val="565"/>
        <c:spPr>
          <a:solidFill>
            <a:schemeClr val="accent1"/>
          </a:solidFill>
          <a:ln>
            <a:noFill/>
          </a:ln>
          <a:effectLst>
            <a:outerShdw blurRad="254000" sx="102000" sy="102000" algn="ctr" rotWithShape="0">
              <a:prstClr val="black">
                <a:alpha val="20000"/>
              </a:prstClr>
            </a:outerShdw>
          </a:effectLst>
        </c:spPr>
      </c:pivotFmt>
      <c:pivotFmt>
        <c:idx val="566"/>
        <c:spPr>
          <a:solidFill>
            <a:schemeClr val="accent1"/>
          </a:solidFill>
          <a:ln>
            <a:noFill/>
          </a:ln>
          <a:effectLst>
            <a:outerShdw blurRad="254000" sx="102000" sy="102000" algn="ctr" rotWithShape="0">
              <a:prstClr val="black">
                <a:alpha val="20000"/>
              </a:prstClr>
            </a:outerShdw>
          </a:effectLst>
        </c:spPr>
      </c:pivotFmt>
      <c:pivotFmt>
        <c:idx val="567"/>
        <c:spPr>
          <a:solidFill>
            <a:schemeClr val="accent1"/>
          </a:solidFill>
          <a:ln>
            <a:noFill/>
          </a:ln>
          <a:effectLst>
            <a:outerShdw blurRad="254000" sx="102000" sy="102000" algn="ctr" rotWithShape="0">
              <a:prstClr val="black">
                <a:alpha val="20000"/>
              </a:prstClr>
            </a:outerShdw>
          </a:effectLst>
        </c:spPr>
      </c:pivotFmt>
      <c:pivotFmt>
        <c:idx val="568"/>
        <c:spPr>
          <a:solidFill>
            <a:schemeClr val="accent1"/>
          </a:solidFill>
          <a:ln>
            <a:noFill/>
          </a:ln>
          <a:effectLst>
            <a:outerShdw blurRad="254000" sx="102000" sy="102000" algn="ctr" rotWithShape="0">
              <a:prstClr val="black">
                <a:alpha val="20000"/>
              </a:prstClr>
            </a:outerShdw>
          </a:effectLst>
        </c:spPr>
      </c:pivotFmt>
      <c:pivotFmt>
        <c:idx val="569"/>
        <c:spPr>
          <a:solidFill>
            <a:schemeClr val="accent1"/>
          </a:solidFill>
          <a:ln>
            <a:noFill/>
          </a:ln>
          <a:effectLst>
            <a:outerShdw blurRad="254000" sx="102000" sy="102000" algn="ctr" rotWithShape="0">
              <a:prstClr val="black">
                <a:alpha val="20000"/>
              </a:prstClr>
            </a:outerShdw>
          </a:effectLst>
        </c:spPr>
      </c:pivotFmt>
      <c:pivotFmt>
        <c:idx val="570"/>
        <c:spPr>
          <a:solidFill>
            <a:schemeClr val="accent1"/>
          </a:solidFill>
          <a:ln>
            <a:noFill/>
          </a:ln>
          <a:effectLst>
            <a:outerShdw blurRad="254000" sx="102000" sy="102000" algn="ctr" rotWithShape="0">
              <a:prstClr val="black">
                <a:alpha val="20000"/>
              </a:prstClr>
            </a:outerShdw>
          </a:effectLst>
        </c:spPr>
      </c:pivotFmt>
      <c:pivotFmt>
        <c:idx val="571"/>
        <c:spPr>
          <a:solidFill>
            <a:schemeClr val="accent1"/>
          </a:solidFill>
          <a:ln>
            <a:noFill/>
          </a:ln>
          <a:effectLst>
            <a:outerShdw blurRad="254000" sx="102000" sy="102000" algn="ctr" rotWithShape="0">
              <a:prstClr val="black">
                <a:alpha val="20000"/>
              </a:prstClr>
            </a:outerShdw>
          </a:effectLst>
        </c:spPr>
      </c:pivotFmt>
      <c:pivotFmt>
        <c:idx val="572"/>
        <c:spPr>
          <a:solidFill>
            <a:schemeClr val="accent1"/>
          </a:solidFill>
          <a:ln>
            <a:noFill/>
          </a:ln>
          <a:effectLst>
            <a:outerShdw blurRad="254000" sx="102000" sy="102000" algn="ctr" rotWithShape="0">
              <a:prstClr val="black">
                <a:alpha val="20000"/>
              </a:prstClr>
            </a:outerShdw>
          </a:effectLst>
        </c:spPr>
      </c:pivotFmt>
      <c:pivotFmt>
        <c:idx val="573"/>
        <c:spPr>
          <a:solidFill>
            <a:schemeClr val="accent1"/>
          </a:solidFill>
          <a:ln>
            <a:noFill/>
          </a:ln>
          <a:effectLst>
            <a:outerShdw blurRad="254000" sx="102000" sy="102000" algn="ctr" rotWithShape="0">
              <a:prstClr val="black">
                <a:alpha val="20000"/>
              </a:prstClr>
            </a:outerShdw>
          </a:effectLst>
        </c:spPr>
      </c:pivotFmt>
      <c:pivotFmt>
        <c:idx val="574"/>
        <c:spPr>
          <a:solidFill>
            <a:schemeClr val="accent1"/>
          </a:solidFill>
          <a:ln>
            <a:noFill/>
          </a:ln>
          <a:effectLst>
            <a:outerShdw blurRad="254000" sx="102000" sy="102000" algn="ctr" rotWithShape="0">
              <a:prstClr val="black">
                <a:alpha val="20000"/>
              </a:prstClr>
            </a:outerShdw>
          </a:effectLst>
        </c:spPr>
      </c:pivotFmt>
      <c:pivotFmt>
        <c:idx val="575"/>
        <c:spPr>
          <a:solidFill>
            <a:schemeClr val="accent1"/>
          </a:solidFill>
          <a:ln>
            <a:noFill/>
          </a:ln>
          <a:effectLst>
            <a:outerShdw blurRad="254000" sx="102000" sy="102000" algn="ctr" rotWithShape="0">
              <a:prstClr val="black">
                <a:alpha val="20000"/>
              </a:prstClr>
            </a:outerShdw>
          </a:effectLst>
        </c:spPr>
      </c:pivotFmt>
      <c:pivotFmt>
        <c:idx val="576"/>
        <c:spPr>
          <a:solidFill>
            <a:schemeClr val="accent1"/>
          </a:solidFill>
          <a:ln>
            <a:noFill/>
          </a:ln>
          <a:effectLst>
            <a:outerShdw blurRad="254000" sx="102000" sy="102000" algn="ctr" rotWithShape="0">
              <a:prstClr val="black">
                <a:alpha val="20000"/>
              </a:prstClr>
            </a:outerShdw>
          </a:effectLst>
        </c:spPr>
      </c:pivotFmt>
      <c:pivotFmt>
        <c:idx val="577"/>
        <c:spPr>
          <a:solidFill>
            <a:schemeClr val="accent1"/>
          </a:solidFill>
          <a:ln>
            <a:noFill/>
          </a:ln>
          <a:effectLst>
            <a:outerShdw blurRad="254000" sx="102000" sy="102000" algn="ctr" rotWithShape="0">
              <a:prstClr val="black">
                <a:alpha val="20000"/>
              </a:prstClr>
            </a:outerShdw>
          </a:effectLst>
        </c:spPr>
      </c:pivotFmt>
      <c:pivotFmt>
        <c:idx val="578"/>
        <c:spPr>
          <a:solidFill>
            <a:schemeClr val="accent1"/>
          </a:solidFill>
          <a:ln>
            <a:noFill/>
          </a:ln>
          <a:effectLst>
            <a:outerShdw blurRad="254000" sx="102000" sy="102000" algn="ctr" rotWithShape="0">
              <a:prstClr val="black">
                <a:alpha val="20000"/>
              </a:prstClr>
            </a:outerShdw>
          </a:effectLst>
        </c:spPr>
      </c:pivotFmt>
      <c:pivotFmt>
        <c:idx val="579"/>
        <c:spPr>
          <a:solidFill>
            <a:schemeClr val="accent1"/>
          </a:solidFill>
          <a:ln>
            <a:noFill/>
          </a:ln>
          <a:effectLst>
            <a:outerShdw blurRad="254000" sx="102000" sy="102000" algn="ctr" rotWithShape="0">
              <a:prstClr val="black">
                <a:alpha val="20000"/>
              </a:prstClr>
            </a:outerShdw>
          </a:effectLst>
        </c:spPr>
      </c:pivotFmt>
      <c:pivotFmt>
        <c:idx val="580"/>
        <c:spPr>
          <a:solidFill>
            <a:schemeClr val="accent1"/>
          </a:solidFill>
          <a:ln>
            <a:noFill/>
          </a:ln>
          <a:effectLst>
            <a:outerShdw blurRad="254000" sx="102000" sy="102000" algn="ctr" rotWithShape="0">
              <a:prstClr val="black">
                <a:alpha val="20000"/>
              </a:prstClr>
            </a:outerShdw>
          </a:effectLst>
        </c:spPr>
      </c:pivotFmt>
      <c:pivotFmt>
        <c:idx val="581"/>
        <c:spPr>
          <a:solidFill>
            <a:schemeClr val="accent1"/>
          </a:solidFill>
          <a:ln>
            <a:noFill/>
          </a:ln>
          <a:effectLst>
            <a:outerShdw blurRad="254000" sx="102000" sy="102000" algn="ctr" rotWithShape="0">
              <a:prstClr val="black">
                <a:alpha val="20000"/>
              </a:prstClr>
            </a:outerShdw>
          </a:effectLst>
        </c:spPr>
      </c:pivotFmt>
      <c:pivotFmt>
        <c:idx val="582"/>
        <c:spPr>
          <a:solidFill>
            <a:schemeClr val="accent1"/>
          </a:solidFill>
          <a:ln>
            <a:noFill/>
          </a:ln>
          <a:effectLst>
            <a:outerShdw blurRad="254000" sx="102000" sy="102000" algn="ctr" rotWithShape="0">
              <a:prstClr val="black">
                <a:alpha val="20000"/>
              </a:prstClr>
            </a:outerShdw>
          </a:effectLst>
        </c:spPr>
      </c:pivotFmt>
      <c:pivotFmt>
        <c:idx val="583"/>
        <c:spPr>
          <a:solidFill>
            <a:schemeClr val="accent1"/>
          </a:solidFill>
          <a:ln>
            <a:noFill/>
          </a:ln>
          <a:effectLst>
            <a:outerShdw blurRad="254000" sx="102000" sy="102000" algn="ctr" rotWithShape="0">
              <a:prstClr val="black">
                <a:alpha val="20000"/>
              </a:prstClr>
            </a:outerShdw>
          </a:effectLst>
        </c:spPr>
      </c:pivotFmt>
      <c:pivotFmt>
        <c:idx val="584"/>
        <c:spPr>
          <a:solidFill>
            <a:schemeClr val="accent1"/>
          </a:solidFill>
          <a:ln>
            <a:noFill/>
          </a:ln>
          <a:effectLst>
            <a:outerShdw blurRad="254000" sx="102000" sy="102000" algn="ctr" rotWithShape="0">
              <a:prstClr val="black">
                <a:alpha val="20000"/>
              </a:prstClr>
            </a:outerShdw>
          </a:effectLst>
        </c:spPr>
      </c:pivotFmt>
      <c:pivotFmt>
        <c:idx val="585"/>
        <c:spPr>
          <a:solidFill>
            <a:schemeClr val="accent1"/>
          </a:solidFill>
          <a:ln>
            <a:noFill/>
          </a:ln>
          <a:effectLst>
            <a:outerShdw blurRad="254000" sx="102000" sy="102000" algn="ctr" rotWithShape="0">
              <a:prstClr val="black">
                <a:alpha val="20000"/>
              </a:prstClr>
            </a:outerShdw>
          </a:effectLst>
        </c:spPr>
      </c:pivotFmt>
      <c:pivotFmt>
        <c:idx val="586"/>
        <c:spPr>
          <a:solidFill>
            <a:schemeClr val="accent1"/>
          </a:solidFill>
          <a:ln>
            <a:noFill/>
          </a:ln>
          <a:effectLst>
            <a:outerShdw blurRad="254000" sx="102000" sy="102000" algn="ctr" rotWithShape="0">
              <a:prstClr val="black">
                <a:alpha val="20000"/>
              </a:prstClr>
            </a:outerShdw>
          </a:effectLst>
        </c:spPr>
      </c:pivotFmt>
      <c:pivotFmt>
        <c:idx val="587"/>
        <c:spPr>
          <a:solidFill>
            <a:schemeClr val="accent1"/>
          </a:solidFill>
          <a:ln>
            <a:noFill/>
          </a:ln>
          <a:effectLst>
            <a:outerShdw blurRad="254000" sx="102000" sy="102000" algn="ctr" rotWithShape="0">
              <a:prstClr val="black">
                <a:alpha val="20000"/>
              </a:prstClr>
            </a:outerShdw>
          </a:effectLst>
        </c:spPr>
      </c:pivotFmt>
      <c:pivotFmt>
        <c:idx val="588"/>
        <c:spPr>
          <a:solidFill>
            <a:schemeClr val="accent1"/>
          </a:solidFill>
          <a:ln>
            <a:noFill/>
          </a:ln>
          <a:effectLst>
            <a:outerShdw blurRad="254000" sx="102000" sy="102000" algn="ctr" rotWithShape="0">
              <a:prstClr val="black">
                <a:alpha val="20000"/>
              </a:prstClr>
            </a:outerShdw>
          </a:effectLst>
        </c:spPr>
      </c:pivotFmt>
      <c:pivotFmt>
        <c:idx val="589"/>
        <c:spPr>
          <a:solidFill>
            <a:schemeClr val="accent1"/>
          </a:solidFill>
          <a:ln>
            <a:noFill/>
          </a:ln>
          <a:effectLst>
            <a:outerShdw blurRad="254000" sx="102000" sy="102000" algn="ctr" rotWithShape="0">
              <a:prstClr val="black">
                <a:alpha val="20000"/>
              </a:prstClr>
            </a:outerShdw>
          </a:effectLst>
        </c:spPr>
      </c:pivotFmt>
      <c:pivotFmt>
        <c:idx val="590"/>
        <c:spPr>
          <a:solidFill>
            <a:schemeClr val="accent1"/>
          </a:solidFill>
          <a:ln>
            <a:noFill/>
          </a:ln>
          <a:effectLst>
            <a:outerShdw blurRad="254000" sx="102000" sy="102000" algn="ctr" rotWithShape="0">
              <a:prstClr val="black">
                <a:alpha val="20000"/>
              </a:prstClr>
            </a:outerShdw>
          </a:effectLst>
        </c:spPr>
      </c:pivotFmt>
      <c:pivotFmt>
        <c:idx val="591"/>
        <c:spPr>
          <a:solidFill>
            <a:schemeClr val="accent1"/>
          </a:solidFill>
          <a:ln>
            <a:noFill/>
          </a:ln>
          <a:effectLst>
            <a:outerShdw blurRad="254000" sx="102000" sy="102000" algn="ctr" rotWithShape="0">
              <a:prstClr val="black">
                <a:alpha val="20000"/>
              </a:prstClr>
            </a:outerShdw>
          </a:effectLst>
        </c:spPr>
      </c:pivotFmt>
      <c:pivotFmt>
        <c:idx val="592"/>
        <c:spPr>
          <a:solidFill>
            <a:schemeClr val="accent1"/>
          </a:solidFill>
          <a:ln>
            <a:noFill/>
          </a:ln>
          <a:effectLst>
            <a:outerShdw blurRad="254000" sx="102000" sy="102000" algn="ctr" rotWithShape="0">
              <a:prstClr val="black">
                <a:alpha val="20000"/>
              </a:prstClr>
            </a:outerShdw>
          </a:effectLst>
        </c:spPr>
      </c:pivotFmt>
      <c:pivotFmt>
        <c:idx val="593"/>
        <c:spPr>
          <a:solidFill>
            <a:schemeClr val="accent1"/>
          </a:solidFill>
          <a:ln>
            <a:noFill/>
          </a:ln>
          <a:effectLst>
            <a:outerShdw blurRad="254000" sx="102000" sy="102000" algn="ctr" rotWithShape="0">
              <a:prstClr val="black">
                <a:alpha val="20000"/>
              </a:prstClr>
            </a:outerShdw>
          </a:effectLst>
        </c:spPr>
      </c:pivotFmt>
      <c:pivotFmt>
        <c:idx val="594"/>
        <c:spPr>
          <a:solidFill>
            <a:schemeClr val="accent1"/>
          </a:solidFill>
          <a:ln>
            <a:noFill/>
          </a:ln>
          <a:effectLst>
            <a:outerShdw blurRad="254000" sx="102000" sy="102000" algn="ctr" rotWithShape="0">
              <a:prstClr val="black">
                <a:alpha val="20000"/>
              </a:prstClr>
            </a:outerShdw>
          </a:effectLst>
        </c:spPr>
      </c:pivotFmt>
      <c:pivotFmt>
        <c:idx val="595"/>
        <c:spPr>
          <a:solidFill>
            <a:schemeClr val="accent1"/>
          </a:solidFill>
          <a:ln>
            <a:noFill/>
          </a:ln>
          <a:effectLst>
            <a:outerShdw blurRad="254000" sx="102000" sy="102000" algn="ctr" rotWithShape="0">
              <a:prstClr val="black">
                <a:alpha val="20000"/>
              </a:prstClr>
            </a:outerShdw>
          </a:effectLst>
        </c:spPr>
      </c:pivotFmt>
      <c:pivotFmt>
        <c:idx val="596"/>
        <c:spPr>
          <a:solidFill>
            <a:schemeClr val="accent1"/>
          </a:solidFill>
          <a:ln>
            <a:noFill/>
          </a:ln>
          <a:effectLst>
            <a:outerShdw blurRad="254000" sx="102000" sy="102000" algn="ctr" rotWithShape="0">
              <a:prstClr val="black">
                <a:alpha val="20000"/>
              </a:prstClr>
            </a:outerShdw>
          </a:effectLst>
        </c:spPr>
      </c:pivotFmt>
      <c:pivotFmt>
        <c:idx val="597"/>
        <c:spPr>
          <a:solidFill>
            <a:schemeClr val="accent1"/>
          </a:solidFill>
          <a:ln>
            <a:noFill/>
          </a:ln>
          <a:effectLst>
            <a:outerShdw blurRad="254000" sx="102000" sy="102000" algn="ctr" rotWithShape="0">
              <a:prstClr val="black">
                <a:alpha val="20000"/>
              </a:prstClr>
            </a:outerShdw>
          </a:effectLst>
        </c:spPr>
      </c:pivotFmt>
      <c:pivotFmt>
        <c:idx val="598"/>
        <c:spPr>
          <a:solidFill>
            <a:schemeClr val="accent1"/>
          </a:solidFill>
          <a:ln>
            <a:noFill/>
          </a:ln>
          <a:effectLst>
            <a:outerShdw blurRad="254000" sx="102000" sy="102000" algn="ctr" rotWithShape="0">
              <a:prstClr val="black">
                <a:alpha val="20000"/>
              </a:prstClr>
            </a:outerShdw>
          </a:effectLst>
        </c:spPr>
      </c:pivotFmt>
      <c:pivotFmt>
        <c:idx val="599"/>
        <c:spPr>
          <a:solidFill>
            <a:schemeClr val="accent1"/>
          </a:solidFill>
          <a:ln>
            <a:noFill/>
          </a:ln>
          <a:effectLst>
            <a:outerShdw blurRad="254000" sx="102000" sy="102000" algn="ctr" rotWithShape="0">
              <a:prstClr val="black">
                <a:alpha val="20000"/>
              </a:prstClr>
            </a:outerShdw>
          </a:effectLst>
        </c:spPr>
      </c:pivotFmt>
      <c:pivotFmt>
        <c:idx val="600"/>
        <c:spPr>
          <a:solidFill>
            <a:schemeClr val="accent1"/>
          </a:solidFill>
          <a:ln>
            <a:noFill/>
          </a:ln>
          <a:effectLst>
            <a:outerShdw blurRad="254000" sx="102000" sy="102000" algn="ctr" rotWithShape="0">
              <a:prstClr val="black">
                <a:alpha val="20000"/>
              </a:prstClr>
            </a:outerShdw>
          </a:effectLst>
        </c:spPr>
      </c:pivotFmt>
      <c:pivotFmt>
        <c:idx val="601"/>
        <c:spPr>
          <a:solidFill>
            <a:schemeClr val="accent1"/>
          </a:solidFill>
          <a:ln>
            <a:noFill/>
          </a:ln>
          <a:effectLst>
            <a:outerShdw blurRad="254000" sx="102000" sy="102000" algn="ctr" rotWithShape="0">
              <a:prstClr val="black">
                <a:alpha val="20000"/>
              </a:prstClr>
            </a:outerShdw>
          </a:effectLst>
        </c:spPr>
      </c:pivotFmt>
      <c:pivotFmt>
        <c:idx val="602"/>
        <c:spPr>
          <a:solidFill>
            <a:schemeClr val="accent1"/>
          </a:solidFill>
          <a:ln>
            <a:noFill/>
          </a:ln>
          <a:effectLst>
            <a:outerShdw blurRad="254000" sx="102000" sy="102000" algn="ctr" rotWithShape="0">
              <a:prstClr val="black">
                <a:alpha val="20000"/>
              </a:prstClr>
            </a:outerShdw>
          </a:effectLst>
        </c:spPr>
      </c:pivotFmt>
      <c:pivotFmt>
        <c:idx val="603"/>
        <c:spPr>
          <a:solidFill>
            <a:schemeClr val="accent1"/>
          </a:solidFill>
          <a:ln>
            <a:noFill/>
          </a:ln>
          <a:effectLst>
            <a:outerShdw blurRad="254000" sx="102000" sy="102000" algn="ctr" rotWithShape="0">
              <a:prstClr val="black">
                <a:alpha val="20000"/>
              </a:prstClr>
            </a:outerShdw>
          </a:effectLst>
        </c:spPr>
      </c:pivotFmt>
      <c:pivotFmt>
        <c:idx val="604"/>
        <c:spPr>
          <a:solidFill>
            <a:schemeClr val="accent1"/>
          </a:solidFill>
          <a:ln>
            <a:noFill/>
          </a:ln>
          <a:effectLst>
            <a:outerShdw blurRad="254000" sx="102000" sy="102000" algn="ctr" rotWithShape="0">
              <a:prstClr val="black">
                <a:alpha val="20000"/>
              </a:prstClr>
            </a:outerShdw>
          </a:effectLst>
        </c:spPr>
      </c:pivotFmt>
      <c:pivotFmt>
        <c:idx val="605"/>
        <c:spPr>
          <a:solidFill>
            <a:schemeClr val="accent1"/>
          </a:solidFill>
          <a:ln>
            <a:noFill/>
          </a:ln>
          <a:effectLst>
            <a:outerShdw blurRad="254000" sx="102000" sy="102000" algn="ctr" rotWithShape="0">
              <a:prstClr val="black">
                <a:alpha val="20000"/>
              </a:prstClr>
            </a:outerShdw>
          </a:effectLst>
        </c:spPr>
      </c:pivotFmt>
      <c:pivotFmt>
        <c:idx val="606"/>
        <c:spPr>
          <a:solidFill>
            <a:schemeClr val="accent1"/>
          </a:solidFill>
          <a:ln>
            <a:noFill/>
          </a:ln>
          <a:effectLst>
            <a:outerShdw blurRad="254000" sx="102000" sy="102000" algn="ctr" rotWithShape="0">
              <a:prstClr val="black">
                <a:alpha val="20000"/>
              </a:prstClr>
            </a:outerShdw>
          </a:effectLst>
        </c:spPr>
      </c:pivotFmt>
      <c:pivotFmt>
        <c:idx val="607"/>
        <c:spPr>
          <a:solidFill>
            <a:schemeClr val="accent1"/>
          </a:solidFill>
          <a:ln>
            <a:noFill/>
          </a:ln>
          <a:effectLst>
            <a:outerShdw blurRad="254000" sx="102000" sy="102000" algn="ctr" rotWithShape="0">
              <a:prstClr val="black">
                <a:alpha val="20000"/>
              </a:prstClr>
            </a:outerShdw>
          </a:effectLst>
        </c:spPr>
      </c:pivotFmt>
      <c:pivotFmt>
        <c:idx val="608"/>
        <c:spPr>
          <a:solidFill>
            <a:schemeClr val="accent1"/>
          </a:solidFill>
          <a:ln>
            <a:noFill/>
          </a:ln>
          <a:effectLst>
            <a:outerShdw blurRad="254000" sx="102000" sy="102000" algn="ctr" rotWithShape="0">
              <a:prstClr val="black">
                <a:alpha val="20000"/>
              </a:prstClr>
            </a:outerShdw>
          </a:effectLst>
        </c:spPr>
      </c:pivotFmt>
      <c:pivotFmt>
        <c:idx val="609"/>
        <c:spPr>
          <a:solidFill>
            <a:schemeClr val="accent1"/>
          </a:solidFill>
          <a:ln>
            <a:noFill/>
          </a:ln>
          <a:effectLst>
            <a:outerShdw blurRad="254000" sx="102000" sy="102000" algn="ctr" rotWithShape="0">
              <a:prstClr val="black">
                <a:alpha val="20000"/>
              </a:prstClr>
            </a:outerShdw>
          </a:effectLst>
        </c:spPr>
      </c:pivotFmt>
      <c:pivotFmt>
        <c:idx val="610"/>
        <c:spPr>
          <a:solidFill>
            <a:schemeClr val="accent1"/>
          </a:solidFill>
          <a:ln>
            <a:noFill/>
          </a:ln>
          <a:effectLst>
            <a:outerShdw blurRad="254000" sx="102000" sy="102000" algn="ctr" rotWithShape="0">
              <a:prstClr val="black">
                <a:alpha val="20000"/>
              </a:prstClr>
            </a:outerShdw>
          </a:effectLst>
        </c:spPr>
      </c:pivotFmt>
      <c:pivotFmt>
        <c:idx val="611"/>
        <c:spPr>
          <a:solidFill>
            <a:schemeClr val="accent1"/>
          </a:solidFill>
          <a:ln>
            <a:noFill/>
          </a:ln>
          <a:effectLst>
            <a:outerShdw blurRad="254000" sx="102000" sy="102000" algn="ctr" rotWithShape="0">
              <a:prstClr val="black">
                <a:alpha val="20000"/>
              </a:prstClr>
            </a:outerShdw>
          </a:effectLst>
        </c:spPr>
      </c:pivotFmt>
      <c:pivotFmt>
        <c:idx val="612"/>
        <c:spPr>
          <a:solidFill>
            <a:schemeClr val="accent1"/>
          </a:solidFill>
          <a:ln>
            <a:noFill/>
          </a:ln>
          <a:effectLst>
            <a:outerShdw blurRad="254000" sx="102000" sy="102000" algn="ctr" rotWithShape="0">
              <a:prstClr val="black">
                <a:alpha val="20000"/>
              </a:prstClr>
            </a:outerShdw>
          </a:effectLst>
        </c:spPr>
      </c:pivotFmt>
      <c:pivotFmt>
        <c:idx val="613"/>
        <c:spPr>
          <a:solidFill>
            <a:schemeClr val="accent1"/>
          </a:solidFill>
          <a:ln>
            <a:noFill/>
          </a:ln>
          <a:effectLst>
            <a:outerShdw blurRad="254000" sx="102000" sy="102000" algn="ctr" rotWithShape="0">
              <a:prstClr val="black">
                <a:alpha val="20000"/>
              </a:prstClr>
            </a:outerShdw>
          </a:effectLst>
        </c:spPr>
      </c:pivotFmt>
      <c:pivotFmt>
        <c:idx val="614"/>
        <c:spPr>
          <a:solidFill>
            <a:schemeClr val="accent1"/>
          </a:solidFill>
          <a:ln>
            <a:noFill/>
          </a:ln>
          <a:effectLst>
            <a:outerShdw blurRad="254000" sx="102000" sy="102000" algn="ctr" rotWithShape="0">
              <a:prstClr val="black">
                <a:alpha val="20000"/>
              </a:prstClr>
            </a:outerShdw>
          </a:effectLst>
        </c:spPr>
      </c:pivotFmt>
      <c:pivotFmt>
        <c:idx val="615"/>
        <c:spPr>
          <a:solidFill>
            <a:schemeClr val="accent1"/>
          </a:solidFill>
          <a:ln>
            <a:noFill/>
          </a:ln>
          <a:effectLst>
            <a:outerShdw blurRad="254000" sx="102000" sy="102000" algn="ctr" rotWithShape="0">
              <a:prstClr val="black">
                <a:alpha val="20000"/>
              </a:prstClr>
            </a:outerShdw>
          </a:effectLst>
        </c:spPr>
      </c:pivotFmt>
      <c:pivotFmt>
        <c:idx val="616"/>
        <c:spPr>
          <a:solidFill>
            <a:schemeClr val="accent1"/>
          </a:solidFill>
          <a:ln>
            <a:noFill/>
          </a:ln>
          <a:effectLst>
            <a:outerShdw blurRad="254000" sx="102000" sy="102000" algn="ctr" rotWithShape="0">
              <a:prstClr val="black">
                <a:alpha val="20000"/>
              </a:prstClr>
            </a:outerShdw>
          </a:effectLst>
        </c:spPr>
      </c:pivotFmt>
      <c:pivotFmt>
        <c:idx val="617"/>
        <c:spPr>
          <a:solidFill>
            <a:schemeClr val="accent1"/>
          </a:solidFill>
          <a:ln>
            <a:noFill/>
          </a:ln>
          <a:effectLst>
            <a:outerShdw blurRad="254000" sx="102000" sy="102000" algn="ctr" rotWithShape="0">
              <a:prstClr val="black">
                <a:alpha val="20000"/>
              </a:prstClr>
            </a:outerShdw>
          </a:effectLst>
        </c:spPr>
      </c:pivotFmt>
      <c:pivotFmt>
        <c:idx val="618"/>
        <c:spPr>
          <a:solidFill>
            <a:schemeClr val="accent1"/>
          </a:solidFill>
          <a:ln>
            <a:noFill/>
          </a:ln>
          <a:effectLst>
            <a:outerShdw blurRad="254000" sx="102000" sy="102000" algn="ctr" rotWithShape="0">
              <a:prstClr val="black">
                <a:alpha val="20000"/>
              </a:prstClr>
            </a:outerShdw>
          </a:effectLst>
        </c:spPr>
      </c:pivotFmt>
      <c:pivotFmt>
        <c:idx val="619"/>
        <c:spPr>
          <a:solidFill>
            <a:schemeClr val="accent1"/>
          </a:solidFill>
          <a:ln>
            <a:noFill/>
          </a:ln>
          <a:effectLst>
            <a:outerShdw blurRad="254000" sx="102000" sy="102000" algn="ctr" rotWithShape="0">
              <a:prstClr val="black">
                <a:alpha val="20000"/>
              </a:prstClr>
            </a:outerShdw>
          </a:effectLst>
        </c:spPr>
      </c:pivotFmt>
      <c:pivotFmt>
        <c:idx val="620"/>
        <c:spPr>
          <a:solidFill>
            <a:schemeClr val="accent1"/>
          </a:solidFill>
          <a:ln>
            <a:noFill/>
          </a:ln>
          <a:effectLst>
            <a:outerShdw blurRad="254000" sx="102000" sy="102000" algn="ctr" rotWithShape="0">
              <a:prstClr val="black">
                <a:alpha val="20000"/>
              </a:prstClr>
            </a:outerShdw>
          </a:effectLst>
        </c:spPr>
      </c:pivotFmt>
      <c:pivotFmt>
        <c:idx val="621"/>
        <c:spPr>
          <a:solidFill>
            <a:schemeClr val="accent1"/>
          </a:solidFill>
          <a:ln>
            <a:noFill/>
          </a:ln>
          <a:effectLst>
            <a:outerShdw blurRad="254000" sx="102000" sy="102000" algn="ctr" rotWithShape="0">
              <a:prstClr val="black">
                <a:alpha val="20000"/>
              </a:prstClr>
            </a:outerShdw>
          </a:effectLst>
        </c:spPr>
      </c:pivotFmt>
      <c:pivotFmt>
        <c:idx val="622"/>
        <c:spPr>
          <a:solidFill>
            <a:schemeClr val="accent1"/>
          </a:solidFill>
          <a:ln>
            <a:noFill/>
          </a:ln>
          <a:effectLst>
            <a:outerShdw blurRad="254000" sx="102000" sy="102000" algn="ctr" rotWithShape="0">
              <a:prstClr val="black">
                <a:alpha val="20000"/>
              </a:prstClr>
            </a:outerShdw>
          </a:effectLst>
        </c:spPr>
      </c:pivotFmt>
      <c:pivotFmt>
        <c:idx val="623"/>
        <c:spPr>
          <a:solidFill>
            <a:schemeClr val="accent1"/>
          </a:solidFill>
          <a:ln>
            <a:noFill/>
          </a:ln>
          <a:effectLst>
            <a:outerShdw blurRad="254000" sx="102000" sy="102000" algn="ctr" rotWithShape="0">
              <a:prstClr val="black">
                <a:alpha val="20000"/>
              </a:prstClr>
            </a:outerShdw>
          </a:effectLst>
        </c:spPr>
      </c:pivotFmt>
      <c:pivotFmt>
        <c:idx val="624"/>
        <c:spPr>
          <a:solidFill>
            <a:schemeClr val="accent1"/>
          </a:solidFill>
          <a:ln>
            <a:noFill/>
          </a:ln>
          <a:effectLst>
            <a:outerShdw blurRad="254000" sx="102000" sy="102000" algn="ctr" rotWithShape="0">
              <a:prstClr val="black">
                <a:alpha val="20000"/>
              </a:prstClr>
            </a:outerShdw>
          </a:effectLst>
        </c:spPr>
      </c:pivotFmt>
      <c:pivotFmt>
        <c:idx val="625"/>
        <c:spPr>
          <a:solidFill>
            <a:schemeClr val="accent1"/>
          </a:solidFill>
          <a:ln>
            <a:noFill/>
          </a:ln>
          <a:effectLst>
            <a:outerShdw blurRad="254000" sx="102000" sy="102000" algn="ctr" rotWithShape="0">
              <a:prstClr val="black">
                <a:alpha val="20000"/>
              </a:prstClr>
            </a:outerShdw>
          </a:effectLst>
        </c:spPr>
      </c:pivotFmt>
      <c:pivotFmt>
        <c:idx val="626"/>
        <c:spPr>
          <a:solidFill>
            <a:schemeClr val="accent1"/>
          </a:solidFill>
          <a:ln>
            <a:noFill/>
          </a:ln>
          <a:effectLst>
            <a:outerShdw blurRad="254000" sx="102000" sy="102000" algn="ctr" rotWithShape="0">
              <a:prstClr val="black">
                <a:alpha val="20000"/>
              </a:prstClr>
            </a:outerShdw>
          </a:effectLst>
        </c:spPr>
      </c:pivotFmt>
      <c:pivotFmt>
        <c:idx val="627"/>
        <c:spPr>
          <a:solidFill>
            <a:schemeClr val="accent1"/>
          </a:solidFill>
          <a:ln>
            <a:noFill/>
          </a:ln>
          <a:effectLst>
            <a:outerShdw blurRad="254000" sx="102000" sy="102000" algn="ctr" rotWithShape="0">
              <a:prstClr val="black">
                <a:alpha val="20000"/>
              </a:prstClr>
            </a:outerShdw>
          </a:effectLst>
        </c:spPr>
      </c:pivotFmt>
      <c:pivotFmt>
        <c:idx val="628"/>
        <c:spPr>
          <a:solidFill>
            <a:schemeClr val="accent1"/>
          </a:solidFill>
          <a:ln>
            <a:noFill/>
          </a:ln>
          <a:effectLst>
            <a:outerShdw blurRad="254000" sx="102000" sy="102000" algn="ctr" rotWithShape="0">
              <a:prstClr val="black">
                <a:alpha val="20000"/>
              </a:prstClr>
            </a:outerShdw>
          </a:effectLst>
        </c:spPr>
      </c:pivotFmt>
      <c:pivotFmt>
        <c:idx val="629"/>
        <c:spPr>
          <a:solidFill>
            <a:schemeClr val="accent1"/>
          </a:solidFill>
          <a:ln>
            <a:noFill/>
          </a:ln>
          <a:effectLst>
            <a:outerShdw blurRad="254000" sx="102000" sy="102000" algn="ctr" rotWithShape="0">
              <a:prstClr val="black">
                <a:alpha val="20000"/>
              </a:prstClr>
            </a:outerShdw>
          </a:effectLst>
        </c:spPr>
      </c:pivotFmt>
      <c:pivotFmt>
        <c:idx val="630"/>
        <c:spPr>
          <a:solidFill>
            <a:schemeClr val="accent1"/>
          </a:solidFill>
          <a:ln>
            <a:noFill/>
          </a:ln>
          <a:effectLst>
            <a:outerShdw blurRad="254000" sx="102000" sy="102000" algn="ctr" rotWithShape="0">
              <a:prstClr val="black">
                <a:alpha val="20000"/>
              </a:prstClr>
            </a:outerShdw>
          </a:effectLst>
        </c:spPr>
      </c:pivotFmt>
      <c:pivotFmt>
        <c:idx val="631"/>
        <c:spPr>
          <a:solidFill>
            <a:schemeClr val="accent1"/>
          </a:solidFill>
          <a:ln>
            <a:noFill/>
          </a:ln>
          <a:effectLst>
            <a:outerShdw blurRad="254000" sx="102000" sy="102000" algn="ctr" rotWithShape="0">
              <a:prstClr val="black">
                <a:alpha val="20000"/>
              </a:prstClr>
            </a:outerShdw>
          </a:effectLst>
        </c:spPr>
      </c:pivotFmt>
      <c:pivotFmt>
        <c:idx val="632"/>
        <c:spPr>
          <a:solidFill>
            <a:schemeClr val="accent1"/>
          </a:solidFill>
          <a:ln>
            <a:noFill/>
          </a:ln>
          <a:effectLst>
            <a:outerShdw blurRad="254000" sx="102000" sy="102000" algn="ctr" rotWithShape="0">
              <a:prstClr val="black">
                <a:alpha val="20000"/>
              </a:prstClr>
            </a:outerShdw>
          </a:effectLst>
        </c:spPr>
      </c:pivotFmt>
      <c:pivotFmt>
        <c:idx val="633"/>
        <c:spPr>
          <a:solidFill>
            <a:schemeClr val="accent1"/>
          </a:solidFill>
          <a:ln>
            <a:noFill/>
          </a:ln>
          <a:effectLst>
            <a:outerShdw blurRad="254000" sx="102000" sy="102000" algn="ctr" rotWithShape="0">
              <a:prstClr val="black">
                <a:alpha val="20000"/>
              </a:prstClr>
            </a:outerShdw>
          </a:effectLst>
        </c:spPr>
      </c:pivotFmt>
      <c:pivotFmt>
        <c:idx val="634"/>
        <c:spPr>
          <a:solidFill>
            <a:schemeClr val="accent1"/>
          </a:solidFill>
          <a:ln>
            <a:noFill/>
          </a:ln>
          <a:effectLst>
            <a:outerShdw blurRad="254000" sx="102000" sy="102000" algn="ctr" rotWithShape="0">
              <a:prstClr val="black">
                <a:alpha val="20000"/>
              </a:prstClr>
            </a:outerShdw>
          </a:effectLst>
        </c:spPr>
      </c:pivotFmt>
      <c:pivotFmt>
        <c:idx val="635"/>
        <c:spPr>
          <a:solidFill>
            <a:schemeClr val="accent1"/>
          </a:solidFill>
          <a:ln>
            <a:noFill/>
          </a:ln>
          <a:effectLst>
            <a:outerShdw blurRad="254000" sx="102000" sy="102000" algn="ctr" rotWithShape="0">
              <a:prstClr val="black">
                <a:alpha val="20000"/>
              </a:prstClr>
            </a:outerShdw>
          </a:effectLst>
        </c:spPr>
      </c:pivotFmt>
      <c:pivotFmt>
        <c:idx val="636"/>
        <c:spPr>
          <a:solidFill>
            <a:schemeClr val="accent1"/>
          </a:solidFill>
          <a:ln>
            <a:noFill/>
          </a:ln>
          <a:effectLst>
            <a:outerShdw blurRad="254000" sx="102000" sy="102000" algn="ctr" rotWithShape="0">
              <a:prstClr val="black">
                <a:alpha val="20000"/>
              </a:prstClr>
            </a:outerShdw>
          </a:effectLst>
        </c:spPr>
      </c:pivotFmt>
      <c:pivotFmt>
        <c:idx val="637"/>
        <c:spPr>
          <a:solidFill>
            <a:schemeClr val="accent1"/>
          </a:solidFill>
          <a:ln>
            <a:noFill/>
          </a:ln>
          <a:effectLst>
            <a:outerShdw blurRad="254000" sx="102000" sy="102000" algn="ctr" rotWithShape="0">
              <a:prstClr val="black">
                <a:alpha val="20000"/>
              </a:prstClr>
            </a:outerShdw>
          </a:effectLst>
        </c:spPr>
      </c:pivotFmt>
      <c:pivotFmt>
        <c:idx val="638"/>
        <c:spPr>
          <a:solidFill>
            <a:schemeClr val="accent1"/>
          </a:solidFill>
          <a:ln>
            <a:noFill/>
          </a:ln>
          <a:effectLst>
            <a:outerShdw blurRad="254000" sx="102000" sy="102000" algn="ctr" rotWithShape="0">
              <a:prstClr val="black">
                <a:alpha val="20000"/>
              </a:prstClr>
            </a:outerShdw>
          </a:effectLst>
        </c:spPr>
      </c:pivotFmt>
      <c:pivotFmt>
        <c:idx val="639"/>
        <c:spPr>
          <a:solidFill>
            <a:schemeClr val="accent1"/>
          </a:solidFill>
          <a:ln>
            <a:noFill/>
          </a:ln>
          <a:effectLst>
            <a:outerShdw blurRad="254000" sx="102000" sy="102000" algn="ctr" rotWithShape="0">
              <a:prstClr val="black">
                <a:alpha val="20000"/>
              </a:prstClr>
            </a:outerShdw>
          </a:effectLst>
        </c:spPr>
      </c:pivotFmt>
      <c:pivotFmt>
        <c:idx val="640"/>
        <c:spPr>
          <a:solidFill>
            <a:schemeClr val="accent1"/>
          </a:solidFill>
          <a:ln>
            <a:noFill/>
          </a:ln>
          <a:effectLst>
            <a:outerShdw blurRad="254000" sx="102000" sy="102000" algn="ctr" rotWithShape="0">
              <a:prstClr val="black">
                <a:alpha val="20000"/>
              </a:prstClr>
            </a:outerShdw>
          </a:effectLst>
        </c:spPr>
      </c:pivotFmt>
      <c:pivotFmt>
        <c:idx val="641"/>
        <c:spPr>
          <a:solidFill>
            <a:schemeClr val="accent1"/>
          </a:solidFill>
          <a:ln>
            <a:noFill/>
          </a:ln>
          <a:effectLst>
            <a:outerShdw blurRad="254000" sx="102000" sy="102000" algn="ctr" rotWithShape="0">
              <a:prstClr val="black">
                <a:alpha val="20000"/>
              </a:prstClr>
            </a:outerShdw>
          </a:effectLst>
        </c:spPr>
      </c:pivotFmt>
      <c:pivotFmt>
        <c:idx val="642"/>
        <c:spPr>
          <a:solidFill>
            <a:schemeClr val="accent1"/>
          </a:solidFill>
          <a:ln>
            <a:noFill/>
          </a:ln>
          <a:effectLst>
            <a:outerShdw blurRad="254000" sx="102000" sy="102000" algn="ctr" rotWithShape="0">
              <a:prstClr val="black">
                <a:alpha val="20000"/>
              </a:prstClr>
            </a:outerShdw>
          </a:effectLst>
        </c:spPr>
      </c:pivotFmt>
      <c:pivotFmt>
        <c:idx val="643"/>
        <c:spPr>
          <a:solidFill>
            <a:schemeClr val="accent1"/>
          </a:solidFill>
          <a:ln>
            <a:noFill/>
          </a:ln>
          <a:effectLst>
            <a:outerShdw blurRad="254000" sx="102000" sy="102000" algn="ctr" rotWithShape="0">
              <a:prstClr val="black">
                <a:alpha val="20000"/>
              </a:prstClr>
            </a:outerShdw>
          </a:effectLst>
        </c:spPr>
      </c:pivotFmt>
      <c:pivotFmt>
        <c:idx val="644"/>
        <c:spPr>
          <a:solidFill>
            <a:schemeClr val="accent1"/>
          </a:solidFill>
          <a:ln>
            <a:noFill/>
          </a:ln>
          <a:effectLst>
            <a:outerShdw blurRad="254000" sx="102000" sy="102000" algn="ctr" rotWithShape="0">
              <a:prstClr val="black">
                <a:alpha val="20000"/>
              </a:prstClr>
            </a:outerShdw>
          </a:effectLst>
        </c:spPr>
      </c:pivotFmt>
      <c:pivotFmt>
        <c:idx val="645"/>
        <c:spPr>
          <a:solidFill>
            <a:schemeClr val="accent1"/>
          </a:solidFill>
          <a:ln>
            <a:noFill/>
          </a:ln>
          <a:effectLst>
            <a:outerShdw blurRad="254000" sx="102000" sy="102000" algn="ctr" rotWithShape="0">
              <a:prstClr val="black">
                <a:alpha val="20000"/>
              </a:prstClr>
            </a:outerShdw>
          </a:effectLst>
        </c:spPr>
      </c:pivotFmt>
      <c:pivotFmt>
        <c:idx val="646"/>
        <c:spPr>
          <a:solidFill>
            <a:schemeClr val="accent1"/>
          </a:solidFill>
          <a:ln>
            <a:noFill/>
          </a:ln>
          <a:effectLst>
            <a:outerShdw blurRad="254000" sx="102000" sy="102000" algn="ctr" rotWithShape="0">
              <a:prstClr val="black">
                <a:alpha val="20000"/>
              </a:prstClr>
            </a:outerShdw>
          </a:effectLst>
        </c:spPr>
      </c:pivotFmt>
      <c:pivotFmt>
        <c:idx val="647"/>
        <c:spPr>
          <a:solidFill>
            <a:schemeClr val="accent1"/>
          </a:solidFill>
          <a:ln>
            <a:noFill/>
          </a:ln>
          <a:effectLst>
            <a:outerShdw blurRad="254000" sx="102000" sy="102000" algn="ctr" rotWithShape="0">
              <a:prstClr val="black">
                <a:alpha val="20000"/>
              </a:prstClr>
            </a:outerShdw>
          </a:effectLst>
        </c:spPr>
      </c:pivotFmt>
      <c:pivotFmt>
        <c:idx val="648"/>
        <c:spPr>
          <a:solidFill>
            <a:schemeClr val="accent1"/>
          </a:solidFill>
          <a:ln>
            <a:noFill/>
          </a:ln>
          <a:effectLst>
            <a:outerShdw blurRad="254000" sx="102000" sy="102000" algn="ctr" rotWithShape="0">
              <a:prstClr val="black">
                <a:alpha val="20000"/>
              </a:prstClr>
            </a:outerShdw>
          </a:effectLst>
        </c:spPr>
      </c:pivotFmt>
      <c:pivotFmt>
        <c:idx val="649"/>
        <c:spPr>
          <a:solidFill>
            <a:schemeClr val="accent1"/>
          </a:solidFill>
          <a:ln>
            <a:noFill/>
          </a:ln>
          <a:effectLst>
            <a:outerShdw blurRad="254000" sx="102000" sy="102000" algn="ctr" rotWithShape="0">
              <a:prstClr val="black">
                <a:alpha val="20000"/>
              </a:prstClr>
            </a:outerShdw>
          </a:effectLst>
        </c:spPr>
      </c:pivotFmt>
      <c:pivotFmt>
        <c:idx val="650"/>
        <c:spPr>
          <a:solidFill>
            <a:schemeClr val="accent1"/>
          </a:solidFill>
          <a:ln>
            <a:noFill/>
          </a:ln>
          <a:effectLst>
            <a:outerShdw blurRad="254000" sx="102000" sy="102000" algn="ctr" rotWithShape="0">
              <a:prstClr val="black">
                <a:alpha val="20000"/>
              </a:prstClr>
            </a:outerShdw>
          </a:effectLst>
        </c:spPr>
      </c:pivotFmt>
      <c:pivotFmt>
        <c:idx val="651"/>
        <c:spPr>
          <a:solidFill>
            <a:schemeClr val="accent1"/>
          </a:solidFill>
          <a:ln>
            <a:noFill/>
          </a:ln>
          <a:effectLst>
            <a:outerShdw blurRad="254000" sx="102000" sy="102000" algn="ctr" rotWithShape="0">
              <a:prstClr val="black">
                <a:alpha val="20000"/>
              </a:prstClr>
            </a:outerShdw>
          </a:effectLst>
        </c:spPr>
      </c:pivotFmt>
      <c:pivotFmt>
        <c:idx val="652"/>
        <c:spPr>
          <a:solidFill>
            <a:schemeClr val="accent1"/>
          </a:solidFill>
          <a:ln>
            <a:noFill/>
          </a:ln>
          <a:effectLst>
            <a:outerShdw blurRad="254000" sx="102000" sy="102000" algn="ctr" rotWithShape="0">
              <a:prstClr val="black">
                <a:alpha val="20000"/>
              </a:prstClr>
            </a:outerShdw>
          </a:effectLst>
        </c:spPr>
      </c:pivotFmt>
      <c:pivotFmt>
        <c:idx val="653"/>
        <c:spPr>
          <a:solidFill>
            <a:schemeClr val="accent1"/>
          </a:solidFill>
          <a:ln>
            <a:noFill/>
          </a:ln>
          <a:effectLst>
            <a:outerShdw blurRad="254000" sx="102000" sy="102000" algn="ctr" rotWithShape="0">
              <a:prstClr val="black">
                <a:alpha val="20000"/>
              </a:prstClr>
            </a:outerShdw>
          </a:effectLst>
        </c:spPr>
      </c:pivotFmt>
      <c:pivotFmt>
        <c:idx val="654"/>
        <c:spPr>
          <a:solidFill>
            <a:schemeClr val="accent1"/>
          </a:solidFill>
          <a:ln>
            <a:noFill/>
          </a:ln>
          <a:effectLst>
            <a:outerShdw blurRad="254000" sx="102000" sy="102000" algn="ctr" rotWithShape="0">
              <a:prstClr val="black">
                <a:alpha val="20000"/>
              </a:prstClr>
            </a:outerShdw>
          </a:effectLst>
        </c:spPr>
      </c:pivotFmt>
      <c:pivotFmt>
        <c:idx val="655"/>
        <c:spPr>
          <a:solidFill>
            <a:schemeClr val="accent1"/>
          </a:solidFill>
          <a:ln>
            <a:noFill/>
          </a:ln>
          <a:effectLst>
            <a:outerShdw blurRad="254000" sx="102000" sy="102000" algn="ctr" rotWithShape="0">
              <a:prstClr val="black">
                <a:alpha val="20000"/>
              </a:prstClr>
            </a:outerShdw>
          </a:effectLst>
        </c:spPr>
      </c:pivotFmt>
      <c:pivotFmt>
        <c:idx val="656"/>
        <c:spPr>
          <a:solidFill>
            <a:schemeClr val="accent1"/>
          </a:solidFill>
          <a:ln>
            <a:noFill/>
          </a:ln>
          <a:effectLst>
            <a:outerShdw blurRad="254000" sx="102000" sy="102000" algn="ctr" rotWithShape="0">
              <a:prstClr val="black">
                <a:alpha val="20000"/>
              </a:prstClr>
            </a:outerShdw>
          </a:effectLst>
        </c:spPr>
      </c:pivotFmt>
      <c:pivotFmt>
        <c:idx val="657"/>
        <c:spPr>
          <a:solidFill>
            <a:schemeClr val="accent1"/>
          </a:solidFill>
          <a:ln>
            <a:noFill/>
          </a:ln>
          <a:effectLst>
            <a:outerShdw blurRad="254000" sx="102000" sy="102000" algn="ctr" rotWithShape="0">
              <a:prstClr val="black">
                <a:alpha val="20000"/>
              </a:prstClr>
            </a:outerShdw>
          </a:effectLst>
        </c:spPr>
      </c:pivotFmt>
      <c:pivotFmt>
        <c:idx val="658"/>
        <c:spPr>
          <a:solidFill>
            <a:schemeClr val="accent1"/>
          </a:solidFill>
          <a:ln>
            <a:noFill/>
          </a:ln>
          <a:effectLst>
            <a:outerShdw blurRad="254000" sx="102000" sy="102000" algn="ctr" rotWithShape="0">
              <a:prstClr val="black">
                <a:alpha val="20000"/>
              </a:prstClr>
            </a:outerShdw>
          </a:effectLst>
        </c:spPr>
      </c:pivotFmt>
      <c:pivotFmt>
        <c:idx val="659"/>
        <c:spPr>
          <a:solidFill>
            <a:schemeClr val="accent1"/>
          </a:solidFill>
          <a:ln>
            <a:noFill/>
          </a:ln>
          <a:effectLst>
            <a:outerShdw blurRad="254000" sx="102000" sy="102000" algn="ctr" rotWithShape="0">
              <a:prstClr val="black">
                <a:alpha val="20000"/>
              </a:prstClr>
            </a:outerShdw>
          </a:effectLst>
        </c:spPr>
      </c:pivotFmt>
      <c:pivotFmt>
        <c:idx val="660"/>
        <c:spPr>
          <a:solidFill>
            <a:schemeClr val="accent1"/>
          </a:solidFill>
          <a:ln>
            <a:noFill/>
          </a:ln>
          <a:effectLst>
            <a:outerShdw blurRad="254000" sx="102000" sy="102000" algn="ctr" rotWithShape="0">
              <a:prstClr val="black">
                <a:alpha val="20000"/>
              </a:prstClr>
            </a:outerShdw>
          </a:effectLst>
        </c:spPr>
      </c:pivotFmt>
      <c:pivotFmt>
        <c:idx val="661"/>
        <c:spPr>
          <a:solidFill>
            <a:schemeClr val="accent1"/>
          </a:solidFill>
          <a:ln>
            <a:noFill/>
          </a:ln>
          <a:effectLst>
            <a:outerShdw blurRad="254000" sx="102000" sy="102000" algn="ctr" rotWithShape="0">
              <a:prstClr val="black">
                <a:alpha val="20000"/>
              </a:prstClr>
            </a:outerShdw>
          </a:effectLst>
        </c:spPr>
      </c:pivotFmt>
      <c:pivotFmt>
        <c:idx val="662"/>
        <c:spPr>
          <a:solidFill>
            <a:schemeClr val="accent1"/>
          </a:solidFill>
          <a:ln>
            <a:noFill/>
          </a:ln>
          <a:effectLst>
            <a:outerShdw blurRad="254000" sx="102000" sy="102000" algn="ctr" rotWithShape="0">
              <a:prstClr val="black">
                <a:alpha val="20000"/>
              </a:prstClr>
            </a:outerShdw>
          </a:effectLst>
        </c:spPr>
      </c:pivotFmt>
      <c:pivotFmt>
        <c:idx val="663"/>
        <c:spPr>
          <a:solidFill>
            <a:schemeClr val="accent1"/>
          </a:solidFill>
          <a:ln>
            <a:noFill/>
          </a:ln>
          <a:effectLst>
            <a:outerShdw blurRad="254000" sx="102000" sy="102000" algn="ctr" rotWithShape="0">
              <a:prstClr val="black">
                <a:alpha val="20000"/>
              </a:prstClr>
            </a:outerShdw>
          </a:effectLst>
        </c:spPr>
      </c:pivotFmt>
      <c:pivotFmt>
        <c:idx val="664"/>
        <c:spPr>
          <a:solidFill>
            <a:schemeClr val="accent1"/>
          </a:solidFill>
          <a:ln>
            <a:noFill/>
          </a:ln>
          <a:effectLst>
            <a:outerShdw blurRad="254000" sx="102000" sy="102000" algn="ctr" rotWithShape="0">
              <a:prstClr val="black">
                <a:alpha val="20000"/>
              </a:prstClr>
            </a:outerShdw>
          </a:effectLst>
        </c:spPr>
      </c:pivotFmt>
      <c:pivotFmt>
        <c:idx val="665"/>
        <c:spPr>
          <a:solidFill>
            <a:schemeClr val="accent1"/>
          </a:solidFill>
          <a:ln>
            <a:noFill/>
          </a:ln>
          <a:effectLst>
            <a:outerShdw blurRad="254000" sx="102000" sy="102000" algn="ctr" rotWithShape="0">
              <a:prstClr val="black">
                <a:alpha val="20000"/>
              </a:prstClr>
            </a:outerShdw>
          </a:effectLst>
        </c:spPr>
      </c:pivotFmt>
      <c:pivotFmt>
        <c:idx val="666"/>
        <c:spPr>
          <a:solidFill>
            <a:schemeClr val="accent1"/>
          </a:solidFill>
          <a:ln>
            <a:noFill/>
          </a:ln>
          <a:effectLst>
            <a:outerShdw blurRad="254000" sx="102000" sy="102000" algn="ctr" rotWithShape="0">
              <a:prstClr val="black">
                <a:alpha val="20000"/>
              </a:prstClr>
            </a:outerShdw>
          </a:effectLst>
        </c:spPr>
      </c:pivotFmt>
      <c:pivotFmt>
        <c:idx val="667"/>
        <c:spPr>
          <a:solidFill>
            <a:schemeClr val="accent1"/>
          </a:solidFill>
          <a:ln>
            <a:noFill/>
          </a:ln>
          <a:effectLst>
            <a:outerShdw blurRad="254000" sx="102000" sy="102000" algn="ctr" rotWithShape="0">
              <a:prstClr val="black">
                <a:alpha val="20000"/>
              </a:prstClr>
            </a:outerShdw>
          </a:effectLst>
        </c:spPr>
      </c:pivotFmt>
      <c:pivotFmt>
        <c:idx val="668"/>
        <c:spPr>
          <a:solidFill>
            <a:schemeClr val="accent1"/>
          </a:solidFill>
          <a:ln>
            <a:noFill/>
          </a:ln>
          <a:effectLst>
            <a:outerShdw blurRad="254000" sx="102000" sy="102000" algn="ctr" rotWithShape="0">
              <a:prstClr val="black">
                <a:alpha val="20000"/>
              </a:prstClr>
            </a:outerShdw>
          </a:effectLst>
        </c:spPr>
      </c:pivotFmt>
      <c:pivotFmt>
        <c:idx val="669"/>
        <c:spPr>
          <a:solidFill>
            <a:schemeClr val="accent1"/>
          </a:solidFill>
          <a:ln>
            <a:noFill/>
          </a:ln>
          <a:effectLst>
            <a:outerShdw blurRad="254000" sx="102000" sy="102000" algn="ctr" rotWithShape="0">
              <a:prstClr val="black">
                <a:alpha val="20000"/>
              </a:prstClr>
            </a:outerShdw>
          </a:effectLst>
        </c:spPr>
      </c:pivotFmt>
      <c:pivotFmt>
        <c:idx val="670"/>
        <c:spPr>
          <a:solidFill>
            <a:schemeClr val="accent1"/>
          </a:solidFill>
          <a:ln>
            <a:noFill/>
          </a:ln>
          <a:effectLst>
            <a:outerShdw blurRad="254000" sx="102000" sy="102000" algn="ctr" rotWithShape="0">
              <a:prstClr val="black">
                <a:alpha val="20000"/>
              </a:prstClr>
            </a:outerShdw>
          </a:effectLst>
        </c:spPr>
      </c:pivotFmt>
      <c:pivotFmt>
        <c:idx val="671"/>
        <c:spPr>
          <a:solidFill>
            <a:schemeClr val="accent1"/>
          </a:solidFill>
          <a:ln>
            <a:noFill/>
          </a:ln>
          <a:effectLst>
            <a:outerShdw blurRad="254000" sx="102000" sy="102000" algn="ctr" rotWithShape="0">
              <a:prstClr val="black">
                <a:alpha val="20000"/>
              </a:prstClr>
            </a:outerShdw>
          </a:effectLst>
        </c:spPr>
      </c:pivotFmt>
      <c:pivotFmt>
        <c:idx val="672"/>
        <c:spPr>
          <a:solidFill>
            <a:schemeClr val="accent1"/>
          </a:solidFill>
          <a:ln>
            <a:noFill/>
          </a:ln>
          <a:effectLst>
            <a:outerShdw blurRad="254000" sx="102000" sy="102000" algn="ctr" rotWithShape="0">
              <a:prstClr val="black">
                <a:alpha val="20000"/>
              </a:prstClr>
            </a:outerShdw>
          </a:effectLst>
        </c:spPr>
      </c:pivotFmt>
      <c:pivotFmt>
        <c:idx val="673"/>
        <c:spPr>
          <a:solidFill>
            <a:schemeClr val="accent1"/>
          </a:solidFill>
          <a:ln>
            <a:noFill/>
          </a:ln>
          <a:effectLst>
            <a:outerShdw blurRad="254000" sx="102000" sy="102000" algn="ctr" rotWithShape="0">
              <a:prstClr val="black">
                <a:alpha val="20000"/>
              </a:prstClr>
            </a:outerShdw>
          </a:effectLst>
        </c:spPr>
      </c:pivotFmt>
      <c:pivotFmt>
        <c:idx val="674"/>
        <c:spPr>
          <a:solidFill>
            <a:schemeClr val="accent1"/>
          </a:solidFill>
          <a:ln>
            <a:noFill/>
          </a:ln>
          <a:effectLst>
            <a:outerShdw blurRad="254000" sx="102000" sy="102000" algn="ctr" rotWithShape="0">
              <a:prstClr val="black">
                <a:alpha val="20000"/>
              </a:prstClr>
            </a:outerShdw>
          </a:effectLst>
        </c:spPr>
      </c:pivotFmt>
      <c:pivotFmt>
        <c:idx val="675"/>
        <c:spPr>
          <a:solidFill>
            <a:schemeClr val="accent1"/>
          </a:solidFill>
          <a:ln>
            <a:noFill/>
          </a:ln>
          <a:effectLst>
            <a:outerShdw blurRad="254000" sx="102000" sy="102000" algn="ctr" rotWithShape="0">
              <a:prstClr val="black">
                <a:alpha val="20000"/>
              </a:prstClr>
            </a:outerShdw>
          </a:effectLst>
        </c:spPr>
      </c:pivotFmt>
      <c:pivotFmt>
        <c:idx val="676"/>
        <c:spPr>
          <a:solidFill>
            <a:schemeClr val="accent1"/>
          </a:solidFill>
          <a:ln>
            <a:noFill/>
          </a:ln>
          <a:effectLst>
            <a:outerShdw blurRad="254000" sx="102000" sy="102000" algn="ctr" rotWithShape="0">
              <a:prstClr val="black">
                <a:alpha val="20000"/>
              </a:prstClr>
            </a:outerShdw>
          </a:effectLst>
        </c:spPr>
      </c:pivotFmt>
      <c:pivotFmt>
        <c:idx val="677"/>
        <c:spPr>
          <a:solidFill>
            <a:schemeClr val="accent1"/>
          </a:solidFill>
          <a:ln>
            <a:noFill/>
          </a:ln>
          <a:effectLst>
            <a:outerShdw blurRad="254000" sx="102000" sy="102000" algn="ctr" rotWithShape="0">
              <a:prstClr val="black">
                <a:alpha val="20000"/>
              </a:prstClr>
            </a:outerShdw>
          </a:effectLst>
        </c:spPr>
      </c:pivotFmt>
      <c:pivotFmt>
        <c:idx val="678"/>
        <c:spPr>
          <a:solidFill>
            <a:schemeClr val="accent1"/>
          </a:solidFill>
          <a:ln>
            <a:noFill/>
          </a:ln>
          <a:effectLst>
            <a:outerShdw blurRad="254000" sx="102000" sy="102000" algn="ctr" rotWithShape="0">
              <a:prstClr val="black">
                <a:alpha val="20000"/>
              </a:prstClr>
            </a:outerShdw>
          </a:effectLst>
        </c:spPr>
      </c:pivotFmt>
      <c:pivotFmt>
        <c:idx val="679"/>
        <c:spPr>
          <a:solidFill>
            <a:schemeClr val="accent1"/>
          </a:solidFill>
          <a:ln>
            <a:noFill/>
          </a:ln>
          <a:effectLst>
            <a:outerShdw blurRad="254000" sx="102000" sy="102000" algn="ctr" rotWithShape="0">
              <a:prstClr val="black">
                <a:alpha val="20000"/>
              </a:prstClr>
            </a:outerShdw>
          </a:effectLst>
        </c:spPr>
      </c:pivotFmt>
      <c:pivotFmt>
        <c:idx val="680"/>
        <c:spPr>
          <a:solidFill>
            <a:schemeClr val="accent1"/>
          </a:solidFill>
          <a:ln>
            <a:noFill/>
          </a:ln>
          <a:effectLst>
            <a:outerShdw blurRad="254000" sx="102000" sy="102000" algn="ctr" rotWithShape="0">
              <a:prstClr val="black">
                <a:alpha val="20000"/>
              </a:prstClr>
            </a:outerShdw>
          </a:effectLst>
        </c:spPr>
      </c:pivotFmt>
      <c:pivotFmt>
        <c:idx val="681"/>
        <c:spPr>
          <a:solidFill>
            <a:schemeClr val="accent1"/>
          </a:solidFill>
          <a:ln>
            <a:noFill/>
          </a:ln>
          <a:effectLst>
            <a:outerShdw blurRad="254000" sx="102000" sy="102000" algn="ctr" rotWithShape="0">
              <a:prstClr val="black">
                <a:alpha val="20000"/>
              </a:prstClr>
            </a:outerShdw>
          </a:effectLst>
        </c:spPr>
      </c:pivotFmt>
      <c:pivotFmt>
        <c:idx val="682"/>
        <c:spPr>
          <a:solidFill>
            <a:schemeClr val="accent1"/>
          </a:solidFill>
          <a:ln>
            <a:noFill/>
          </a:ln>
          <a:effectLst>
            <a:outerShdw blurRad="254000" sx="102000" sy="102000" algn="ctr" rotWithShape="0">
              <a:prstClr val="black">
                <a:alpha val="20000"/>
              </a:prstClr>
            </a:outerShdw>
          </a:effectLst>
        </c:spPr>
      </c:pivotFmt>
      <c:pivotFmt>
        <c:idx val="683"/>
        <c:spPr>
          <a:solidFill>
            <a:schemeClr val="accent1"/>
          </a:solidFill>
          <a:ln>
            <a:noFill/>
          </a:ln>
          <a:effectLst>
            <a:outerShdw blurRad="254000" sx="102000" sy="102000" algn="ctr" rotWithShape="0">
              <a:prstClr val="black">
                <a:alpha val="20000"/>
              </a:prstClr>
            </a:outerShdw>
          </a:effectLst>
        </c:spPr>
      </c:pivotFmt>
      <c:pivotFmt>
        <c:idx val="684"/>
        <c:spPr>
          <a:solidFill>
            <a:schemeClr val="accent1"/>
          </a:solidFill>
          <a:ln>
            <a:noFill/>
          </a:ln>
          <a:effectLst>
            <a:outerShdw blurRad="254000" sx="102000" sy="102000" algn="ctr" rotWithShape="0">
              <a:prstClr val="black">
                <a:alpha val="20000"/>
              </a:prstClr>
            </a:outerShdw>
          </a:effectLst>
        </c:spPr>
      </c:pivotFmt>
      <c:pivotFmt>
        <c:idx val="685"/>
        <c:spPr>
          <a:solidFill>
            <a:schemeClr val="accent1"/>
          </a:solidFill>
          <a:ln>
            <a:noFill/>
          </a:ln>
          <a:effectLst>
            <a:outerShdw blurRad="254000" sx="102000" sy="102000" algn="ctr" rotWithShape="0">
              <a:prstClr val="black">
                <a:alpha val="20000"/>
              </a:prstClr>
            </a:outerShdw>
          </a:effectLst>
        </c:spPr>
      </c:pivotFmt>
      <c:pivotFmt>
        <c:idx val="686"/>
        <c:spPr>
          <a:solidFill>
            <a:schemeClr val="accent1"/>
          </a:solidFill>
          <a:ln>
            <a:noFill/>
          </a:ln>
          <a:effectLst>
            <a:outerShdw blurRad="254000" sx="102000" sy="102000" algn="ctr" rotWithShape="0">
              <a:prstClr val="black">
                <a:alpha val="20000"/>
              </a:prstClr>
            </a:outerShdw>
          </a:effectLst>
        </c:spPr>
      </c:pivotFmt>
      <c:pivotFmt>
        <c:idx val="687"/>
        <c:spPr>
          <a:solidFill>
            <a:schemeClr val="accent1"/>
          </a:solidFill>
          <a:ln>
            <a:noFill/>
          </a:ln>
          <a:effectLst>
            <a:outerShdw blurRad="254000" sx="102000" sy="102000" algn="ctr" rotWithShape="0">
              <a:prstClr val="black">
                <a:alpha val="20000"/>
              </a:prstClr>
            </a:outerShdw>
          </a:effectLst>
        </c:spPr>
      </c:pivotFmt>
      <c:pivotFmt>
        <c:idx val="688"/>
        <c:spPr>
          <a:solidFill>
            <a:schemeClr val="accent1"/>
          </a:solidFill>
          <a:ln>
            <a:noFill/>
          </a:ln>
          <a:effectLst>
            <a:outerShdw blurRad="254000" sx="102000" sy="102000" algn="ctr" rotWithShape="0">
              <a:prstClr val="black">
                <a:alpha val="20000"/>
              </a:prstClr>
            </a:outerShdw>
          </a:effectLst>
        </c:spPr>
      </c:pivotFmt>
      <c:pivotFmt>
        <c:idx val="689"/>
        <c:spPr>
          <a:solidFill>
            <a:schemeClr val="accent1"/>
          </a:solidFill>
          <a:ln>
            <a:noFill/>
          </a:ln>
          <a:effectLst>
            <a:outerShdw blurRad="254000" sx="102000" sy="102000" algn="ctr" rotWithShape="0">
              <a:prstClr val="black">
                <a:alpha val="20000"/>
              </a:prstClr>
            </a:outerShdw>
          </a:effectLst>
        </c:spPr>
      </c:pivotFmt>
      <c:pivotFmt>
        <c:idx val="690"/>
        <c:spPr>
          <a:solidFill>
            <a:schemeClr val="accent1"/>
          </a:solidFill>
          <a:ln>
            <a:noFill/>
          </a:ln>
          <a:effectLst>
            <a:outerShdw blurRad="254000" sx="102000" sy="102000" algn="ctr" rotWithShape="0">
              <a:prstClr val="black">
                <a:alpha val="20000"/>
              </a:prstClr>
            </a:outerShdw>
          </a:effectLst>
        </c:spPr>
      </c:pivotFmt>
      <c:pivotFmt>
        <c:idx val="691"/>
        <c:spPr>
          <a:solidFill>
            <a:schemeClr val="accent1"/>
          </a:solidFill>
          <a:ln>
            <a:noFill/>
          </a:ln>
          <a:effectLst>
            <a:outerShdw blurRad="254000" sx="102000" sy="102000" algn="ctr" rotWithShape="0">
              <a:prstClr val="black">
                <a:alpha val="20000"/>
              </a:prstClr>
            </a:outerShdw>
          </a:effectLst>
        </c:spPr>
      </c:pivotFmt>
      <c:pivotFmt>
        <c:idx val="692"/>
        <c:spPr>
          <a:solidFill>
            <a:schemeClr val="accent1"/>
          </a:solidFill>
          <a:ln>
            <a:noFill/>
          </a:ln>
          <a:effectLst>
            <a:outerShdw blurRad="254000" sx="102000" sy="102000" algn="ctr" rotWithShape="0">
              <a:prstClr val="black">
                <a:alpha val="20000"/>
              </a:prstClr>
            </a:outerShdw>
          </a:effectLst>
        </c:spPr>
      </c:pivotFmt>
      <c:pivotFmt>
        <c:idx val="693"/>
        <c:spPr>
          <a:solidFill>
            <a:schemeClr val="accent1"/>
          </a:solidFill>
          <a:ln>
            <a:noFill/>
          </a:ln>
          <a:effectLst>
            <a:outerShdw blurRad="254000" sx="102000" sy="102000" algn="ctr" rotWithShape="0">
              <a:prstClr val="black">
                <a:alpha val="20000"/>
              </a:prstClr>
            </a:outerShdw>
          </a:effectLst>
        </c:spPr>
      </c:pivotFmt>
      <c:pivotFmt>
        <c:idx val="694"/>
        <c:spPr>
          <a:solidFill>
            <a:schemeClr val="accent1"/>
          </a:solidFill>
          <a:ln>
            <a:noFill/>
          </a:ln>
          <a:effectLst>
            <a:outerShdw blurRad="254000" sx="102000" sy="102000" algn="ctr" rotWithShape="0">
              <a:prstClr val="black">
                <a:alpha val="20000"/>
              </a:prstClr>
            </a:outerShdw>
          </a:effectLst>
        </c:spPr>
      </c:pivotFmt>
      <c:pivotFmt>
        <c:idx val="695"/>
        <c:spPr>
          <a:solidFill>
            <a:schemeClr val="accent1"/>
          </a:solidFill>
          <a:ln>
            <a:noFill/>
          </a:ln>
          <a:effectLst>
            <a:outerShdw blurRad="254000" sx="102000" sy="102000" algn="ctr" rotWithShape="0">
              <a:prstClr val="black">
                <a:alpha val="20000"/>
              </a:prstClr>
            </a:outerShdw>
          </a:effectLst>
        </c:spPr>
      </c:pivotFmt>
      <c:pivotFmt>
        <c:idx val="696"/>
        <c:spPr>
          <a:solidFill>
            <a:schemeClr val="accent1"/>
          </a:solidFill>
          <a:ln>
            <a:noFill/>
          </a:ln>
          <a:effectLst>
            <a:outerShdw blurRad="254000" sx="102000" sy="102000" algn="ctr" rotWithShape="0">
              <a:prstClr val="black">
                <a:alpha val="20000"/>
              </a:prstClr>
            </a:outerShdw>
          </a:effectLst>
        </c:spPr>
      </c:pivotFmt>
      <c:pivotFmt>
        <c:idx val="697"/>
        <c:spPr>
          <a:solidFill>
            <a:schemeClr val="accent1"/>
          </a:solidFill>
          <a:ln>
            <a:noFill/>
          </a:ln>
          <a:effectLst>
            <a:outerShdw blurRad="254000" sx="102000" sy="102000" algn="ctr" rotWithShape="0">
              <a:prstClr val="black">
                <a:alpha val="20000"/>
              </a:prstClr>
            </a:outerShdw>
          </a:effectLst>
        </c:spPr>
      </c:pivotFmt>
      <c:pivotFmt>
        <c:idx val="698"/>
        <c:spPr>
          <a:solidFill>
            <a:schemeClr val="accent1"/>
          </a:solidFill>
          <a:ln>
            <a:noFill/>
          </a:ln>
          <a:effectLst>
            <a:outerShdw blurRad="254000" sx="102000" sy="102000" algn="ctr" rotWithShape="0">
              <a:prstClr val="black">
                <a:alpha val="20000"/>
              </a:prstClr>
            </a:outerShdw>
          </a:effectLst>
        </c:spPr>
      </c:pivotFmt>
      <c:pivotFmt>
        <c:idx val="699"/>
        <c:spPr>
          <a:solidFill>
            <a:schemeClr val="accent1"/>
          </a:solidFill>
          <a:ln>
            <a:noFill/>
          </a:ln>
          <a:effectLst>
            <a:outerShdw blurRad="254000" sx="102000" sy="102000" algn="ctr" rotWithShape="0">
              <a:prstClr val="black">
                <a:alpha val="20000"/>
              </a:prstClr>
            </a:outerShdw>
          </a:effectLst>
        </c:spPr>
      </c:pivotFmt>
      <c:pivotFmt>
        <c:idx val="700"/>
        <c:spPr>
          <a:solidFill>
            <a:schemeClr val="accent1"/>
          </a:solidFill>
          <a:ln>
            <a:noFill/>
          </a:ln>
          <a:effectLst>
            <a:outerShdw blurRad="254000" sx="102000" sy="102000" algn="ctr" rotWithShape="0">
              <a:prstClr val="black">
                <a:alpha val="20000"/>
              </a:prstClr>
            </a:outerShdw>
          </a:effectLst>
        </c:spPr>
      </c:pivotFmt>
      <c:pivotFmt>
        <c:idx val="701"/>
        <c:spPr>
          <a:solidFill>
            <a:schemeClr val="accent1"/>
          </a:solidFill>
          <a:ln>
            <a:noFill/>
          </a:ln>
          <a:effectLst>
            <a:outerShdw blurRad="254000" sx="102000" sy="102000" algn="ctr" rotWithShape="0">
              <a:prstClr val="black">
                <a:alpha val="20000"/>
              </a:prstClr>
            </a:outerShdw>
          </a:effectLst>
        </c:spPr>
      </c:pivotFmt>
      <c:pivotFmt>
        <c:idx val="702"/>
        <c:spPr>
          <a:solidFill>
            <a:schemeClr val="accent1"/>
          </a:solidFill>
          <a:ln>
            <a:noFill/>
          </a:ln>
          <a:effectLst>
            <a:outerShdw blurRad="254000" sx="102000" sy="102000" algn="ctr" rotWithShape="0">
              <a:prstClr val="black">
                <a:alpha val="20000"/>
              </a:prstClr>
            </a:outerShdw>
          </a:effectLst>
        </c:spPr>
      </c:pivotFmt>
      <c:pivotFmt>
        <c:idx val="703"/>
        <c:spPr>
          <a:solidFill>
            <a:schemeClr val="accent1"/>
          </a:solidFill>
          <a:ln>
            <a:noFill/>
          </a:ln>
          <a:effectLst>
            <a:outerShdw blurRad="254000" sx="102000" sy="102000" algn="ctr" rotWithShape="0">
              <a:prstClr val="black">
                <a:alpha val="20000"/>
              </a:prstClr>
            </a:outerShdw>
          </a:effectLst>
        </c:spPr>
      </c:pivotFmt>
      <c:pivotFmt>
        <c:idx val="704"/>
        <c:spPr>
          <a:solidFill>
            <a:schemeClr val="accent1"/>
          </a:solidFill>
          <a:ln>
            <a:noFill/>
          </a:ln>
          <a:effectLst>
            <a:outerShdw blurRad="254000" sx="102000" sy="102000" algn="ctr" rotWithShape="0">
              <a:prstClr val="black">
                <a:alpha val="20000"/>
              </a:prstClr>
            </a:outerShdw>
          </a:effectLst>
        </c:spPr>
      </c:pivotFmt>
      <c:pivotFmt>
        <c:idx val="705"/>
        <c:spPr>
          <a:solidFill>
            <a:schemeClr val="accent1"/>
          </a:solidFill>
          <a:ln>
            <a:noFill/>
          </a:ln>
          <a:effectLst>
            <a:outerShdw blurRad="254000" sx="102000" sy="102000" algn="ctr" rotWithShape="0">
              <a:prstClr val="black">
                <a:alpha val="20000"/>
              </a:prstClr>
            </a:outerShdw>
          </a:effectLst>
        </c:spPr>
      </c:pivotFmt>
      <c:pivotFmt>
        <c:idx val="706"/>
        <c:spPr>
          <a:solidFill>
            <a:schemeClr val="accent1"/>
          </a:solidFill>
          <a:ln>
            <a:noFill/>
          </a:ln>
          <a:effectLst>
            <a:outerShdw blurRad="254000" sx="102000" sy="102000" algn="ctr" rotWithShape="0">
              <a:prstClr val="black">
                <a:alpha val="20000"/>
              </a:prstClr>
            </a:outerShdw>
          </a:effectLst>
        </c:spPr>
      </c:pivotFmt>
      <c:pivotFmt>
        <c:idx val="707"/>
        <c:spPr>
          <a:solidFill>
            <a:schemeClr val="accent1"/>
          </a:solidFill>
          <a:ln>
            <a:noFill/>
          </a:ln>
          <a:effectLst>
            <a:outerShdw blurRad="254000" sx="102000" sy="102000" algn="ctr" rotWithShape="0">
              <a:prstClr val="black">
                <a:alpha val="20000"/>
              </a:prstClr>
            </a:outerShdw>
          </a:effectLst>
        </c:spPr>
      </c:pivotFmt>
      <c:pivotFmt>
        <c:idx val="708"/>
        <c:spPr>
          <a:solidFill>
            <a:schemeClr val="accent1"/>
          </a:solidFill>
          <a:ln>
            <a:noFill/>
          </a:ln>
          <a:effectLst>
            <a:outerShdw blurRad="254000" sx="102000" sy="102000" algn="ctr" rotWithShape="0">
              <a:prstClr val="black">
                <a:alpha val="20000"/>
              </a:prstClr>
            </a:outerShdw>
          </a:effectLst>
        </c:spPr>
      </c:pivotFmt>
      <c:pivotFmt>
        <c:idx val="709"/>
        <c:spPr>
          <a:solidFill>
            <a:schemeClr val="accent1"/>
          </a:solidFill>
          <a:ln>
            <a:noFill/>
          </a:ln>
          <a:effectLst>
            <a:outerShdw blurRad="254000" sx="102000" sy="102000" algn="ctr" rotWithShape="0">
              <a:prstClr val="black">
                <a:alpha val="20000"/>
              </a:prstClr>
            </a:outerShdw>
          </a:effectLst>
        </c:spPr>
      </c:pivotFmt>
      <c:pivotFmt>
        <c:idx val="710"/>
        <c:spPr>
          <a:solidFill>
            <a:schemeClr val="accent1"/>
          </a:solidFill>
          <a:ln>
            <a:noFill/>
          </a:ln>
          <a:effectLst>
            <a:outerShdw blurRad="254000" sx="102000" sy="102000" algn="ctr" rotWithShape="0">
              <a:prstClr val="black">
                <a:alpha val="20000"/>
              </a:prstClr>
            </a:outerShdw>
          </a:effectLst>
        </c:spPr>
      </c:pivotFmt>
      <c:pivotFmt>
        <c:idx val="711"/>
        <c:spPr>
          <a:solidFill>
            <a:schemeClr val="accent1"/>
          </a:solidFill>
          <a:ln>
            <a:noFill/>
          </a:ln>
          <a:effectLst>
            <a:outerShdw blurRad="254000" sx="102000" sy="102000" algn="ctr" rotWithShape="0">
              <a:prstClr val="black">
                <a:alpha val="20000"/>
              </a:prstClr>
            </a:outerShdw>
          </a:effectLst>
        </c:spPr>
      </c:pivotFmt>
      <c:pivotFmt>
        <c:idx val="712"/>
        <c:spPr>
          <a:solidFill>
            <a:schemeClr val="accent1"/>
          </a:solidFill>
          <a:ln>
            <a:noFill/>
          </a:ln>
          <a:effectLst>
            <a:outerShdw blurRad="254000" sx="102000" sy="102000" algn="ctr" rotWithShape="0">
              <a:prstClr val="black">
                <a:alpha val="20000"/>
              </a:prstClr>
            </a:outerShdw>
          </a:effectLst>
        </c:spPr>
      </c:pivotFmt>
      <c:pivotFmt>
        <c:idx val="713"/>
        <c:spPr>
          <a:solidFill>
            <a:schemeClr val="accent1"/>
          </a:solidFill>
          <a:ln>
            <a:noFill/>
          </a:ln>
          <a:effectLst>
            <a:outerShdw blurRad="254000" sx="102000" sy="102000" algn="ctr" rotWithShape="0">
              <a:prstClr val="black">
                <a:alpha val="20000"/>
              </a:prstClr>
            </a:outerShdw>
          </a:effectLst>
        </c:spPr>
      </c:pivotFmt>
      <c:pivotFmt>
        <c:idx val="714"/>
        <c:spPr>
          <a:solidFill>
            <a:schemeClr val="accent1"/>
          </a:solidFill>
          <a:ln>
            <a:noFill/>
          </a:ln>
          <a:effectLst>
            <a:outerShdw blurRad="254000" sx="102000" sy="102000" algn="ctr" rotWithShape="0">
              <a:prstClr val="black">
                <a:alpha val="20000"/>
              </a:prstClr>
            </a:outerShdw>
          </a:effectLst>
        </c:spPr>
      </c:pivotFmt>
      <c:pivotFmt>
        <c:idx val="715"/>
        <c:spPr>
          <a:solidFill>
            <a:schemeClr val="accent1"/>
          </a:solidFill>
          <a:ln>
            <a:noFill/>
          </a:ln>
          <a:effectLst>
            <a:outerShdw blurRad="254000" sx="102000" sy="102000" algn="ctr" rotWithShape="0">
              <a:prstClr val="black">
                <a:alpha val="20000"/>
              </a:prstClr>
            </a:outerShdw>
          </a:effectLst>
        </c:spPr>
      </c:pivotFmt>
      <c:pivotFmt>
        <c:idx val="716"/>
        <c:spPr>
          <a:solidFill>
            <a:schemeClr val="accent1"/>
          </a:solidFill>
          <a:ln>
            <a:noFill/>
          </a:ln>
          <a:effectLst>
            <a:outerShdw blurRad="254000" sx="102000" sy="102000" algn="ctr" rotWithShape="0">
              <a:prstClr val="black">
                <a:alpha val="20000"/>
              </a:prstClr>
            </a:outerShdw>
          </a:effectLst>
        </c:spPr>
      </c:pivotFmt>
      <c:pivotFmt>
        <c:idx val="717"/>
        <c:spPr>
          <a:solidFill>
            <a:schemeClr val="accent1"/>
          </a:solidFill>
          <a:ln>
            <a:noFill/>
          </a:ln>
          <a:effectLst>
            <a:outerShdw blurRad="254000" sx="102000" sy="102000" algn="ctr" rotWithShape="0">
              <a:prstClr val="black">
                <a:alpha val="20000"/>
              </a:prstClr>
            </a:outerShdw>
          </a:effectLst>
        </c:spPr>
      </c:pivotFmt>
      <c:pivotFmt>
        <c:idx val="718"/>
        <c:spPr>
          <a:solidFill>
            <a:schemeClr val="accent1"/>
          </a:solidFill>
          <a:ln>
            <a:noFill/>
          </a:ln>
          <a:effectLst>
            <a:outerShdw blurRad="254000" sx="102000" sy="102000" algn="ctr" rotWithShape="0">
              <a:prstClr val="black">
                <a:alpha val="20000"/>
              </a:prstClr>
            </a:outerShdw>
          </a:effectLst>
        </c:spPr>
      </c:pivotFmt>
      <c:pivotFmt>
        <c:idx val="719"/>
        <c:spPr>
          <a:solidFill>
            <a:schemeClr val="accent1"/>
          </a:solidFill>
          <a:ln>
            <a:noFill/>
          </a:ln>
          <a:effectLst>
            <a:outerShdw blurRad="254000" sx="102000" sy="102000" algn="ctr" rotWithShape="0">
              <a:prstClr val="black">
                <a:alpha val="20000"/>
              </a:prstClr>
            </a:outerShdw>
          </a:effectLst>
        </c:spPr>
      </c:pivotFmt>
      <c:pivotFmt>
        <c:idx val="720"/>
        <c:spPr>
          <a:solidFill>
            <a:schemeClr val="accent1"/>
          </a:solidFill>
          <a:ln>
            <a:noFill/>
          </a:ln>
          <a:effectLst>
            <a:outerShdw blurRad="254000" sx="102000" sy="102000" algn="ctr" rotWithShape="0">
              <a:prstClr val="black">
                <a:alpha val="20000"/>
              </a:prstClr>
            </a:outerShdw>
          </a:effectLst>
        </c:spPr>
      </c:pivotFmt>
      <c:pivotFmt>
        <c:idx val="721"/>
        <c:spPr>
          <a:solidFill>
            <a:schemeClr val="accent1"/>
          </a:solidFill>
          <a:ln>
            <a:noFill/>
          </a:ln>
          <a:effectLst>
            <a:outerShdw blurRad="254000" sx="102000" sy="102000" algn="ctr" rotWithShape="0">
              <a:prstClr val="black">
                <a:alpha val="20000"/>
              </a:prstClr>
            </a:outerShdw>
          </a:effectLst>
        </c:spPr>
      </c:pivotFmt>
      <c:pivotFmt>
        <c:idx val="722"/>
        <c:spPr>
          <a:solidFill>
            <a:schemeClr val="accent1"/>
          </a:solidFill>
          <a:ln>
            <a:noFill/>
          </a:ln>
          <a:effectLst>
            <a:outerShdw blurRad="254000" sx="102000" sy="102000" algn="ctr" rotWithShape="0">
              <a:prstClr val="black">
                <a:alpha val="20000"/>
              </a:prstClr>
            </a:outerShdw>
          </a:effectLst>
        </c:spPr>
      </c:pivotFmt>
      <c:pivotFmt>
        <c:idx val="723"/>
        <c:spPr>
          <a:solidFill>
            <a:schemeClr val="accent1"/>
          </a:solidFill>
          <a:ln>
            <a:noFill/>
          </a:ln>
          <a:effectLst>
            <a:outerShdw blurRad="254000" sx="102000" sy="102000" algn="ctr" rotWithShape="0">
              <a:prstClr val="black">
                <a:alpha val="20000"/>
              </a:prstClr>
            </a:outerShdw>
          </a:effectLst>
        </c:spPr>
      </c:pivotFmt>
      <c:pivotFmt>
        <c:idx val="724"/>
        <c:spPr>
          <a:solidFill>
            <a:schemeClr val="accent1"/>
          </a:solidFill>
          <a:ln>
            <a:noFill/>
          </a:ln>
          <a:effectLst>
            <a:outerShdw blurRad="254000" sx="102000" sy="102000" algn="ctr" rotWithShape="0">
              <a:prstClr val="black">
                <a:alpha val="20000"/>
              </a:prstClr>
            </a:outerShdw>
          </a:effectLst>
        </c:spPr>
      </c:pivotFmt>
      <c:pivotFmt>
        <c:idx val="725"/>
        <c:spPr>
          <a:solidFill>
            <a:schemeClr val="accent1"/>
          </a:solidFill>
          <a:ln>
            <a:noFill/>
          </a:ln>
          <a:effectLst>
            <a:outerShdw blurRad="254000" sx="102000" sy="102000" algn="ctr" rotWithShape="0">
              <a:prstClr val="black">
                <a:alpha val="20000"/>
              </a:prstClr>
            </a:outerShdw>
          </a:effectLst>
        </c:spPr>
      </c:pivotFmt>
      <c:pivotFmt>
        <c:idx val="726"/>
        <c:spPr>
          <a:solidFill>
            <a:schemeClr val="accent1"/>
          </a:solidFill>
          <a:ln>
            <a:noFill/>
          </a:ln>
          <a:effectLst>
            <a:outerShdw blurRad="254000" sx="102000" sy="102000" algn="ctr" rotWithShape="0">
              <a:prstClr val="black">
                <a:alpha val="20000"/>
              </a:prstClr>
            </a:outerShdw>
          </a:effectLst>
        </c:spPr>
      </c:pivotFmt>
      <c:pivotFmt>
        <c:idx val="727"/>
        <c:spPr>
          <a:solidFill>
            <a:schemeClr val="accent1"/>
          </a:solidFill>
          <a:ln>
            <a:noFill/>
          </a:ln>
          <a:effectLst>
            <a:outerShdw blurRad="254000" sx="102000" sy="102000" algn="ctr" rotWithShape="0">
              <a:prstClr val="black">
                <a:alpha val="20000"/>
              </a:prstClr>
            </a:outerShdw>
          </a:effectLst>
        </c:spPr>
      </c:pivotFmt>
      <c:pivotFmt>
        <c:idx val="728"/>
        <c:spPr>
          <a:solidFill>
            <a:schemeClr val="accent1"/>
          </a:solidFill>
          <a:ln>
            <a:noFill/>
          </a:ln>
          <a:effectLst>
            <a:outerShdw blurRad="254000" sx="102000" sy="102000" algn="ctr" rotWithShape="0">
              <a:prstClr val="black">
                <a:alpha val="20000"/>
              </a:prstClr>
            </a:outerShdw>
          </a:effectLst>
        </c:spPr>
      </c:pivotFmt>
      <c:pivotFmt>
        <c:idx val="729"/>
        <c:spPr>
          <a:solidFill>
            <a:schemeClr val="accent1"/>
          </a:solidFill>
          <a:ln>
            <a:noFill/>
          </a:ln>
          <a:effectLst>
            <a:outerShdw blurRad="254000" sx="102000" sy="102000" algn="ctr" rotWithShape="0">
              <a:prstClr val="black">
                <a:alpha val="20000"/>
              </a:prstClr>
            </a:outerShdw>
          </a:effectLst>
        </c:spPr>
      </c:pivotFmt>
      <c:pivotFmt>
        <c:idx val="730"/>
        <c:spPr>
          <a:solidFill>
            <a:schemeClr val="accent1"/>
          </a:solidFill>
          <a:ln>
            <a:noFill/>
          </a:ln>
          <a:effectLst>
            <a:outerShdw blurRad="254000" sx="102000" sy="102000" algn="ctr" rotWithShape="0">
              <a:prstClr val="black">
                <a:alpha val="20000"/>
              </a:prstClr>
            </a:outerShdw>
          </a:effectLst>
        </c:spPr>
      </c:pivotFmt>
      <c:pivotFmt>
        <c:idx val="731"/>
        <c:spPr>
          <a:solidFill>
            <a:schemeClr val="accent1"/>
          </a:solidFill>
          <a:ln>
            <a:noFill/>
          </a:ln>
          <a:effectLst>
            <a:outerShdw blurRad="254000" sx="102000" sy="102000" algn="ctr" rotWithShape="0">
              <a:prstClr val="black">
                <a:alpha val="20000"/>
              </a:prstClr>
            </a:outerShdw>
          </a:effectLst>
        </c:spPr>
      </c:pivotFmt>
      <c:pivotFmt>
        <c:idx val="732"/>
        <c:spPr>
          <a:solidFill>
            <a:schemeClr val="accent1"/>
          </a:solidFill>
          <a:ln>
            <a:noFill/>
          </a:ln>
          <a:effectLst>
            <a:outerShdw blurRad="254000" sx="102000" sy="102000" algn="ctr" rotWithShape="0">
              <a:prstClr val="black">
                <a:alpha val="20000"/>
              </a:prstClr>
            </a:outerShdw>
          </a:effectLst>
        </c:spPr>
      </c:pivotFmt>
      <c:pivotFmt>
        <c:idx val="733"/>
        <c:spPr>
          <a:solidFill>
            <a:schemeClr val="accent1"/>
          </a:solidFill>
          <a:ln>
            <a:noFill/>
          </a:ln>
          <a:effectLst>
            <a:outerShdw blurRad="254000" sx="102000" sy="102000" algn="ctr" rotWithShape="0">
              <a:prstClr val="black">
                <a:alpha val="20000"/>
              </a:prstClr>
            </a:outerShdw>
          </a:effectLst>
        </c:spPr>
      </c:pivotFmt>
      <c:pivotFmt>
        <c:idx val="734"/>
        <c:spPr>
          <a:solidFill>
            <a:schemeClr val="accent1"/>
          </a:solidFill>
          <a:ln>
            <a:noFill/>
          </a:ln>
          <a:effectLst>
            <a:outerShdw blurRad="254000" sx="102000" sy="102000" algn="ctr" rotWithShape="0">
              <a:prstClr val="black">
                <a:alpha val="20000"/>
              </a:prstClr>
            </a:outerShdw>
          </a:effectLst>
        </c:spPr>
      </c:pivotFmt>
      <c:pivotFmt>
        <c:idx val="735"/>
        <c:spPr>
          <a:solidFill>
            <a:schemeClr val="accent1"/>
          </a:solidFill>
          <a:ln>
            <a:noFill/>
          </a:ln>
          <a:effectLst>
            <a:outerShdw blurRad="254000" sx="102000" sy="102000" algn="ctr" rotWithShape="0">
              <a:prstClr val="black">
                <a:alpha val="20000"/>
              </a:prstClr>
            </a:outerShdw>
          </a:effectLst>
        </c:spPr>
      </c:pivotFmt>
      <c:pivotFmt>
        <c:idx val="736"/>
        <c:spPr>
          <a:solidFill>
            <a:schemeClr val="accent1"/>
          </a:solidFill>
          <a:ln>
            <a:noFill/>
          </a:ln>
          <a:effectLst>
            <a:outerShdw blurRad="254000" sx="102000" sy="102000" algn="ctr" rotWithShape="0">
              <a:prstClr val="black">
                <a:alpha val="20000"/>
              </a:prstClr>
            </a:outerShdw>
          </a:effectLst>
        </c:spPr>
      </c:pivotFmt>
      <c:pivotFmt>
        <c:idx val="737"/>
        <c:spPr>
          <a:solidFill>
            <a:schemeClr val="accent1"/>
          </a:solidFill>
          <a:ln>
            <a:noFill/>
          </a:ln>
          <a:effectLst>
            <a:outerShdw blurRad="254000" sx="102000" sy="102000" algn="ctr" rotWithShape="0">
              <a:prstClr val="black">
                <a:alpha val="20000"/>
              </a:prstClr>
            </a:outerShdw>
          </a:effectLst>
        </c:spPr>
      </c:pivotFmt>
      <c:pivotFmt>
        <c:idx val="738"/>
        <c:spPr>
          <a:solidFill>
            <a:schemeClr val="accent1"/>
          </a:solidFill>
          <a:ln>
            <a:noFill/>
          </a:ln>
          <a:effectLst>
            <a:outerShdw blurRad="254000" sx="102000" sy="102000" algn="ctr" rotWithShape="0">
              <a:prstClr val="black">
                <a:alpha val="20000"/>
              </a:prstClr>
            </a:outerShdw>
          </a:effectLst>
        </c:spPr>
      </c:pivotFmt>
      <c:pivotFmt>
        <c:idx val="739"/>
        <c:spPr>
          <a:solidFill>
            <a:schemeClr val="accent1"/>
          </a:solidFill>
          <a:ln>
            <a:noFill/>
          </a:ln>
          <a:effectLst>
            <a:outerShdw blurRad="254000" sx="102000" sy="102000" algn="ctr" rotWithShape="0">
              <a:prstClr val="black">
                <a:alpha val="20000"/>
              </a:prstClr>
            </a:outerShdw>
          </a:effectLst>
        </c:spPr>
      </c:pivotFmt>
      <c:pivotFmt>
        <c:idx val="740"/>
        <c:spPr>
          <a:solidFill>
            <a:schemeClr val="accent1"/>
          </a:solidFill>
          <a:ln>
            <a:noFill/>
          </a:ln>
          <a:effectLst>
            <a:outerShdw blurRad="254000" sx="102000" sy="102000" algn="ctr" rotWithShape="0">
              <a:prstClr val="black">
                <a:alpha val="20000"/>
              </a:prstClr>
            </a:outerShdw>
          </a:effectLst>
        </c:spPr>
      </c:pivotFmt>
      <c:pivotFmt>
        <c:idx val="741"/>
        <c:spPr>
          <a:solidFill>
            <a:schemeClr val="accent1"/>
          </a:solidFill>
          <a:ln>
            <a:noFill/>
          </a:ln>
          <a:effectLst>
            <a:outerShdw blurRad="254000" sx="102000" sy="102000" algn="ctr" rotWithShape="0">
              <a:prstClr val="black">
                <a:alpha val="20000"/>
              </a:prstClr>
            </a:outerShdw>
          </a:effectLst>
        </c:spPr>
      </c:pivotFmt>
      <c:pivotFmt>
        <c:idx val="742"/>
        <c:spPr>
          <a:solidFill>
            <a:schemeClr val="accent1"/>
          </a:solidFill>
          <a:ln>
            <a:noFill/>
          </a:ln>
          <a:effectLst>
            <a:outerShdw blurRad="254000" sx="102000" sy="102000" algn="ctr" rotWithShape="0">
              <a:prstClr val="black">
                <a:alpha val="20000"/>
              </a:prstClr>
            </a:outerShdw>
          </a:effectLst>
        </c:spPr>
      </c:pivotFmt>
      <c:pivotFmt>
        <c:idx val="743"/>
        <c:spPr>
          <a:solidFill>
            <a:schemeClr val="accent1"/>
          </a:solidFill>
          <a:ln>
            <a:noFill/>
          </a:ln>
          <a:effectLst>
            <a:outerShdw blurRad="254000" sx="102000" sy="102000" algn="ctr" rotWithShape="0">
              <a:prstClr val="black">
                <a:alpha val="20000"/>
              </a:prstClr>
            </a:outerShdw>
          </a:effectLst>
        </c:spPr>
      </c:pivotFmt>
      <c:pivotFmt>
        <c:idx val="744"/>
        <c:spPr>
          <a:solidFill>
            <a:schemeClr val="accent1"/>
          </a:solidFill>
          <a:ln>
            <a:noFill/>
          </a:ln>
          <a:effectLst>
            <a:outerShdw blurRad="254000" sx="102000" sy="102000" algn="ctr" rotWithShape="0">
              <a:prstClr val="black">
                <a:alpha val="20000"/>
              </a:prstClr>
            </a:outerShdw>
          </a:effectLst>
        </c:spPr>
      </c:pivotFmt>
      <c:pivotFmt>
        <c:idx val="745"/>
        <c:spPr>
          <a:solidFill>
            <a:schemeClr val="accent1"/>
          </a:solidFill>
          <a:ln>
            <a:noFill/>
          </a:ln>
          <a:effectLst>
            <a:outerShdw blurRad="254000" sx="102000" sy="102000" algn="ctr" rotWithShape="0">
              <a:prstClr val="black">
                <a:alpha val="20000"/>
              </a:prstClr>
            </a:outerShdw>
          </a:effectLst>
        </c:spPr>
      </c:pivotFmt>
      <c:pivotFmt>
        <c:idx val="746"/>
        <c:spPr>
          <a:solidFill>
            <a:schemeClr val="accent1"/>
          </a:solidFill>
          <a:ln>
            <a:noFill/>
          </a:ln>
          <a:effectLst>
            <a:outerShdw blurRad="254000" sx="102000" sy="102000" algn="ctr" rotWithShape="0">
              <a:prstClr val="black">
                <a:alpha val="20000"/>
              </a:prstClr>
            </a:outerShdw>
          </a:effectLst>
        </c:spPr>
      </c:pivotFmt>
      <c:pivotFmt>
        <c:idx val="747"/>
        <c:spPr>
          <a:solidFill>
            <a:schemeClr val="accent1"/>
          </a:solidFill>
          <a:ln>
            <a:noFill/>
          </a:ln>
          <a:effectLst>
            <a:outerShdw blurRad="254000" sx="102000" sy="102000" algn="ctr" rotWithShape="0">
              <a:prstClr val="black">
                <a:alpha val="20000"/>
              </a:prstClr>
            </a:outerShdw>
          </a:effectLst>
        </c:spPr>
      </c:pivotFmt>
      <c:pivotFmt>
        <c:idx val="748"/>
        <c:spPr>
          <a:solidFill>
            <a:schemeClr val="accent1"/>
          </a:solidFill>
          <a:ln>
            <a:noFill/>
          </a:ln>
          <a:effectLst>
            <a:outerShdw blurRad="254000" sx="102000" sy="102000" algn="ctr" rotWithShape="0">
              <a:prstClr val="black">
                <a:alpha val="20000"/>
              </a:prstClr>
            </a:outerShdw>
          </a:effectLst>
        </c:spPr>
      </c:pivotFmt>
      <c:pivotFmt>
        <c:idx val="749"/>
        <c:spPr>
          <a:solidFill>
            <a:schemeClr val="accent1"/>
          </a:solidFill>
          <a:ln>
            <a:noFill/>
          </a:ln>
          <a:effectLst>
            <a:outerShdw blurRad="254000" sx="102000" sy="102000" algn="ctr" rotWithShape="0">
              <a:prstClr val="black">
                <a:alpha val="20000"/>
              </a:prstClr>
            </a:outerShdw>
          </a:effectLst>
        </c:spPr>
      </c:pivotFmt>
      <c:pivotFmt>
        <c:idx val="750"/>
        <c:spPr>
          <a:solidFill>
            <a:schemeClr val="accent1"/>
          </a:solidFill>
          <a:ln>
            <a:noFill/>
          </a:ln>
          <a:effectLst>
            <a:outerShdw blurRad="254000" sx="102000" sy="102000" algn="ctr" rotWithShape="0">
              <a:prstClr val="black">
                <a:alpha val="20000"/>
              </a:prstClr>
            </a:outerShdw>
          </a:effectLst>
        </c:spPr>
      </c:pivotFmt>
      <c:pivotFmt>
        <c:idx val="751"/>
        <c:spPr>
          <a:solidFill>
            <a:schemeClr val="accent1"/>
          </a:solidFill>
          <a:ln>
            <a:noFill/>
          </a:ln>
          <a:effectLst>
            <a:outerShdw blurRad="254000" sx="102000" sy="102000" algn="ctr" rotWithShape="0">
              <a:prstClr val="black">
                <a:alpha val="20000"/>
              </a:prstClr>
            </a:outerShdw>
          </a:effectLst>
        </c:spPr>
      </c:pivotFmt>
      <c:pivotFmt>
        <c:idx val="752"/>
        <c:spPr>
          <a:solidFill>
            <a:schemeClr val="accent1"/>
          </a:solidFill>
          <a:ln>
            <a:noFill/>
          </a:ln>
          <a:effectLst>
            <a:outerShdw blurRad="254000" sx="102000" sy="102000" algn="ctr" rotWithShape="0">
              <a:prstClr val="black">
                <a:alpha val="20000"/>
              </a:prstClr>
            </a:outerShdw>
          </a:effectLst>
        </c:spPr>
      </c:pivotFmt>
      <c:pivotFmt>
        <c:idx val="753"/>
        <c:spPr>
          <a:solidFill>
            <a:schemeClr val="accent1"/>
          </a:solidFill>
          <a:ln>
            <a:noFill/>
          </a:ln>
          <a:effectLst>
            <a:outerShdw blurRad="254000" sx="102000" sy="102000" algn="ctr" rotWithShape="0">
              <a:prstClr val="black">
                <a:alpha val="20000"/>
              </a:prstClr>
            </a:outerShdw>
          </a:effectLst>
        </c:spPr>
      </c:pivotFmt>
      <c:pivotFmt>
        <c:idx val="754"/>
        <c:spPr>
          <a:solidFill>
            <a:schemeClr val="accent1"/>
          </a:solidFill>
          <a:ln>
            <a:noFill/>
          </a:ln>
          <a:effectLst>
            <a:outerShdw blurRad="254000" sx="102000" sy="102000" algn="ctr" rotWithShape="0">
              <a:prstClr val="black">
                <a:alpha val="20000"/>
              </a:prstClr>
            </a:outerShdw>
          </a:effectLst>
        </c:spPr>
      </c:pivotFmt>
      <c:pivotFmt>
        <c:idx val="755"/>
        <c:spPr>
          <a:solidFill>
            <a:schemeClr val="accent1"/>
          </a:solidFill>
          <a:ln>
            <a:noFill/>
          </a:ln>
          <a:effectLst>
            <a:outerShdw blurRad="254000" sx="102000" sy="102000" algn="ctr" rotWithShape="0">
              <a:prstClr val="black">
                <a:alpha val="20000"/>
              </a:prstClr>
            </a:outerShdw>
          </a:effectLst>
        </c:spPr>
      </c:pivotFmt>
      <c:pivotFmt>
        <c:idx val="756"/>
        <c:spPr>
          <a:solidFill>
            <a:schemeClr val="accent1"/>
          </a:solidFill>
          <a:ln>
            <a:noFill/>
          </a:ln>
          <a:effectLst>
            <a:outerShdw blurRad="254000" sx="102000" sy="102000" algn="ctr" rotWithShape="0">
              <a:prstClr val="black">
                <a:alpha val="20000"/>
              </a:prstClr>
            </a:outerShdw>
          </a:effectLst>
        </c:spPr>
      </c:pivotFmt>
      <c:pivotFmt>
        <c:idx val="757"/>
        <c:spPr>
          <a:solidFill>
            <a:schemeClr val="accent1"/>
          </a:solidFill>
          <a:ln>
            <a:noFill/>
          </a:ln>
          <a:effectLst>
            <a:outerShdw blurRad="254000" sx="102000" sy="102000" algn="ctr" rotWithShape="0">
              <a:prstClr val="black">
                <a:alpha val="20000"/>
              </a:prstClr>
            </a:outerShdw>
          </a:effectLst>
        </c:spPr>
      </c:pivotFmt>
      <c:pivotFmt>
        <c:idx val="758"/>
        <c:spPr>
          <a:solidFill>
            <a:schemeClr val="accent1"/>
          </a:solidFill>
          <a:ln>
            <a:noFill/>
          </a:ln>
          <a:effectLst>
            <a:outerShdw blurRad="254000" sx="102000" sy="102000" algn="ctr" rotWithShape="0">
              <a:prstClr val="black">
                <a:alpha val="20000"/>
              </a:prstClr>
            </a:outerShdw>
          </a:effectLst>
        </c:spPr>
      </c:pivotFmt>
      <c:pivotFmt>
        <c:idx val="759"/>
        <c:spPr>
          <a:solidFill>
            <a:schemeClr val="accent1"/>
          </a:solidFill>
          <a:ln>
            <a:noFill/>
          </a:ln>
          <a:effectLst>
            <a:outerShdw blurRad="254000" sx="102000" sy="102000" algn="ctr" rotWithShape="0">
              <a:prstClr val="black">
                <a:alpha val="20000"/>
              </a:prstClr>
            </a:outerShdw>
          </a:effectLst>
        </c:spPr>
      </c:pivotFmt>
      <c:pivotFmt>
        <c:idx val="760"/>
        <c:spPr>
          <a:solidFill>
            <a:schemeClr val="accent1"/>
          </a:solidFill>
          <a:ln>
            <a:noFill/>
          </a:ln>
          <a:effectLst>
            <a:outerShdw blurRad="254000" sx="102000" sy="102000" algn="ctr" rotWithShape="0">
              <a:prstClr val="black">
                <a:alpha val="20000"/>
              </a:prstClr>
            </a:outerShdw>
          </a:effectLst>
        </c:spPr>
      </c:pivotFmt>
      <c:pivotFmt>
        <c:idx val="761"/>
        <c:spPr>
          <a:solidFill>
            <a:schemeClr val="accent1"/>
          </a:solidFill>
          <a:ln>
            <a:noFill/>
          </a:ln>
          <a:effectLst>
            <a:outerShdw blurRad="254000" sx="102000" sy="102000" algn="ctr" rotWithShape="0">
              <a:prstClr val="black">
                <a:alpha val="20000"/>
              </a:prstClr>
            </a:outerShdw>
          </a:effectLst>
        </c:spPr>
      </c:pivotFmt>
      <c:pivotFmt>
        <c:idx val="762"/>
        <c:spPr>
          <a:solidFill>
            <a:schemeClr val="accent1"/>
          </a:solidFill>
          <a:ln>
            <a:noFill/>
          </a:ln>
          <a:effectLst>
            <a:outerShdw blurRad="254000" sx="102000" sy="102000" algn="ctr" rotWithShape="0">
              <a:prstClr val="black">
                <a:alpha val="20000"/>
              </a:prstClr>
            </a:outerShdw>
          </a:effectLst>
        </c:spPr>
      </c:pivotFmt>
      <c:pivotFmt>
        <c:idx val="763"/>
        <c:spPr>
          <a:solidFill>
            <a:schemeClr val="accent1"/>
          </a:solidFill>
          <a:ln>
            <a:noFill/>
          </a:ln>
          <a:effectLst>
            <a:outerShdw blurRad="254000" sx="102000" sy="102000" algn="ctr" rotWithShape="0">
              <a:prstClr val="black">
                <a:alpha val="20000"/>
              </a:prstClr>
            </a:outerShdw>
          </a:effectLst>
        </c:spPr>
      </c:pivotFmt>
      <c:pivotFmt>
        <c:idx val="764"/>
        <c:spPr>
          <a:solidFill>
            <a:schemeClr val="accent1"/>
          </a:solidFill>
          <a:ln>
            <a:noFill/>
          </a:ln>
          <a:effectLst>
            <a:outerShdw blurRad="254000" sx="102000" sy="102000" algn="ctr" rotWithShape="0">
              <a:prstClr val="black">
                <a:alpha val="20000"/>
              </a:prstClr>
            </a:outerShdw>
          </a:effectLst>
        </c:spPr>
      </c:pivotFmt>
      <c:pivotFmt>
        <c:idx val="765"/>
        <c:spPr>
          <a:solidFill>
            <a:schemeClr val="accent1"/>
          </a:solidFill>
          <a:ln>
            <a:noFill/>
          </a:ln>
          <a:effectLst>
            <a:outerShdw blurRad="254000" sx="102000" sy="102000" algn="ctr" rotWithShape="0">
              <a:prstClr val="black">
                <a:alpha val="20000"/>
              </a:prstClr>
            </a:outerShdw>
          </a:effectLst>
        </c:spPr>
      </c:pivotFmt>
      <c:pivotFmt>
        <c:idx val="766"/>
        <c:spPr>
          <a:solidFill>
            <a:schemeClr val="accent1"/>
          </a:solidFill>
          <a:ln>
            <a:noFill/>
          </a:ln>
          <a:effectLst>
            <a:outerShdw blurRad="254000" sx="102000" sy="102000" algn="ctr" rotWithShape="0">
              <a:prstClr val="black">
                <a:alpha val="20000"/>
              </a:prstClr>
            </a:outerShdw>
          </a:effectLst>
        </c:spPr>
      </c:pivotFmt>
      <c:pivotFmt>
        <c:idx val="767"/>
        <c:spPr>
          <a:solidFill>
            <a:schemeClr val="accent1"/>
          </a:solidFill>
          <a:ln>
            <a:noFill/>
          </a:ln>
          <a:effectLst>
            <a:outerShdw blurRad="254000" sx="102000" sy="102000" algn="ctr" rotWithShape="0">
              <a:prstClr val="black">
                <a:alpha val="20000"/>
              </a:prstClr>
            </a:outerShdw>
          </a:effectLst>
        </c:spPr>
      </c:pivotFmt>
      <c:pivotFmt>
        <c:idx val="768"/>
        <c:spPr>
          <a:solidFill>
            <a:schemeClr val="accent1"/>
          </a:solidFill>
          <a:ln>
            <a:noFill/>
          </a:ln>
          <a:effectLst>
            <a:outerShdw blurRad="254000" sx="102000" sy="102000" algn="ctr" rotWithShape="0">
              <a:prstClr val="black">
                <a:alpha val="20000"/>
              </a:prstClr>
            </a:outerShdw>
          </a:effectLst>
        </c:spPr>
      </c:pivotFmt>
      <c:pivotFmt>
        <c:idx val="769"/>
        <c:spPr>
          <a:solidFill>
            <a:schemeClr val="accent1"/>
          </a:solidFill>
          <a:ln>
            <a:noFill/>
          </a:ln>
          <a:effectLst>
            <a:outerShdw blurRad="254000" sx="102000" sy="102000" algn="ctr" rotWithShape="0">
              <a:prstClr val="black">
                <a:alpha val="20000"/>
              </a:prstClr>
            </a:outerShdw>
          </a:effectLst>
        </c:spPr>
      </c:pivotFmt>
      <c:pivotFmt>
        <c:idx val="770"/>
        <c:spPr>
          <a:solidFill>
            <a:schemeClr val="accent1"/>
          </a:solidFill>
          <a:ln>
            <a:noFill/>
          </a:ln>
          <a:effectLst>
            <a:outerShdw blurRad="254000" sx="102000" sy="102000" algn="ctr" rotWithShape="0">
              <a:prstClr val="black">
                <a:alpha val="20000"/>
              </a:prstClr>
            </a:outerShdw>
          </a:effectLst>
        </c:spPr>
      </c:pivotFmt>
      <c:pivotFmt>
        <c:idx val="771"/>
        <c:spPr>
          <a:solidFill>
            <a:schemeClr val="accent1"/>
          </a:solidFill>
          <a:ln>
            <a:noFill/>
          </a:ln>
          <a:effectLst>
            <a:outerShdw blurRad="254000" sx="102000" sy="102000" algn="ctr" rotWithShape="0">
              <a:prstClr val="black">
                <a:alpha val="20000"/>
              </a:prstClr>
            </a:outerShdw>
          </a:effectLst>
        </c:spPr>
      </c:pivotFmt>
      <c:pivotFmt>
        <c:idx val="772"/>
        <c:spPr>
          <a:solidFill>
            <a:schemeClr val="accent1"/>
          </a:solidFill>
          <a:ln>
            <a:noFill/>
          </a:ln>
          <a:effectLst>
            <a:outerShdw blurRad="254000" sx="102000" sy="102000" algn="ctr" rotWithShape="0">
              <a:prstClr val="black">
                <a:alpha val="20000"/>
              </a:prstClr>
            </a:outerShdw>
          </a:effectLst>
        </c:spPr>
      </c:pivotFmt>
      <c:pivotFmt>
        <c:idx val="773"/>
        <c:spPr>
          <a:solidFill>
            <a:schemeClr val="accent1"/>
          </a:solidFill>
          <a:ln>
            <a:noFill/>
          </a:ln>
          <a:effectLst>
            <a:outerShdw blurRad="254000" sx="102000" sy="102000" algn="ctr" rotWithShape="0">
              <a:prstClr val="black">
                <a:alpha val="20000"/>
              </a:prstClr>
            </a:outerShdw>
          </a:effectLst>
        </c:spPr>
      </c:pivotFmt>
      <c:pivotFmt>
        <c:idx val="774"/>
        <c:spPr>
          <a:solidFill>
            <a:schemeClr val="accent1"/>
          </a:solidFill>
          <a:ln>
            <a:noFill/>
          </a:ln>
          <a:effectLst>
            <a:outerShdw blurRad="254000" sx="102000" sy="102000" algn="ctr" rotWithShape="0">
              <a:prstClr val="black">
                <a:alpha val="20000"/>
              </a:prstClr>
            </a:outerShdw>
          </a:effectLst>
        </c:spPr>
      </c:pivotFmt>
      <c:pivotFmt>
        <c:idx val="775"/>
        <c:spPr>
          <a:solidFill>
            <a:schemeClr val="accent1"/>
          </a:solidFill>
          <a:ln>
            <a:noFill/>
          </a:ln>
          <a:effectLst>
            <a:outerShdw blurRad="254000" sx="102000" sy="102000" algn="ctr" rotWithShape="0">
              <a:prstClr val="black">
                <a:alpha val="20000"/>
              </a:prstClr>
            </a:outerShdw>
          </a:effectLst>
        </c:spPr>
      </c:pivotFmt>
      <c:pivotFmt>
        <c:idx val="776"/>
        <c:spPr>
          <a:solidFill>
            <a:schemeClr val="accent1"/>
          </a:solidFill>
          <a:ln>
            <a:noFill/>
          </a:ln>
          <a:effectLst>
            <a:outerShdw blurRad="254000" sx="102000" sy="102000" algn="ctr" rotWithShape="0">
              <a:prstClr val="black">
                <a:alpha val="20000"/>
              </a:prstClr>
            </a:outerShdw>
          </a:effectLst>
        </c:spPr>
      </c:pivotFmt>
      <c:pivotFmt>
        <c:idx val="777"/>
        <c:spPr>
          <a:solidFill>
            <a:schemeClr val="accent1"/>
          </a:solidFill>
          <a:ln>
            <a:noFill/>
          </a:ln>
          <a:effectLst>
            <a:outerShdw blurRad="254000" sx="102000" sy="102000" algn="ctr" rotWithShape="0">
              <a:prstClr val="black">
                <a:alpha val="20000"/>
              </a:prstClr>
            </a:outerShdw>
          </a:effectLst>
        </c:spPr>
      </c:pivotFmt>
      <c:pivotFmt>
        <c:idx val="778"/>
        <c:spPr>
          <a:solidFill>
            <a:schemeClr val="accent1"/>
          </a:solidFill>
          <a:ln>
            <a:noFill/>
          </a:ln>
          <a:effectLst>
            <a:outerShdw blurRad="254000" sx="102000" sy="102000" algn="ctr" rotWithShape="0">
              <a:prstClr val="black">
                <a:alpha val="20000"/>
              </a:prstClr>
            </a:outerShdw>
          </a:effectLst>
        </c:spPr>
      </c:pivotFmt>
      <c:pivotFmt>
        <c:idx val="779"/>
        <c:spPr>
          <a:solidFill>
            <a:schemeClr val="accent1"/>
          </a:solidFill>
          <a:ln>
            <a:noFill/>
          </a:ln>
          <a:effectLst>
            <a:outerShdw blurRad="254000" sx="102000" sy="102000" algn="ctr" rotWithShape="0">
              <a:prstClr val="black">
                <a:alpha val="20000"/>
              </a:prstClr>
            </a:outerShdw>
          </a:effectLst>
        </c:spPr>
      </c:pivotFmt>
      <c:pivotFmt>
        <c:idx val="780"/>
        <c:spPr>
          <a:solidFill>
            <a:schemeClr val="accent1"/>
          </a:solidFill>
          <a:ln>
            <a:noFill/>
          </a:ln>
          <a:effectLst>
            <a:outerShdw blurRad="254000" sx="102000" sy="102000" algn="ctr" rotWithShape="0">
              <a:prstClr val="black">
                <a:alpha val="20000"/>
              </a:prstClr>
            </a:outerShdw>
          </a:effectLst>
        </c:spPr>
      </c:pivotFmt>
      <c:pivotFmt>
        <c:idx val="781"/>
        <c:spPr>
          <a:solidFill>
            <a:schemeClr val="accent1"/>
          </a:solidFill>
          <a:ln>
            <a:noFill/>
          </a:ln>
          <a:effectLst>
            <a:outerShdw blurRad="254000" sx="102000" sy="102000" algn="ctr" rotWithShape="0">
              <a:prstClr val="black">
                <a:alpha val="20000"/>
              </a:prstClr>
            </a:outerShdw>
          </a:effectLst>
        </c:spPr>
      </c:pivotFmt>
      <c:pivotFmt>
        <c:idx val="782"/>
        <c:spPr>
          <a:solidFill>
            <a:schemeClr val="accent1"/>
          </a:solidFill>
          <a:ln>
            <a:noFill/>
          </a:ln>
          <a:effectLst>
            <a:outerShdw blurRad="254000" sx="102000" sy="102000" algn="ctr" rotWithShape="0">
              <a:prstClr val="black">
                <a:alpha val="20000"/>
              </a:prstClr>
            </a:outerShdw>
          </a:effectLst>
        </c:spPr>
      </c:pivotFmt>
      <c:pivotFmt>
        <c:idx val="783"/>
        <c:spPr>
          <a:solidFill>
            <a:schemeClr val="accent1"/>
          </a:solidFill>
          <a:ln>
            <a:noFill/>
          </a:ln>
          <a:effectLst>
            <a:outerShdw blurRad="254000" sx="102000" sy="102000" algn="ctr" rotWithShape="0">
              <a:prstClr val="black">
                <a:alpha val="20000"/>
              </a:prstClr>
            </a:outerShdw>
          </a:effectLst>
        </c:spPr>
      </c:pivotFmt>
      <c:pivotFmt>
        <c:idx val="784"/>
        <c:spPr>
          <a:solidFill>
            <a:schemeClr val="accent1"/>
          </a:solidFill>
          <a:ln>
            <a:noFill/>
          </a:ln>
          <a:effectLst>
            <a:outerShdw blurRad="254000" sx="102000" sy="102000" algn="ctr" rotWithShape="0">
              <a:prstClr val="black">
                <a:alpha val="20000"/>
              </a:prstClr>
            </a:outerShdw>
          </a:effectLst>
        </c:spPr>
      </c:pivotFmt>
      <c:pivotFmt>
        <c:idx val="785"/>
        <c:spPr>
          <a:solidFill>
            <a:schemeClr val="accent1"/>
          </a:solidFill>
          <a:ln>
            <a:noFill/>
          </a:ln>
          <a:effectLst>
            <a:outerShdw blurRad="254000" sx="102000" sy="102000" algn="ctr" rotWithShape="0">
              <a:prstClr val="black">
                <a:alpha val="20000"/>
              </a:prstClr>
            </a:outerShdw>
          </a:effectLst>
        </c:spPr>
      </c:pivotFmt>
      <c:pivotFmt>
        <c:idx val="786"/>
        <c:spPr>
          <a:solidFill>
            <a:schemeClr val="accent1"/>
          </a:solidFill>
          <a:ln>
            <a:noFill/>
          </a:ln>
          <a:effectLst>
            <a:outerShdw blurRad="254000" sx="102000" sy="102000" algn="ctr" rotWithShape="0">
              <a:prstClr val="black">
                <a:alpha val="20000"/>
              </a:prstClr>
            </a:outerShdw>
          </a:effectLst>
        </c:spPr>
      </c:pivotFmt>
      <c:pivotFmt>
        <c:idx val="787"/>
        <c:spPr>
          <a:solidFill>
            <a:schemeClr val="accent1"/>
          </a:solidFill>
          <a:ln>
            <a:noFill/>
          </a:ln>
          <a:effectLst>
            <a:outerShdw blurRad="254000" sx="102000" sy="102000" algn="ctr" rotWithShape="0">
              <a:prstClr val="black">
                <a:alpha val="20000"/>
              </a:prstClr>
            </a:outerShdw>
          </a:effectLst>
        </c:spPr>
      </c:pivotFmt>
      <c:pivotFmt>
        <c:idx val="788"/>
        <c:spPr>
          <a:solidFill>
            <a:schemeClr val="accent1"/>
          </a:solidFill>
          <a:ln>
            <a:noFill/>
          </a:ln>
          <a:effectLst>
            <a:outerShdw blurRad="254000" sx="102000" sy="102000" algn="ctr" rotWithShape="0">
              <a:prstClr val="black">
                <a:alpha val="20000"/>
              </a:prstClr>
            </a:outerShdw>
          </a:effectLst>
        </c:spPr>
      </c:pivotFmt>
      <c:pivotFmt>
        <c:idx val="789"/>
        <c:spPr>
          <a:solidFill>
            <a:schemeClr val="accent1"/>
          </a:solidFill>
          <a:ln>
            <a:noFill/>
          </a:ln>
          <a:effectLst>
            <a:outerShdw blurRad="254000" sx="102000" sy="102000" algn="ctr" rotWithShape="0">
              <a:prstClr val="black">
                <a:alpha val="20000"/>
              </a:prstClr>
            </a:outerShdw>
          </a:effectLst>
        </c:spPr>
      </c:pivotFmt>
      <c:pivotFmt>
        <c:idx val="790"/>
        <c:spPr>
          <a:solidFill>
            <a:schemeClr val="accent1"/>
          </a:solidFill>
          <a:ln>
            <a:noFill/>
          </a:ln>
          <a:effectLst>
            <a:outerShdw blurRad="254000" sx="102000" sy="102000" algn="ctr" rotWithShape="0">
              <a:prstClr val="black">
                <a:alpha val="20000"/>
              </a:prstClr>
            </a:outerShdw>
          </a:effectLst>
        </c:spPr>
      </c:pivotFmt>
      <c:pivotFmt>
        <c:idx val="791"/>
        <c:spPr>
          <a:solidFill>
            <a:schemeClr val="accent1"/>
          </a:solidFill>
          <a:ln>
            <a:noFill/>
          </a:ln>
          <a:effectLst>
            <a:outerShdw blurRad="254000" sx="102000" sy="102000" algn="ctr" rotWithShape="0">
              <a:prstClr val="black">
                <a:alpha val="20000"/>
              </a:prstClr>
            </a:outerShdw>
          </a:effectLst>
        </c:spPr>
      </c:pivotFmt>
      <c:pivotFmt>
        <c:idx val="792"/>
        <c:spPr>
          <a:solidFill>
            <a:schemeClr val="accent1"/>
          </a:solidFill>
          <a:ln>
            <a:noFill/>
          </a:ln>
          <a:effectLst>
            <a:outerShdw blurRad="254000" sx="102000" sy="102000" algn="ctr" rotWithShape="0">
              <a:prstClr val="black">
                <a:alpha val="20000"/>
              </a:prstClr>
            </a:outerShdw>
          </a:effectLst>
        </c:spPr>
      </c:pivotFmt>
      <c:pivotFmt>
        <c:idx val="793"/>
        <c:spPr>
          <a:solidFill>
            <a:schemeClr val="accent1"/>
          </a:solidFill>
          <a:ln>
            <a:noFill/>
          </a:ln>
          <a:effectLst>
            <a:outerShdw blurRad="254000" sx="102000" sy="102000" algn="ctr" rotWithShape="0">
              <a:prstClr val="black">
                <a:alpha val="20000"/>
              </a:prstClr>
            </a:outerShdw>
          </a:effectLst>
        </c:spPr>
      </c:pivotFmt>
      <c:pivotFmt>
        <c:idx val="794"/>
        <c:spPr>
          <a:solidFill>
            <a:schemeClr val="accent1"/>
          </a:solidFill>
          <a:ln>
            <a:noFill/>
          </a:ln>
          <a:effectLst>
            <a:outerShdw blurRad="254000" sx="102000" sy="102000" algn="ctr" rotWithShape="0">
              <a:prstClr val="black">
                <a:alpha val="20000"/>
              </a:prstClr>
            </a:outerShdw>
          </a:effectLst>
        </c:spPr>
      </c:pivotFmt>
      <c:pivotFmt>
        <c:idx val="795"/>
        <c:spPr>
          <a:solidFill>
            <a:schemeClr val="accent1"/>
          </a:solidFill>
          <a:ln>
            <a:noFill/>
          </a:ln>
          <a:effectLst>
            <a:outerShdw blurRad="254000" sx="102000" sy="102000" algn="ctr" rotWithShape="0">
              <a:prstClr val="black">
                <a:alpha val="20000"/>
              </a:prstClr>
            </a:outerShdw>
          </a:effectLst>
        </c:spPr>
      </c:pivotFmt>
      <c:pivotFmt>
        <c:idx val="796"/>
        <c:spPr>
          <a:solidFill>
            <a:schemeClr val="accent1"/>
          </a:solidFill>
          <a:ln>
            <a:noFill/>
          </a:ln>
          <a:effectLst>
            <a:outerShdw blurRad="254000" sx="102000" sy="102000" algn="ctr" rotWithShape="0">
              <a:prstClr val="black">
                <a:alpha val="20000"/>
              </a:prstClr>
            </a:outerShdw>
          </a:effectLst>
        </c:spPr>
      </c:pivotFmt>
      <c:pivotFmt>
        <c:idx val="797"/>
        <c:spPr>
          <a:solidFill>
            <a:schemeClr val="accent1"/>
          </a:solidFill>
          <a:ln>
            <a:noFill/>
          </a:ln>
          <a:effectLst>
            <a:outerShdw blurRad="254000" sx="102000" sy="102000" algn="ctr" rotWithShape="0">
              <a:prstClr val="black">
                <a:alpha val="20000"/>
              </a:prstClr>
            </a:outerShdw>
          </a:effectLst>
        </c:spPr>
      </c:pivotFmt>
      <c:pivotFmt>
        <c:idx val="798"/>
        <c:spPr>
          <a:solidFill>
            <a:schemeClr val="accent1"/>
          </a:solidFill>
          <a:ln>
            <a:noFill/>
          </a:ln>
          <a:effectLst>
            <a:outerShdw blurRad="254000" sx="102000" sy="102000" algn="ctr" rotWithShape="0">
              <a:prstClr val="black">
                <a:alpha val="20000"/>
              </a:prstClr>
            </a:outerShdw>
          </a:effectLst>
        </c:spPr>
      </c:pivotFmt>
      <c:pivotFmt>
        <c:idx val="799"/>
        <c:spPr>
          <a:solidFill>
            <a:schemeClr val="accent1"/>
          </a:solidFill>
          <a:ln>
            <a:noFill/>
          </a:ln>
          <a:effectLst>
            <a:outerShdw blurRad="254000" sx="102000" sy="102000" algn="ctr" rotWithShape="0">
              <a:prstClr val="black">
                <a:alpha val="20000"/>
              </a:prstClr>
            </a:outerShdw>
          </a:effectLst>
        </c:spPr>
      </c:pivotFmt>
      <c:pivotFmt>
        <c:idx val="800"/>
        <c:spPr>
          <a:solidFill>
            <a:schemeClr val="accent1"/>
          </a:solidFill>
          <a:ln>
            <a:noFill/>
          </a:ln>
          <a:effectLst>
            <a:outerShdw blurRad="254000" sx="102000" sy="102000" algn="ctr" rotWithShape="0">
              <a:prstClr val="black">
                <a:alpha val="20000"/>
              </a:prstClr>
            </a:outerShdw>
          </a:effectLst>
        </c:spPr>
      </c:pivotFmt>
      <c:pivotFmt>
        <c:idx val="801"/>
        <c:spPr>
          <a:solidFill>
            <a:schemeClr val="accent1"/>
          </a:solidFill>
          <a:ln>
            <a:noFill/>
          </a:ln>
          <a:effectLst>
            <a:outerShdw blurRad="254000" sx="102000" sy="102000" algn="ctr" rotWithShape="0">
              <a:prstClr val="black">
                <a:alpha val="20000"/>
              </a:prstClr>
            </a:outerShdw>
          </a:effectLst>
        </c:spPr>
      </c:pivotFmt>
      <c:pivotFmt>
        <c:idx val="802"/>
        <c:spPr>
          <a:solidFill>
            <a:schemeClr val="accent1"/>
          </a:solidFill>
          <a:ln>
            <a:noFill/>
          </a:ln>
          <a:effectLst>
            <a:outerShdw blurRad="254000" sx="102000" sy="102000" algn="ctr" rotWithShape="0">
              <a:prstClr val="black">
                <a:alpha val="20000"/>
              </a:prstClr>
            </a:outerShdw>
          </a:effectLst>
        </c:spPr>
      </c:pivotFmt>
      <c:pivotFmt>
        <c:idx val="803"/>
        <c:spPr>
          <a:solidFill>
            <a:schemeClr val="accent1"/>
          </a:solidFill>
          <a:ln>
            <a:noFill/>
          </a:ln>
          <a:effectLst>
            <a:outerShdw blurRad="254000" sx="102000" sy="102000" algn="ctr" rotWithShape="0">
              <a:prstClr val="black">
                <a:alpha val="20000"/>
              </a:prstClr>
            </a:outerShdw>
          </a:effectLst>
        </c:spPr>
      </c:pivotFmt>
      <c:pivotFmt>
        <c:idx val="804"/>
        <c:spPr>
          <a:solidFill>
            <a:schemeClr val="accent1"/>
          </a:solidFill>
          <a:ln>
            <a:noFill/>
          </a:ln>
          <a:effectLst>
            <a:outerShdw blurRad="254000" sx="102000" sy="102000" algn="ctr" rotWithShape="0">
              <a:prstClr val="black">
                <a:alpha val="20000"/>
              </a:prstClr>
            </a:outerShdw>
          </a:effectLst>
        </c:spPr>
      </c:pivotFmt>
      <c:pivotFmt>
        <c:idx val="805"/>
        <c:spPr>
          <a:solidFill>
            <a:schemeClr val="accent1"/>
          </a:solidFill>
          <a:ln>
            <a:noFill/>
          </a:ln>
          <a:effectLst>
            <a:outerShdw blurRad="254000" sx="102000" sy="102000" algn="ctr" rotWithShape="0">
              <a:prstClr val="black">
                <a:alpha val="20000"/>
              </a:prstClr>
            </a:outerShdw>
          </a:effectLst>
        </c:spPr>
      </c:pivotFmt>
      <c:pivotFmt>
        <c:idx val="806"/>
        <c:spPr>
          <a:solidFill>
            <a:schemeClr val="accent1"/>
          </a:solidFill>
          <a:ln>
            <a:noFill/>
          </a:ln>
          <a:effectLst>
            <a:outerShdw blurRad="254000" sx="102000" sy="102000" algn="ctr" rotWithShape="0">
              <a:prstClr val="black">
                <a:alpha val="20000"/>
              </a:prstClr>
            </a:outerShdw>
          </a:effectLst>
        </c:spPr>
      </c:pivotFmt>
      <c:pivotFmt>
        <c:idx val="807"/>
        <c:spPr>
          <a:solidFill>
            <a:schemeClr val="accent1"/>
          </a:solidFill>
          <a:ln>
            <a:noFill/>
          </a:ln>
          <a:effectLst>
            <a:outerShdw blurRad="254000" sx="102000" sy="102000" algn="ctr" rotWithShape="0">
              <a:prstClr val="black">
                <a:alpha val="20000"/>
              </a:prstClr>
            </a:outerShdw>
          </a:effectLst>
        </c:spPr>
      </c:pivotFmt>
      <c:pivotFmt>
        <c:idx val="808"/>
        <c:spPr>
          <a:solidFill>
            <a:schemeClr val="accent1"/>
          </a:solidFill>
          <a:ln>
            <a:noFill/>
          </a:ln>
          <a:effectLst>
            <a:outerShdw blurRad="254000" sx="102000" sy="102000" algn="ctr" rotWithShape="0">
              <a:prstClr val="black">
                <a:alpha val="20000"/>
              </a:prstClr>
            </a:outerShdw>
          </a:effectLst>
        </c:spPr>
      </c:pivotFmt>
      <c:pivotFmt>
        <c:idx val="809"/>
        <c:spPr>
          <a:solidFill>
            <a:schemeClr val="accent1"/>
          </a:solidFill>
          <a:ln>
            <a:noFill/>
          </a:ln>
          <a:effectLst>
            <a:outerShdw blurRad="254000" sx="102000" sy="102000" algn="ctr" rotWithShape="0">
              <a:prstClr val="black">
                <a:alpha val="20000"/>
              </a:prstClr>
            </a:outerShdw>
          </a:effectLst>
        </c:spPr>
      </c:pivotFmt>
      <c:pivotFmt>
        <c:idx val="810"/>
        <c:spPr>
          <a:solidFill>
            <a:schemeClr val="accent1"/>
          </a:solidFill>
          <a:ln>
            <a:noFill/>
          </a:ln>
          <a:effectLst>
            <a:outerShdw blurRad="254000" sx="102000" sy="102000" algn="ctr" rotWithShape="0">
              <a:prstClr val="black">
                <a:alpha val="20000"/>
              </a:prstClr>
            </a:outerShdw>
          </a:effectLst>
        </c:spPr>
      </c:pivotFmt>
      <c:pivotFmt>
        <c:idx val="811"/>
        <c:spPr>
          <a:solidFill>
            <a:schemeClr val="accent1"/>
          </a:solidFill>
          <a:ln>
            <a:noFill/>
          </a:ln>
          <a:effectLst>
            <a:outerShdw blurRad="254000" sx="102000" sy="102000" algn="ctr" rotWithShape="0">
              <a:prstClr val="black">
                <a:alpha val="20000"/>
              </a:prstClr>
            </a:outerShdw>
          </a:effectLst>
        </c:spPr>
      </c:pivotFmt>
      <c:pivotFmt>
        <c:idx val="812"/>
        <c:spPr>
          <a:solidFill>
            <a:schemeClr val="accent1"/>
          </a:solidFill>
          <a:ln>
            <a:noFill/>
          </a:ln>
          <a:effectLst>
            <a:outerShdw blurRad="254000" sx="102000" sy="102000" algn="ctr" rotWithShape="0">
              <a:prstClr val="black">
                <a:alpha val="20000"/>
              </a:prstClr>
            </a:outerShdw>
          </a:effectLst>
        </c:spPr>
      </c:pivotFmt>
      <c:pivotFmt>
        <c:idx val="813"/>
        <c:spPr>
          <a:solidFill>
            <a:schemeClr val="accent1"/>
          </a:solidFill>
          <a:ln>
            <a:noFill/>
          </a:ln>
          <a:effectLst>
            <a:outerShdw blurRad="254000" sx="102000" sy="102000" algn="ctr" rotWithShape="0">
              <a:prstClr val="black">
                <a:alpha val="20000"/>
              </a:prstClr>
            </a:outerShdw>
          </a:effectLst>
        </c:spPr>
      </c:pivotFmt>
      <c:pivotFmt>
        <c:idx val="814"/>
        <c:spPr>
          <a:solidFill>
            <a:schemeClr val="accent1"/>
          </a:solidFill>
          <a:ln>
            <a:noFill/>
          </a:ln>
          <a:effectLst>
            <a:outerShdw blurRad="254000" sx="102000" sy="102000" algn="ctr" rotWithShape="0">
              <a:prstClr val="black">
                <a:alpha val="20000"/>
              </a:prstClr>
            </a:outerShdw>
          </a:effectLst>
        </c:spPr>
      </c:pivotFmt>
      <c:pivotFmt>
        <c:idx val="815"/>
        <c:spPr>
          <a:solidFill>
            <a:schemeClr val="accent1"/>
          </a:solidFill>
          <a:ln>
            <a:noFill/>
          </a:ln>
          <a:effectLst>
            <a:outerShdw blurRad="254000" sx="102000" sy="102000" algn="ctr" rotWithShape="0">
              <a:prstClr val="black">
                <a:alpha val="20000"/>
              </a:prstClr>
            </a:outerShdw>
          </a:effectLst>
        </c:spPr>
      </c:pivotFmt>
      <c:pivotFmt>
        <c:idx val="816"/>
        <c:spPr>
          <a:solidFill>
            <a:schemeClr val="accent1"/>
          </a:solidFill>
          <a:ln>
            <a:noFill/>
          </a:ln>
          <a:effectLst>
            <a:outerShdw blurRad="254000" sx="102000" sy="102000" algn="ctr" rotWithShape="0">
              <a:prstClr val="black">
                <a:alpha val="20000"/>
              </a:prstClr>
            </a:outerShdw>
          </a:effectLst>
        </c:spPr>
      </c:pivotFmt>
      <c:pivotFmt>
        <c:idx val="817"/>
        <c:spPr>
          <a:solidFill>
            <a:schemeClr val="accent1"/>
          </a:solidFill>
          <a:ln>
            <a:noFill/>
          </a:ln>
          <a:effectLst>
            <a:outerShdw blurRad="254000" sx="102000" sy="102000" algn="ctr" rotWithShape="0">
              <a:prstClr val="black">
                <a:alpha val="20000"/>
              </a:prstClr>
            </a:outerShdw>
          </a:effectLst>
        </c:spPr>
      </c:pivotFmt>
      <c:pivotFmt>
        <c:idx val="818"/>
        <c:spPr>
          <a:solidFill>
            <a:schemeClr val="accent1"/>
          </a:solidFill>
          <a:ln>
            <a:noFill/>
          </a:ln>
          <a:effectLst>
            <a:outerShdw blurRad="254000" sx="102000" sy="102000" algn="ctr" rotWithShape="0">
              <a:prstClr val="black">
                <a:alpha val="20000"/>
              </a:prstClr>
            </a:outerShdw>
          </a:effectLst>
        </c:spPr>
      </c:pivotFmt>
      <c:pivotFmt>
        <c:idx val="819"/>
        <c:spPr>
          <a:solidFill>
            <a:schemeClr val="accent1"/>
          </a:solidFill>
          <a:ln>
            <a:noFill/>
          </a:ln>
          <a:effectLst>
            <a:outerShdw blurRad="254000" sx="102000" sy="102000" algn="ctr" rotWithShape="0">
              <a:prstClr val="black">
                <a:alpha val="20000"/>
              </a:prstClr>
            </a:outerShdw>
          </a:effectLst>
        </c:spPr>
      </c:pivotFmt>
      <c:pivotFmt>
        <c:idx val="820"/>
        <c:spPr>
          <a:solidFill>
            <a:schemeClr val="accent1"/>
          </a:solidFill>
          <a:ln>
            <a:noFill/>
          </a:ln>
          <a:effectLst>
            <a:outerShdw blurRad="254000" sx="102000" sy="102000" algn="ctr" rotWithShape="0">
              <a:prstClr val="black">
                <a:alpha val="20000"/>
              </a:prstClr>
            </a:outerShdw>
          </a:effectLst>
        </c:spPr>
      </c:pivotFmt>
      <c:pivotFmt>
        <c:idx val="821"/>
        <c:spPr>
          <a:solidFill>
            <a:schemeClr val="accent1"/>
          </a:solidFill>
          <a:ln>
            <a:noFill/>
          </a:ln>
          <a:effectLst>
            <a:outerShdw blurRad="254000" sx="102000" sy="102000" algn="ctr" rotWithShape="0">
              <a:prstClr val="black">
                <a:alpha val="20000"/>
              </a:prstClr>
            </a:outerShdw>
          </a:effectLst>
        </c:spPr>
      </c:pivotFmt>
      <c:pivotFmt>
        <c:idx val="822"/>
        <c:spPr>
          <a:solidFill>
            <a:schemeClr val="accent1"/>
          </a:solidFill>
          <a:ln>
            <a:noFill/>
          </a:ln>
          <a:effectLst>
            <a:outerShdw blurRad="254000" sx="102000" sy="102000" algn="ctr" rotWithShape="0">
              <a:prstClr val="black">
                <a:alpha val="20000"/>
              </a:prstClr>
            </a:outerShdw>
          </a:effectLst>
        </c:spPr>
      </c:pivotFmt>
      <c:pivotFmt>
        <c:idx val="823"/>
        <c:spPr>
          <a:solidFill>
            <a:schemeClr val="accent1"/>
          </a:solidFill>
          <a:ln>
            <a:noFill/>
          </a:ln>
          <a:effectLst>
            <a:outerShdw blurRad="254000" sx="102000" sy="102000" algn="ctr" rotWithShape="0">
              <a:prstClr val="black">
                <a:alpha val="20000"/>
              </a:prstClr>
            </a:outerShdw>
          </a:effectLst>
        </c:spPr>
      </c:pivotFmt>
      <c:pivotFmt>
        <c:idx val="824"/>
        <c:spPr>
          <a:solidFill>
            <a:schemeClr val="accent1"/>
          </a:solidFill>
          <a:ln>
            <a:noFill/>
          </a:ln>
          <a:effectLst>
            <a:outerShdw blurRad="254000" sx="102000" sy="102000" algn="ctr" rotWithShape="0">
              <a:prstClr val="black">
                <a:alpha val="20000"/>
              </a:prstClr>
            </a:outerShdw>
          </a:effectLst>
        </c:spPr>
      </c:pivotFmt>
      <c:pivotFmt>
        <c:idx val="825"/>
        <c:spPr>
          <a:solidFill>
            <a:schemeClr val="accent1"/>
          </a:solidFill>
          <a:ln>
            <a:noFill/>
          </a:ln>
          <a:effectLst>
            <a:outerShdw blurRad="254000" sx="102000" sy="102000" algn="ctr" rotWithShape="0">
              <a:prstClr val="black">
                <a:alpha val="20000"/>
              </a:prstClr>
            </a:outerShdw>
          </a:effectLst>
        </c:spPr>
      </c:pivotFmt>
      <c:pivotFmt>
        <c:idx val="826"/>
        <c:spPr>
          <a:solidFill>
            <a:schemeClr val="accent1"/>
          </a:solidFill>
          <a:ln>
            <a:noFill/>
          </a:ln>
          <a:effectLst>
            <a:outerShdw blurRad="254000" sx="102000" sy="102000" algn="ctr" rotWithShape="0">
              <a:prstClr val="black">
                <a:alpha val="20000"/>
              </a:prstClr>
            </a:outerShdw>
          </a:effectLst>
        </c:spPr>
      </c:pivotFmt>
      <c:pivotFmt>
        <c:idx val="827"/>
        <c:spPr>
          <a:solidFill>
            <a:schemeClr val="accent1"/>
          </a:solidFill>
          <a:ln>
            <a:noFill/>
          </a:ln>
          <a:effectLst>
            <a:outerShdw blurRad="254000" sx="102000" sy="102000" algn="ctr" rotWithShape="0">
              <a:prstClr val="black">
                <a:alpha val="20000"/>
              </a:prstClr>
            </a:outerShdw>
          </a:effectLst>
        </c:spPr>
      </c:pivotFmt>
      <c:pivotFmt>
        <c:idx val="828"/>
        <c:spPr>
          <a:solidFill>
            <a:schemeClr val="accent1"/>
          </a:solidFill>
          <a:ln>
            <a:noFill/>
          </a:ln>
          <a:effectLst>
            <a:outerShdw blurRad="254000" sx="102000" sy="102000" algn="ctr" rotWithShape="0">
              <a:prstClr val="black">
                <a:alpha val="20000"/>
              </a:prstClr>
            </a:outerShdw>
          </a:effectLst>
        </c:spPr>
      </c:pivotFmt>
      <c:pivotFmt>
        <c:idx val="829"/>
        <c:spPr>
          <a:solidFill>
            <a:schemeClr val="accent1"/>
          </a:solidFill>
          <a:ln>
            <a:noFill/>
          </a:ln>
          <a:effectLst>
            <a:outerShdw blurRad="254000" sx="102000" sy="102000" algn="ctr" rotWithShape="0">
              <a:prstClr val="black">
                <a:alpha val="20000"/>
              </a:prstClr>
            </a:outerShdw>
          </a:effectLst>
        </c:spPr>
      </c:pivotFmt>
      <c:pivotFmt>
        <c:idx val="830"/>
        <c:spPr>
          <a:solidFill>
            <a:schemeClr val="accent1"/>
          </a:solidFill>
          <a:ln>
            <a:noFill/>
          </a:ln>
          <a:effectLst>
            <a:outerShdw blurRad="254000" sx="102000" sy="102000" algn="ctr" rotWithShape="0">
              <a:prstClr val="black">
                <a:alpha val="20000"/>
              </a:prstClr>
            </a:outerShdw>
          </a:effectLst>
        </c:spPr>
      </c:pivotFmt>
      <c:pivotFmt>
        <c:idx val="831"/>
        <c:spPr>
          <a:solidFill>
            <a:schemeClr val="accent1"/>
          </a:solidFill>
          <a:ln>
            <a:noFill/>
          </a:ln>
          <a:effectLst>
            <a:outerShdw blurRad="254000" sx="102000" sy="102000" algn="ctr" rotWithShape="0">
              <a:prstClr val="black">
                <a:alpha val="20000"/>
              </a:prstClr>
            </a:outerShdw>
          </a:effectLst>
        </c:spPr>
      </c:pivotFmt>
      <c:pivotFmt>
        <c:idx val="832"/>
        <c:spPr>
          <a:solidFill>
            <a:schemeClr val="accent1"/>
          </a:solidFill>
          <a:ln>
            <a:noFill/>
          </a:ln>
          <a:effectLst>
            <a:outerShdw blurRad="254000" sx="102000" sy="102000" algn="ctr" rotWithShape="0">
              <a:prstClr val="black">
                <a:alpha val="20000"/>
              </a:prstClr>
            </a:outerShdw>
          </a:effectLst>
        </c:spPr>
      </c:pivotFmt>
      <c:pivotFmt>
        <c:idx val="833"/>
        <c:spPr>
          <a:solidFill>
            <a:schemeClr val="accent1"/>
          </a:solidFill>
          <a:ln>
            <a:noFill/>
          </a:ln>
          <a:effectLst>
            <a:outerShdw blurRad="254000" sx="102000" sy="102000" algn="ctr" rotWithShape="0">
              <a:prstClr val="black">
                <a:alpha val="20000"/>
              </a:prstClr>
            </a:outerShdw>
          </a:effectLst>
        </c:spPr>
      </c:pivotFmt>
      <c:pivotFmt>
        <c:idx val="834"/>
        <c:spPr>
          <a:solidFill>
            <a:schemeClr val="accent1"/>
          </a:solidFill>
          <a:ln>
            <a:noFill/>
          </a:ln>
          <a:effectLst>
            <a:outerShdw blurRad="254000" sx="102000" sy="102000" algn="ctr" rotWithShape="0">
              <a:prstClr val="black">
                <a:alpha val="20000"/>
              </a:prstClr>
            </a:outerShdw>
          </a:effectLst>
        </c:spPr>
      </c:pivotFmt>
      <c:pivotFmt>
        <c:idx val="835"/>
        <c:spPr>
          <a:solidFill>
            <a:schemeClr val="accent1"/>
          </a:solidFill>
          <a:ln>
            <a:noFill/>
          </a:ln>
          <a:effectLst>
            <a:outerShdw blurRad="254000" sx="102000" sy="102000" algn="ctr" rotWithShape="0">
              <a:prstClr val="black">
                <a:alpha val="20000"/>
              </a:prstClr>
            </a:outerShdw>
          </a:effectLst>
        </c:spPr>
      </c:pivotFmt>
      <c:pivotFmt>
        <c:idx val="836"/>
        <c:spPr>
          <a:solidFill>
            <a:schemeClr val="accent1"/>
          </a:solidFill>
          <a:ln>
            <a:noFill/>
          </a:ln>
          <a:effectLst>
            <a:outerShdw blurRad="254000" sx="102000" sy="102000" algn="ctr" rotWithShape="0">
              <a:prstClr val="black">
                <a:alpha val="20000"/>
              </a:prstClr>
            </a:outerShdw>
          </a:effectLst>
        </c:spPr>
      </c:pivotFmt>
      <c:pivotFmt>
        <c:idx val="837"/>
        <c:spPr>
          <a:solidFill>
            <a:schemeClr val="accent1"/>
          </a:solidFill>
          <a:ln>
            <a:noFill/>
          </a:ln>
          <a:effectLst>
            <a:outerShdw blurRad="254000" sx="102000" sy="102000" algn="ctr" rotWithShape="0">
              <a:prstClr val="black">
                <a:alpha val="20000"/>
              </a:prstClr>
            </a:outerShdw>
          </a:effectLst>
        </c:spPr>
      </c:pivotFmt>
      <c:pivotFmt>
        <c:idx val="838"/>
        <c:spPr>
          <a:solidFill>
            <a:schemeClr val="accent1"/>
          </a:solidFill>
          <a:ln>
            <a:noFill/>
          </a:ln>
          <a:effectLst>
            <a:outerShdw blurRad="254000" sx="102000" sy="102000" algn="ctr" rotWithShape="0">
              <a:prstClr val="black">
                <a:alpha val="20000"/>
              </a:prstClr>
            </a:outerShdw>
          </a:effectLst>
        </c:spPr>
      </c:pivotFmt>
      <c:pivotFmt>
        <c:idx val="839"/>
        <c:spPr>
          <a:solidFill>
            <a:schemeClr val="accent1"/>
          </a:solidFill>
          <a:ln>
            <a:noFill/>
          </a:ln>
          <a:effectLst>
            <a:outerShdw blurRad="254000" sx="102000" sy="102000" algn="ctr" rotWithShape="0">
              <a:prstClr val="black">
                <a:alpha val="20000"/>
              </a:prstClr>
            </a:outerShdw>
          </a:effectLst>
        </c:spPr>
      </c:pivotFmt>
      <c:pivotFmt>
        <c:idx val="840"/>
        <c:spPr>
          <a:solidFill>
            <a:schemeClr val="accent1"/>
          </a:solidFill>
          <a:ln>
            <a:noFill/>
          </a:ln>
          <a:effectLst>
            <a:outerShdw blurRad="254000" sx="102000" sy="102000" algn="ctr" rotWithShape="0">
              <a:prstClr val="black">
                <a:alpha val="20000"/>
              </a:prstClr>
            </a:outerShdw>
          </a:effectLst>
        </c:spPr>
      </c:pivotFmt>
      <c:pivotFmt>
        <c:idx val="841"/>
        <c:spPr>
          <a:solidFill>
            <a:schemeClr val="accent1"/>
          </a:solidFill>
          <a:ln>
            <a:noFill/>
          </a:ln>
          <a:effectLst>
            <a:outerShdw blurRad="254000" sx="102000" sy="102000" algn="ctr" rotWithShape="0">
              <a:prstClr val="black">
                <a:alpha val="20000"/>
              </a:prstClr>
            </a:outerShdw>
          </a:effectLst>
        </c:spPr>
      </c:pivotFmt>
      <c:pivotFmt>
        <c:idx val="842"/>
        <c:spPr>
          <a:solidFill>
            <a:schemeClr val="accent1"/>
          </a:solidFill>
          <a:ln>
            <a:noFill/>
          </a:ln>
          <a:effectLst>
            <a:outerShdw blurRad="254000" sx="102000" sy="102000" algn="ctr" rotWithShape="0">
              <a:prstClr val="black">
                <a:alpha val="20000"/>
              </a:prstClr>
            </a:outerShdw>
          </a:effectLst>
        </c:spPr>
      </c:pivotFmt>
      <c:pivotFmt>
        <c:idx val="843"/>
        <c:spPr>
          <a:solidFill>
            <a:schemeClr val="accent1"/>
          </a:solidFill>
          <a:ln>
            <a:noFill/>
          </a:ln>
          <a:effectLst>
            <a:outerShdw blurRad="254000" sx="102000" sy="102000" algn="ctr" rotWithShape="0">
              <a:prstClr val="black">
                <a:alpha val="20000"/>
              </a:prstClr>
            </a:outerShdw>
          </a:effectLst>
        </c:spPr>
      </c:pivotFmt>
      <c:pivotFmt>
        <c:idx val="844"/>
        <c:spPr>
          <a:solidFill>
            <a:schemeClr val="accent1"/>
          </a:solidFill>
          <a:ln>
            <a:noFill/>
          </a:ln>
          <a:effectLst>
            <a:outerShdw blurRad="254000" sx="102000" sy="102000" algn="ctr" rotWithShape="0">
              <a:prstClr val="black">
                <a:alpha val="20000"/>
              </a:prstClr>
            </a:outerShdw>
          </a:effectLst>
        </c:spPr>
      </c:pivotFmt>
      <c:pivotFmt>
        <c:idx val="845"/>
        <c:spPr>
          <a:solidFill>
            <a:schemeClr val="accent1"/>
          </a:solidFill>
          <a:ln>
            <a:noFill/>
          </a:ln>
          <a:effectLst>
            <a:outerShdw blurRad="254000" sx="102000" sy="102000" algn="ctr" rotWithShape="0">
              <a:prstClr val="black">
                <a:alpha val="20000"/>
              </a:prstClr>
            </a:outerShdw>
          </a:effectLst>
        </c:spPr>
      </c:pivotFmt>
      <c:pivotFmt>
        <c:idx val="846"/>
        <c:spPr>
          <a:solidFill>
            <a:schemeClr val="accent1"/>
          </a:solidFill>
          <a:ln>
            <a:noFill/>
          </a:ln>
          <a:effectLst>
            <a:outerShdw blurRad="254000" sx="102000" sy="102000" algn="ctr" rotWithShape="0">
              <a:prstClr val="black">
                <a:alpha val="20000"/>
              </a:prstClr>
            </a:outerShdw>
          </a:effectLst>
        </c:spPr>
      </c:pivotFmt>
      <c:pivotFmt>
        <c:idx val="847"/>
        <c:spPr>
          <a:solidFill>
            <a:schemeClr val="accent1"/>
          </a:solidFill>
          <a:ln>
            <a:noFill/>
          </a:ln>
          <a:effectLst>
            <a:outerShdw blurRad="254000" sx="102000" sy="102000" algn="ctr" rotWithShape="0">
              <a:prstClr val="black">
                <a:alpha val="20000"/>
              </a:prstClr>
            </a:outerShdw>
          </a:effectLst>
        </c:spPr>
      </c:pivotFmt>
      <c:pivotFmt>
        <c:idx val="848"/>
        <c:spPr>
          <a:solidFill>
            <a:schemeClr val="accent1"/>
          </a:solidFill>
          <a:ln>
            <a:noFill/>
          </a:ln>
          <a:effectLst>
            <a:outerShdw blurRad="254000" sx="102000" sy="102000" algn="ctr" rotWithShape="0">
              <a:prstClr val="black">
                <a:alpha val="20000"/>
              </a:prstClr>
            </a:outerShdw>
          </a:effectLst>
        </c:spPr>
      </c:pivotFmt>
      <c:pivotFmt>
        <c:idx val="849"/>
        <c:spPr>
          <a:solidFill>
            <a:schemeClr val="accent1"/>
          </a:solidFill>
          <a:ln>
            <a:noFill/>
          </a:ln>
          <a:effectLst>
            <a:outerShdw blurRad="254000" sx="102000" sy="102000" algn="ctr" rotWithShape="0">
              <a:prstClr val="black">
                <a:alpha val="20000"/>
              </a:prstClr>
            </a:outerShdw>
          </a:effectLst>
        </c:spPr>
      </c:pivotFmt>
      <c:pivotFmt>
        <c:idx val="850"/>
        <c:spPr>
          <a:solidFill>
            <a:schemeClr val="accent1"/>
          </a:solidFill>
          <a:ln>
            <a:noFill/>
          </a:ln>
          <a:effectLst>
            <a:outerShdw blurRad="254000" sx="102000" sy="102000" algn="ctr" rotWithShape="0">
              <a:prstClr val="black">
                <a:alpha val="20000"/>
              </a:prstClr>
            </a:outerShdw>
          </a:effectLst>
        </c:spPr>
      </c:pivotFmt>
      <c:pivotFmt>
        <c:idx val="851"/>
        <c:spPr>
          <a:solidFill>
            <a:schemeClr val="accent1"/>
          </a:solidFill>
          <a:ln>
            <a:noFill/>
          </a:ln>
          <a:effectLst>
            <a:outerShdw blurRad="254000" sx="102000" sy="102000" algn="ctr" rotWithShape="0">
              <a:prstClr val="black">
                <a:alpha val="20000"/>
              </a:prstClr>
            </a:outerShdw>
          </a:effectLst>
        </c:spPr>
      </c:pivotFmt>
      <c:pivotFmt>
        <c:idx val="852"/>
        <c:spPr>
          <a:solidFill>
            <a:schemeClr val="accent1"/>
          </a:solidFill>
          <a:ln>
            <a:noFill/>
          </a:ln>
          <a:effectLst>
            <a:outerShdw blurRad="254000" sx="102000" sy="102000" algn="ctr" rotWithShape="0">
              <a:prstClr val="black">
                <a:alpha val="20000"/>
              </a:prstClr>
            </a:outerShdw>
          </a:effectLst>
        </c:spPr>
      </c:pivotFmt>
      <c:pivotFmt>
        <c:idx val="853"/>
        <c:spPr>
          <a:solidFill>
            <a:schemeClr val="accent1"/>
          </a:solidFill>
          <a:ln>
            <a:noFill/>
          </a:ln>
          <a:effectLst>
            <a:outerShdw blurRad="254000" sx="102000" sy="102000" algn="ctr" rotWithShape="0">
              <a:prstClr val="black">
                <a:alpha val="20000"/>
              </a:prstClr>
            </a:outerShdw>
          </a:effectLst>
        </c:spPr>
      </c:pivotFmt>
      <c:pivotFmt>
        <c:idx val="854"/>
        <c:spPr>
          <a:solidFill>
            <a:schemeClr val="accent1"/>
          </a:solidFill>
          <a:ln>
            <a:noFill/>
          </a:ln>
          <a:effectLst>
            <a:outerShdw blurRad="254000" sx="102000" sy="102000" algn="ctr" rotWithShape="0">
              <a:prstClr val="black">
                <a:alpha val="20000"/>
              </a:prstClr>
            </a:outerShdw>
          </a:effectLst>
        </c:spPr>
      </c:pivotFmt>
      <c:pivotFmt>
        <c:idx val="855"/>
        <c:spPr>
          <a:solidFill>
            <a:schemeClr val="accent1"/>
          </a:solidFill>
          <a:ln>
            <a:noFill/>
          </a:ln>
          <a:effectLst>
            <a:outerShdw blurRad="254000" sx="102000" sy="102000" algn="ctr" rotWithShape="0">
              <a:prstClr val="black">
                <a:alpha val="20000"/>
              </a:prstClr>
            </a:outerShdw>
          </a:effectLst>
        </c:spPr>
      </c:pivotFmt>
      <c:pivotFmt>
        <c:idx val="856"/>
        <c:spPr>
          <a:solidFill>
            <a:schemeClr val="accent1"/>
          </a:solidFill>
          <a:ln>
            <a:noFill/>
          </a:ln>
          <a:effectLst>
            <a:outerShdw blurRad="254000" sx="102000" sy="102000" algn="ctr" rotWithShape="0">
              <a:prstClr val="black">
                <a:alpha val="20000"/>
              </a:prstClr>
            </a:outerShdw>
          </a:effectLst>
        </c:spPr>
      </c:pivotFmt>
      <c:pivotFmt>
        <c:idx val="857"/>
        <c:spPr>
          <a:solidFill>
            <a:schemeClr val="accent1"/>
          </a:solidFill>
          <a:ln>
            <a:noFill/>
          </a:ln>
          <a:effectLst>
            <a:outerShdw blurRad="254000" sx="102000" sy="102000" algn="ctr" rotWithShape="0">
              <a:prstClr val="black">
                <a:alpha val="20000"/>
              </a:prstClr>
            </a:outerShdw>
          </a:effectLst>
        </c:spPr>
      </c:pivotFmt>
      <c:pivotFmt>
        <c:idx val="858"/>
        <c:spPr>
          <a:solidFill>
            <a:schemeClr val="accent1"/>
          </a:solidFill>
          <a:ln>
            <a:noFill/>
          </a:ln>
          <a:effectLst>
            <a:outerShdw blurRad="254000" sx="102000" sy="102000" algn="ctr" rotWithShape="0">
              <a:prstClr val="black">
                <a:alpha val="20000"/>
              </a:prstClr>
            </a:outerShdw>
          </a:effectLst>
        </c:spPr>
      </c:pivotFmt>
      <c:pivotFmt>
        <c:idx val="859"/>
        <c:spPr>
          <a:solidFill>
            <a:schemeClr val="accent1"/>
          </a:solidFill>
          <a:ln>
            <a:noFill/>
          </a:ln>
          <a:effectLst>
            <a:outerShdw blurRad="254000" sx="102000" sy="102000" algn="ctr" rotWithShape="0">
              <a:prstClr val="black">
                <a:alpha val="20000"/>
              </a:prstClr>
            </a:outerShdw>
          </a:effectLst>
        </c:spPr>
      </c:pivotFmt>
      <c:pivotFmt>
        <c:idx val="860"/>
        <c:spPr>
          <a:solidFill>
            <a:schemeClr val="accent1"/>
          </a:solidFill>
          <a:ln>
            <a:noFill/>
          </a:ln>
          <a:effectLst>
            <a:outerShdw blurRad="254000" sx="102000" sy="102000" algn="ctr" rotWithShape="0">
              <a:prstClr val="black">
                <a:alpha val="20000"/>
              </a:prstClr>
            </a:outerShdw>
          </a:effectLst>
        </c:spPr>
      </c:pivotFmt>
      <c:pivotFmt>
        <c:idx val="861"/>
        <c:spPr>
          <a:solidFill>
            <a:schemeClr val="accent1"/>
          </a:solidFill>
          <a:ln>
            <a:noFill/>
          </a:ln>
          <a:effectLst>
            <a:outerShdw blurRad="254000" sx="102000" sy="102000" algn="ctr" rotWithShape="0">
              <a:prstClr val="black">
                <a:alpha val="20000"/>
              </a:prstClr>
            </a:outerShdw>
          </a:effectLst>
        </c:spPr>
      </c:pivotFmt>
      <c:pivotFmt>
        <c:idx val="862"/>
        <c:spPr>
          <a:solidFill>
            <a:schemeClr val="accent1"/>
          </a:solidFill>
          <a:ln>
            <a:noFill/>
          </a:ln>
          <a:effectLst>
            <a:outerShdw blurRad="254000" sx="102000" sy="102000" algn="ctr" rotWithShape="0">
              <a:prstClr val="black">
                <a:alpha val="20000"/>
              </a:prstClr>
            </a:outerShdw>
          </a:effectLst>
        </c:spPr>
      </c:pivotFmt>
      <c:pivotFmt>
        <c:idx val="863"/>
        <c:spPr>
          <a:solidFill>
            <a:schemeClr val="accent1"/>
          </a:solidFill>
          <a:ln>
            <a:noFill/>
          </a:ln>
          <a:effectLst>
            <a:outerShdw blurRad="254000" sx="102000" sy="102000" algn="ctr" rotWithShape="0">
              <a:prstClr val="black">
                <a:alpha val="20000"/>
              </a:prstClr>
            </a:outerShdw>
          </a:effectLst>
        </c:spPr>
      </c:pivotFmt>
      <c:pivotFmt>
        <c:idx val="864"/>
        <c:spPr>
          <a:solidFill>
            <a:schemeClr val="accent1"/>
          </a:solidFill>
          <a:ln>
            <a:noFill/>
          </a:ln>
          <a:effectLst>
            <a:outerShdw blurRad="254000" sx="102000" sy="102000" algn="ctr" rotWithShape="0">
              <a:prstClr val="black">
                <a:alpha val="20000"/>
              </a:prstClr>
            </a:outerShdw>
          </a:effectLst>
        </c:spPr>
      </c:pivotFmt>
      <c:pivotFmt>
        <c:idx val="865"/>
        <c:spPr>
          <a:solidFill>
            <a:schemeClr val="accent1"/>
          </a:solidFill>
          <a:ln>
            <a:noFill/>
          </a:ln>
          <a:effectLst>
            <a:outerShdw blurRad="254000" sx="102000" sy="102000" algn="ctr" rotWithShape="0">
              <a:prstClr val="black">
                <a:alpha val="20000"/>
              </a:prstClr>
            </a:outerShdw>
          </a:effectLst>
        </c:spPr>
      </c:pivotFmt>
      <c:pivotFmt>
        <c:idx val="866"/>
        <c:spPr>
          <a:solidFill>
            <a:schemeClr val="accent1"/>
          </a:solidFill>
          <a:ln>
            <a:noFill/>
          </a:ln>
          <a:effectLst>
            <a:outerShdw blurRad="254000" sx="102000" sy="102000" algn="ctr" rotWithShape="0">
              <a:prstClr val="black">
                <a:alpha val="20000"/>
              </a:prstClr>
            </a:outerShdw>
          </a:effectLst>
        </c:spPr>
      </c:pivotFmt>
      <c:pivotFmt>
        <c:idx val="867"/>
        <c:spPr>
          <a:solidFill>
            <a:schemeClr val="accent1"/>
          </a:solidFill>
          <a:ln>
            <a:noFill/>
          </a:ln>
          <a:effectLst>
            <a:outerShdw blurRad="254000" sx="102000" sy="102000" algn="ctr" rotWithShape="0">
              <a:prstClr val="black">
                <a:alpha val="20000"/>
              </a:prstClr>
            </a:outerShdw>
          </a:effectLst>
        </c:spPr>
      </c:pivotFmt>
      <c:pivotFmt>
        <c:idx val="868"/>
        <c:spPr>
          <a:solidFill>
            <a:schemeClr val="accent1"/>
          </a:solidFill>
          <a:ln>
            <a:noFill/>
          </a:ln>
          <a:effectLst>
            <a:outerShdw blurRad="254000" sx="102000" sy="102000" algn="ctr" rotWithShape="0">
              <a:prstClr val="black">
                <a:alpha val="20000"/>
              </a:prstClr>
            </a:outerShdw>
          </a:effectLst>
        </c:spPr>
      </c:pivotFmt>
      <c:pivotFmt>
        <c:idx val="869"/>
        <c:spPr>
          <a:solidFill>
            <a:schemeClr val="accent1"/>
          </a:solidFill>
          <a:ln>
            <a:noFill/>
          </a:ln>
          <a:effectLst>
            <a:outerShdw blurRad="254000" sx="102000" sy="102000" algn="ctr" rotWithShape="0">
              <a:prstClr val="black">
                <a:alpha val="20000"/>
              </a:prstClr>
            </a:outerShdw>
          </a:effectLst>
        </c:spPr>
      </c:pivotFmt>
      <c:pivotFmt>
        <c:idx val="870"/>
        <c:spPr>
          <a:solidFill>
            <a:schemeClr val="accent1"/>
          </a:solidFill>
          <a:ln>
            <a:noFill/>
          </a:ln>
          <a:effectLst>
            <a:outerShdw blurRad="254000" sx="102000" sy="102000" algn="ctr" rotWithShape="0">
              <a:prstClr val="black">
                <a:alpha val="20000"/>
              </a:prstClr>
            </a:outerShdw>
          </a:effectLst>
        </c:spPr>
      </c:pivotFmt>
      <c:pivotFmt>
        <c:idx val="871"/>
        <c:spPr>
          <a:solidFill>
            <a:schemeClr val="accent1"/>
          </a:solidFill>
          <a:ln>
            <a:noFill/>
          </a:ln>
          <a:effectLst>
            <a:outerShdw blurRad="254000" sx="102000" sy="102000" algn="ctr" rotWithShape="0">
              <a:prstClr val="black">
                <a:alpha val="20000"/>
              </a:prstClr>
            </a:outerShdw>
          </a:effectLst>
        </c:spPr>
      </c:pivotFmt>
      <c:pivotFmt>
        <c:idx val="872"/>
        <c:spPr>
          <a:solidFill>
            <a:schemeClr val="accent1"/>
          </a:solidFill>
          <a:ln>
            <a:noFill/>
          </a:ln>
          <a:effectLst>
            <a:outerShdw blurRad="254000" sx="102000" sy="102000" algn="ctr" rotWithShape="0">
              <a:prstClr val="black">
                <a:alpha val="20000"/>
              </a:prstClr>
            </a:outerShdw>
          </a:effectLst>
        </c:spPr>
      </c:pivotFmt>
      <c:pivotFmt>
        <c:idx val="873"/>
        <c:spPr>
          <a:solidFill>
            <a:schemeClr val="accent1"/>
          </a:solidFill>
          <a:ln>
            <a:noFill/>
          </a:ln>
          <a:effectLst>
            <a:outerShdw blurRad="254000" sx="102000" sy="102000" algn="ctr" rotWithShape="0">
              <a:prstClr val="black">
                <a:alpha val="20000"/>
              </a:prstClr>
            </a:outerShdw>
          </a:effectLst>
        </c:spPr>
      </c:pivotFmt>
      <c:pivotFmt>
        <c:idx val="874"/>
        <c:spPr>
          <a:solidFill>
            <a:schemeClr val="accent1"/>
          </a:solidFill>
          <a:ln>
            <a:noFill/>
          </a:ln>
          <a:effectLst>
            <a:outerShdw blurRad="254000" sx="102000" sy="102000" algn="ctr" rotWithShape="0">
              <a:prstClr val="black">
                <a:alpha val="20000"/>
              </a:prstClr>
            </a:outerShdw>
          </a:effectLst>
        </c:spPr>
      </c:pivotFmt>
      <c:pivotFmt>
        <c:idx val="875"/>
        <c:spPr>
          <a:solidFill>
            <a:schemeClr val="accent1"/>
          </a:solidFill>
          <a:ln>
            <a:noFill/>
          </a:ln>
          <a:effectLst>
            <a:outerShdw blurRad="254000" sx="102000" sy="102000" algn="ctr" rotWithShape="0">
              <a:prstClr val="black">
                <a:alpha val="20000"/>
              </a:prstClr>
            </a:outerShdw>
          </a:effectLst>
        </c:spPr>
      </c:pivotFmt>
      <c:pivotFmt>
        <c:idx val="876"/>
        <c:spPr>
          <a:solidFill>
            <a:schemeClr val="accent1"/>
          </a:solidFill>
          <a:ln>
            <a:noFill/>
          </a:ln>
          <a:effectLst>
            <a:outerShdw blurRad="254000" sx="102000" sy="102000" algn="ctr" rotWithShape="0">
              <a:prstClr val="black">
                <a:alpha val="20000"/>
              </a:prstClr>
            </a:outerShdw>
          </a:effectLst>
        </c:spPr>
      </c:pivotFmt>
      <c:pivotFmt>
        <c:idx val="877"/>
        <c:spPr>
          <a:solidFill>
            <a:schemeClr val="accent1"/>
          </a:solidFill>
          <a:ln>
            <a:noFill/>
          </a:ln>
          <a:effectLst>
            <a:outerShdw blurRad="254000" sx="102000" sy="102000" algn="ctr" rotWithShape="0">
              <a:prstClr val="black">
                <a:alpha val="20000"/>
              </a:prstClr>
            </a:outerShdw>
          </a:effectLst>
        </c:spPr>
      </c:pivotFmt>
      <c:pivotFmt>
        <c:idx val="878"/>
        <c:spPr>
          <a:solidFill>
            <a:schemeClr val="accent1"/>
          </a:solidFill>
          <a:ln>
            <a:noFill/>
          </a:ln>
          <a:effectLst>
            <a:outerShdw blurRad="254000" sx="102000" sy="102000" algn="ctr" rotWithShape="0">
              <a:prstClr val="black">
                <a:alpha val="20000"/>
              </a:prstClr>
            </a:outerShdw>
          </a:effectLst>
        </c:spPr>
      </c:pivotFmt>
      <c:pivotFmt>
        <c:idx val="879"/>
        <c:spPr>
          <a:solidFill>
            <a:schemeClr val="accent1"/>
          </a:solidFill>
          <a:ln>
            <a:noFill/>
          </a:ln>
          <a:effectLst>
            <a:outerShdw blurRad="254000" sx="102000" sy="102000" algn="ctr" rotWithShape="0">
              <a:prstClr val="black">
                <a:alpha val="20000"/>
              </a:prstClr>
            </a:outerShdw>
          </a:effectLst>
        </c:spPr>
      </c:pivotFmt>
      <c:pivotFmt>
        <c:idx val="880"/>
        <c:spPr>
          <a:solidFill>
            <a:schemeClr val="accent1"/>
          </a:solidFill>
          <a:ln>
            <a:noFill/>
          </a:ln>
          <a:effectLst>
            <a:outerShdw blurRad="254000" sx="102000" sy="102000" algn="ctr" rotWithShape="0">
              <a:prstClr val="black">
                <a:alpha val="20000"/>
              </a:prstClr>
            </a:outerShdw>
          </a:effectLst>
        </c:spPr>
      </c:pivotFmt>
      <c:pivotFmt>
        <c:idx val="881"/>
        <c:spPr>
          <a:solidFill>
            <a:schemeClr val="accent1"/>
          </a:solidFill>
          <a:ln>
            <a:noFill/>
          </a:ln>
          <a:effectLst>
            <a:outerShdw blurRad="254000" sx="102000" sy="102000" algn="ctr" rotWithShape="0">
              <a:prstClr val="black">
                <a:alpha val="20000"/>
              </a:prstClr>
            </a:outerShdw>
          </a:effectLst>
        </c:spPr>
      </c:pivotFmt>
      <c:pivotFmt>
        <c:idx val="882"/>
        <c:spPr>
          <a:solidFill>
            <a:schemeClr val="accent1"/>
          </a:solidFill>
          <a:ln>
            <a:noFill/>
          </a:ln>
          <a:effectLst>
            <a:outerShdw blurRad="254000" sx="102000" sy="102000" algn="ctr" rotWithShape="0">
              <a:prstClr val="black">
                <a:alpha val="20000"/>
              </a:prstClr>
            </a:outerShdw>
          </a:effectLst>
        </c:spPr>
      </c:pivotFmt>
      <c:pivotFmt>
        <c:idx val="883"/>
        <c:spPr>
          <a:solidFill>
            <a:schemeClr val="accent1"/>
          </a:solidFill>
          <a:ln>
            <a:noFill/>
          </a:ln>
          <a:effectLst>
            <a:outerShdw blurRad="254000" sx="102000" sy="102000" algn="ctr" rotWithShape="0">
              <a:prstClr val="black">
                <a:alpha val="20000"/>
              </a:prstClr>
            </a:outerShdw>
          </a:effectLst>
        </c:spPr>
      </c:pivotFmt>
      <c:pivotFmt>
        <c:idx val="884"/>
        <c:spPr>
          <a:solidFill>
            <a:schemeClr val="accent1"/>
          </a:solidFill>
          <a:ln>
            <a:noFill/>
          </a:ln>
          <a:effectLst>
            <a:outerShdw blurRad="254000" sx="102000" sy="102000" algn="ctr" rotWithShape="0">
              <a:prstClr val="black">
                <a:alpha val="20000"/>
              </a:prstClr>
            </a:outerShdw>
          </a:effectLst>
        </c:spPr>
      </c:pivotFmt>
      <c:pivotFmt>
        <c:idx val="885"/>
        <c:spPr>
          <a:solidFill>
            <a:schemeClr val="accent1"/>
          </a:solidFill>
          <a:ln>
            <a:noFill/>
          </a:ln>
          <a:effectLst>
            <a:outerShdw blurRad="254000" sx="102000" sy="102000" algn="ctr" rotWithShape="0">
              <a:prstClr val="black">
                <a:alpha val="20000"/>
              </a:prstClr>
            </a:outerShdw>
          </a:effectLst>
        </c:spPr>
      </c:pivotFmt>
      <c:pivotFmt>
        <c:idx val="886"/>
        <c:spPr>
          <a:solidFill>
            <a:schemeClr val="accent1"/>
          </a:solidFill>
          <a:ln>
            <a:noFill/>
          </a:ln>
          <a:effectLst>
            <a:outerShdw blurRad="254000" sx="102000" sy="102000" algn="ctr" rotWithShape="0">
              <a:prstClr val="black">
                <a:alpha val="20000"/>
              </a:prstClr>
            </a:outerShdw>
          </a:effectLst>
        </c:spPr>
      </c:pivotFmt>
      <c:pivotFmt>
        <c:idx val="887"/>
        <c:spPr>
          <a:solidFill>
            <a:schemeClr val="accent1"/>
          </a:solidFill>
          <a:ln>
            <a:noFill/>
          </a:ln>
          <a:effectLst>
            <a:outerShdw blurRad="254000" sx="102000" sy="102000" algn="ctr" rotWithShape="0">
              <a:prstClr val="black">
                <a:alpha val="20000"/>
              </a:prstClr>
            </a:outerShdw>
          </a:effectLst>
        </c:spPr>
      </c:pivotFmt>
      <c:pivotFmt>
        <c:idx val="888"/>
        <c:spPr>
          <a:solidFill>
            <a:schemeClr val="accent1"/>
          </a:solidFill>
          <a:ln>
            <a:noFill/>
          </a:ln>
          <a:effectLst>
            <a:outerShdw blurRad="254000" sx="102000" sy="102000" algn="ctr" rotWithShape="0">
              <a:prstClr val="black">
                <a:alpha val="20000"/>
              </a:prstClr>
            </a:outerShdw>
          </a:effectLst>
        </c:spPr>
      </c:pivotFmt>
      <c:pivotFmt>
        <c:idx val="889"/>
        <c:spPr>
          <a:solidFill>
            <a:schemeClr val="accent1"/>
          </a:solidFill>
          <a:ln>
            <a:noFill/>
          </a:ln>
          <a:effectLst>
            <a:outerShdw blurRad="254000" sx="102000" sy="102000" algn="ctr" rotWithShape="0">
              <a:prstClr val="black">
                <a:alpha val="20000"/>
              </a:prstClr>
            </a:outerShdw>
          </a:effectLst>
        </c:spPr>
      </c:pivotFmt>
      <c:pivotFmt>
        <c:idx val="890"/>
        <c:spPr>
          <a:solidFill>
            <a:schemeClr val="accent1"/>
          </a:solidFill>
          <a:ln>
            <a:noFill/>
          </a:ln>
          <a:effectLst>
            <a:outerShdw blurRad="254000" sx="102000" sy="102000" algn="ctr" rotWithShape="0">
              <a:prstClr val="black">
                <a:alpha val="20000"/>
              </a:prstClr>
            </a:outerShdw>
          </a:effectLst>
        </c:spPr>
      </c:pivotFmt>
      <c:pivotFmt>
        <c:idx val="891"/>
        <c:spPr>
          <a:solidFill>
            <a:schemeClr val="accent1"/>
          </a:solidFill>
          <a:ln>
            <a:noFill/>
          </a:ln>
          <a:effectLst>
            <a:outerShdw blurRad="254000" sx="102000" sy="102000" algn="ctr" rotWithShape="0">
              <a:prstClr val="black">
                <a:alpha val="20000"/>
              </a:prstClr>
            </a:outerShdw>
          </a:effectLst>
        </c:spPr>
      </c:pivotFmt>
      <c:pivotFmt>
        <c:idx val="892"/>
        <c:spPr>
          <a:solidFill>
            <a:schemeClr val="accent1"/>
          </a:solidFill>
          <a:ln>
            <a:noFill/>
          </a:ln>
          <a:effectLst>
            <a:outerShdw blurRad="254000" sx="102000" sy="102000" algn="ctr" rotWithShape="0">
              <a:prstClr val="black">
                <a:alpha val="20000"/>
              </a:prstClr>
            </a:outerShdw>
          </a:effectLst>
        </c:spPr>
      </c:pivotFmt>
      <c:pivotFmt>
        <c:idx val="893"/>
        <c:spPr>
          <a:solidFill>
            <a:schemeClr val="accent1"/>
          </a:solidFill>
          <a:ln>
            <a:noFill/>
          </a:ln>
          <a:effectLst>
            <a:outerShdw blurRad="254000" sx="102000" sy="102000" algn="ctr" rotWithShape="0">
              <a:prstClr val="black">
                <a:alpha val="20000"/>
              </a:prstClr>
            </a:outerShdw>
          </a:effectLst>
        </c:spPr>
      </c:pivotFmt>
      <c:pivotFmt>
        <c:idx val="894"/>
        <c:spPr>
          <a:solidFill>
            <a:schemeClr val="accent1"/>
          </a:solidFill>
          <a:ln>
            <a:noFill/>
          </a:ln>
          <a:effectLst>
            <a:outerShdw blurRad="254000" sx="102000" sy="102000" algn="ctr" rotWithShape="0">
              <a:prstClr val="black">
                <a:alpha val="20000"/>
              </a:prstClr>
            </a:outerShdw>
          </a:effectLst>
        </c:spPr>
      </c:pivotFmt>
      <c:pivotFmt>
        <c:idx val="895"/>
        <c:spPr>
          <a:solidFill>
            <a:schemeClr val="accent1"/>
          </a:solidFill>
          <a:ln>
            <a:noFill/>
          </a:ln>
          <a:effectLst>
            <a:outerShdw blurRad="254000" sx="102000" sy="102000" algn="ctr" rotWithShape="0">
              <a:prstClr val="black">
                <a:alpha val="20000"/>
              </a:prstClr>
            </a:outerShdw>
          </a:effectLst>
        </c:spPr>
      </c:pivotFmt>
      <c:pivotFmt>
        <c:idx val="896"/>
        <c:spPr>
          <a:solidFill>
            <a:schemeClr val="accent1"/>
          </a:solidFill>
          <a:ln>
            <a:noFill/>
          </a:ln>
          <a:effectLst>
            <a:outerShdw blurRad="254000" sx="102000" sy="102000" algn="ctr" rotWithShape="0">
              <a:prstClr val="black">
                <a:alpha val="20000"/>
              </a:prstClr>
            </a:outerShdw>
          </a:effectLst>
        </c:spPr>
      </c:pivotFmt>
      <c:pivotFmt>
        <c:idx val="897"/>
        <c:spPr>
          <a:solidFill>
            <a:schemeClr val="accent1"/>
          </a:solidFill>
          <a:ln>
            <a:noFill/>
          </a:ln>
          <a:effectLst>
            <a:outerShdw blurRad="254000" sx="102000" sy="102000" algn="ctr" rotWithShape="0">
              <a:prstClr val="black">
                <a:alpha val="20000"/>
              </a:prstClr>
            </a:outerShdw>
          </a:effectLst>
        </c:spPr>
      </c:pivotFmt>
      <c:pivotFmt>
        <c:idx val="898"/>
        <c:spPr>
          <a:solidFill>
            <a:schemeClr val="accent1"/>
          </a:solidFill>
          <a:ln>
            <a:noFill/>
          </a:ln>
          <a:effectLst>
            <a:outerShdw blurRad="254000" sx="102000" sy="102000" algn="ctr" rotWithShape="0">
              <a:prstClr val="black">
                <a:alpha val="20000"/>
              </a:prstClr>
            </a:outerShdw>
          </a:effectLst>
        </c:spPr>
      </c:pivotFmt>
      <c:pivotFmt>
        <c:idx val="899"/>
        <c:spPr>
          <a:solidFill>
            <a:schemeClr val="accent1"/>
          </a:solidFill>
          <a:ln>
            <a:noFill/>
          </a:ln>
          <a:effectLst>
            <a:outerShdw blurRad="254000" sx="102000" sy="102000" algn="ctr" rotWithShape="0">
              <a:prstClr val="black">
                <a:alpha val="20000"/>
              </a:prstClr>
            </a:outerShdw>
          </a:effectLst>
        </c:spPr>
      </c:pivotFmt>
      <c:pivotFmt>
        <c:idx val="900"/>
        <c:spPr>
          <a:solidFill>
            <a:schemeClr val="accent1"/>
          </a:solidFill>
          <a:ln>
            <a:noFill/>
          </a:ln>
          <a:effectLst>
            <a:outerShdw blurRad="254000" sx="102000" sy="102000" algn="ctr" rotWithShape="0">
              <a:prstClr val="black">
                <a:alpha val="20000"/>
              </a:prstClr>
            </a:outerShdw>
          </a:effectLst>
        </c:spPr>
      </c:pivotFmt>
      <c:pivotFmt>
        <c:idx val="901"/>
        <c:spPr>
          <a:solidFill>
            <a:schemeClr val="accent1"/>
          </a:solidFill>
          <a:ln>
            <a:noFill/>
          </a:ln>
          <a:effectLst>
            <a:outerShdw blurRad="254000" sx="102000" sy="102000" algn="ctr" rotWithShape="0">
              <a:prstClr val="black">
                <a:alpha val="20000"/>
              </a:prstClr>
            </a:outerShdw>
          </a:effectLst>
        </c:spPr>
      </c:pivotFmt>
      <c:pivotFmt>
        <c:idx val="902"/>
        <c:spPr>
          <a:solidFill>
            <a:schemeClr val="accent1"/>
          </a:solidFill>
          <a:ln>
            <a:noFill/>
          </a:ln>
          <a:effectLst>
            <a:outerShdw blurRad="254000" sx="102000" sy="102000" algn="ctr" rotWithShape="0">
              <a:prstClr val="black">
                <a:alpha val="20000"/>
              </a:prstClr>
            </a:outerShdw>
          </a:effectLst>
        </c:spPr>
      </c:pivotFmt>
      <c:pivotFmt>
        <c:idx val="903"/>
        <c:spPr>
          <a:solidFill>
            <a:schemeClr val="accent1"/>
          </a:solidFill>
          <a:ln>
            <a:noFill/>
          </a:ln>
          <a:effectLst>
            <a:outerShdw blurRad="254000" sx="102000" sy="102000" algn="ctr" rotWithShape="0">
              <a:prstClr val="black">
                <a:alpha val="20000"/>
              </a:prstClr>
            </a:outerShdw>
          </a:effectLst>
        </c:spPr>
      </c:pivotFmt>
      <c:pivotFmt>
        <c:idx val="904"/>
        <c:spPr>
          <a:solidFill>
            <a:schemeClr val="accent1"/>
          </a:solidFill>
          <a:ln>
            <a:noFill/>
          </a:ln>
          <a:effectLst>
            <a:outerShdw blurRad="254000" sx="102000" sy="102000" algn="ctr" rotWithShape="0">
              <a:prstClr val="black">
                <a:alpha val="20000"/>
              </a:prstClr>
            </a:outerShdw>
          </a:effectLst>
        </c:spPr>
      </c:pivotFmt>
      <c:pivotFmt>
        <c:idx val="905"/>
        <c:spPr>
          <a:solidFill>
            <a:schemeClr val="accent1"/>
          </a:solidFill>
          <a:ln>
            <a:noFill/>
          </a:ln>
          <a:effectLst>
            <a:outerShdw blurRad="254000" sx="102000" sy="102000" algn="ctr" rotWithShape="0">
              <a:prstClr val="black">
                <a:alpha val="20000"/>
              </a:prstClr>
            </a:outerShdw>
          </a:effectLst>
        </c:spPr>
      </c:pivotFmt>
      <c:pivotFmt>
        <c:idx val="906"/>
        <c:spPr>
          <a:solidFill>
            <a:schemeClr val="accent1"/>
          </a:solidFill>
          <a:ln>
            <a:noFill/>
          </a:ln>
          <a:effectLst>
            <a:outerShdw blurRad="254000" sx="102000" sy="102000" algn="ctr" rotWithShape="0">
              <a:prstClr val="black">
                <a:alpha val="20000"/>
              </a:prstClr>
            </a:outerShdw>
          </a:effectLst>
        </c:spPr>
      </c:pivotFmt>
      <c:pivotFmt>
        <c:idx val="907"/>
        <c:spPr>
          <a:solidFill>
            <a:schemeClr val="accent1"/>
          </a:solidFill>
          <a:ln>
            <a:noFill/>
          </a:ln>
          <a:effectLst>
            <a:outerShdw blurRad="254000" sx="102000" sy="102000" algn="ctr" rotWithShape="0">
              <a:prstClr val="black">
                <a:alpha val="20000"/>
              </a:prstClr>
            </a:outerShdw>
          </a:effectLst>
        </c:spPr>
      </c:pivotFmt>
      <c:pivotFmt>
        <c:idx val="908"/>
        <c:spPr>
          <a:solidFill>
            <a:schemeClr val="accent1"/>
          </a:solidFill>
          <a:ln>
            <a:noFill/>
          </a:ln>
          <a:effectLst>
            <a:outerShdw blurRad="254000" sx="102000" sy="102000" algn="ctr" rotWithShape="0">
              <a:prstClr val="black">
                <a:alpha val="20000"/>
              </a:prstClr>
            </a:outerShdw>
          </a:effectLst>
        </c:spPr>
      </c:pivotFmt>
      <c:pivotFmt>
        <c:idx val="909"/>
        <c:spPr>
          <a:solidFill>
            <a:schemeClr val="accent1"/>
          </a:solidFill>
          <a:ln>
            <a:noFill/>
          </a:ln>
          <a:effectLst>
            <a:outerShdw blurRad="254000" sx="102000" sy="102000" algn="ctr" rotWithShape="0">
              <a:prstClr val="black">
                <a:alpha val="20000"/>
              </a:prstClr>
            </a:outerShdw>
          </a:effectLst>
        </c:spPr>
      </c:pivotFmt>
      <c:pivotFmt>
        <c:idx val="910"/>
        <c:spPr>
          <a:solidFill>
            <a:schemeClr val="accent1"/>
          </a:solidFill>
          <a:ln>
            <a:noFill/>
          </a:ln>
          <a:effectLst>
            <a:outerShdw blurRad="254000" sx="102000" sy="102000" algn="ctr" rotWithShape="0">
              <a:prstClr val="black">
                <a:alpha val="20000"/>
              </a:prstClr>
            </a:outerShdw>
          </a:effectLst>
        </c:spPr>
      </c:pivotFmt>
      <c:pivotFmt>
        <c:idx val="911"/>
        <c:spPr>
          <a:solidFill>
            <a:schemeClr val="accent1"/>
          </a:solidFill>
          <a:ln>
            <a:noFill/>
          </a:ln>
          <a:effectLst>
            <a:outerShdw blurRad="254000" sx="102000" sy="102000" algn="ctr" rotWithShape="0">
              <a:prstClr val="black">
                <a:alpha val="20000"/>
              </a:prstClr>
            </a:outerShdw>
          </a:effectLst>
        </c:spPr>
      </c:pivotFmt>
      <c:pivotFmt>
        <c:idx val="912"/>
        <c:spPr>
          <a:solidFill>
            <a:schemeClr val="accent1"/>
          </a:solidFill>
          <a:ln>
            <a:noFill/>
          </a:ln>
          <a:effectLst>
            <a:outerShdw blurRad="254000" sx="102000" sy="102000" algn="ctr" rotWithShape="0">
              <a:prstClr val="black">
                <a:alpha val="20000"/>
              </a:prstClr>
            </a:outerShdw>
          </a:effectLst>
        </c:spPr>
      </c:pivotFmt>
      <c:pivotFmt>
        <c:idx val="913"/>
        <c:spPr>
          <a:solidFill>
            <a:schemeClr val="accent1"/>
          </a:solidFill>
          <a:ln>
            <a:noFill/>
          </a:ln>
          <a:effectLst>
            <a:outerShdw blurRad="254000" sx="102000" sy="102000" algn="ctr" rotWithShape="0">
              <a:prstClr val="black">
                <a:alpha val="20000"/>
              </a:prstClr>
            </a:outerShdw>
          </a:effectLst>
        </c:spPr>
      </c:pivotFmt>
      <c:pivotFmt>
        <c:idx val="914"/>
        <c:spPr>
          <a:solidFill>
            <a:schemeClr val="accent1"/>
          </a:solidFill>
          <a:ln>
            <a:noFill/>
          </a:ln>
          <a:effectLst>
            <a:outerShdw blurRad="254000" sx="102000" sy="102000" algn="ctr" rotWithShape="0">
              <a:prstClr val="black">
                <a:alpha val="20000"/>
              </a:prstClr>
            </a:outerShdw>
          </a:effectLst>
        </c:spPr>
      </c:pivotFmt>
      <c:pivotFmt>
        <c:idx val="915"/>
        <c:spPr>
          <a:solidFill>
            <a:schemeClr val="accent1"/>
          </a:solidFill>
          <a:ln>
            <a:noFill/>
          </a:ln>
          <a:effectLst>
            <a:outerShdw blurRad="254000" sx="102000" sy="102000" algn="ctr" rotWithShape="0">
              <a:prstClr val="black">
                <a:alpha val="20000"/>
              </a:prstClr>
            </a:outerShdw>
          </a:effectLst>
        </c:spPr>
      </c:pivotFmt>
      <c:pivotFmt>
        <c:idx val="916"/>
        <c:spPr>
          <a:solidFill>
            <a:schemeClr val="accent1"/>
          </a:solidFill>
          <a:ln>
            <a:noFill/>
          </a:ln>
          <a:effectLst>
            <a:outerShdw blurRad="254000" sx="102000" sy="102000" algn="ctr" rotWithShape="0">
              <a:prstClr val="black">
                <a:alpha val="20000"/>
              </a:prstClr>
            </a:outerShdw>
          </a:effectLst>
        </c:spPr>
      </c:pivotFmt>
      <c:pivotFmt>
        <c:idx val="917"/>
        <c:spPr>
          <a:solidFill>
            <a:schemeClr val="accent1"/>
          </a:solidFill>
          <a:ln>
            <a:noFill/>
          </a:ln>
          <a:effectLst>
            <a:outerShdw blurRad="254000" sx="102000" sy="102000" algn="ctr" rotWithShape="0">
              <a:prstClr val="black">
                <a:alpha val="20000"/>
              </a:prstClr>
            </a:outerShdw>
          </a:effectLst>
        </c:spPr>
      </c:pivotFmt>
      <c:pivotFmt>
        <c:idx val="918"/>
        <c:spPr>
          <a:solidFill>
            <a:schemeClr val="accent1"/>
          </a:solidFill>
          <a:ln>
            <a:noFill/>
          </a:ln>
          <a:effectLst>
            <a:outerShdw blurRad="254000" sx="102000" sy="102000" algn="ctr" rotWithShape="0">
              <a:prstClr val="black">
                <a:alpha val="20000"/>
              </a:prstClr>
            </a:outerShdw>
          </a:effectLst>
        </c:spPr>
      </c:pivotFmt>
      <c:pivotFmt>
        <c:idx val="919"/>
        <c:spPr>
          <a:solidFill>
            <a:schemeClr val="accent1"/>
          </a:solidFill>
          <a:ln>
            <a:noFill/>
          </a:ln>
          <a:effectLst>
            <a:outerShdw blurRad="254000" sx="102000" sy="102000" algn="ctr" rotWithShape="0">
              <a:prstClr val="black">
                <a:alpha val="20000"/>
              </a:prstClr>
            </a:outerShdw>
          </a:effectLst>
        </c:spPr>
      </c:pivotFmt>
      <c:pivotFmt>
        <c:idx val="920"/>
        <c:spPr>
          <a:solidFill>
            <a:schemeClr val="accent1"/>
          </a:solidFill>
          <a:ln>
            <a:noFill/>
          </a:ln>
          <a:effectLst>
            <a:outerShdw blurRad="254000" sx="102000" sy="102000" algn="ctr" rotWithShape="0">
              <a:prstClr val="black">
                <a:alpha val="20000"/>
              </a:prstClr>
            </a:outerShdw>
          </a:effectLst>
        </c:spPr>
      </c:pivotFmt>
      <c:pivotFmt>
        <c:idx val="921"/>
        <c:spPr>
          <a:solidFill>
            <a:schemeClr val="accent1"/>
          </a:solidFill>
          <a:ln>
            <a:noFill/>
          </a:ln>
          <a:effectLst>
            <a:outerShdw blurRad="254000" sx="102000" sy="102000" algn="ctr" rotWithShape="0">
              <a:prstClr val="black">
                <a:alpha val="20000"/>
              </a:prstClr>
            </a:outerShdw>
          </a:effectLst>
        </c:spPr>
      </c:pivotFmt>
      <c:pivotFmt>
        <c:idx val="922"/>
        <c:spPr>
          <a:solidFill>
            <a:schemeClr val="accent1"/>
          </a:solidFill>
          <a:ln>
            <a:noFill/>
          </a:ln>
          <a:effectLst>
            <a:outerShdw blurRad="254000" sx="102000" sy="102000" algn="ctr" rotWithShape="0">
              <a:prstClr val="black">
                <a:alpha val="20000"/>
              </a:prstClr>
            </a:outerShdw>
          </a:effectLst>
        </c:spPr>
      </c:pivotFmt>
      <c:pivotFmt>
        <c:idx val="923"/>
        <c:spPr>
          <a:solidFill>
            <a:schemeClr val="accent1"/>
          </a:solidFill>
          <a:ln>
            <a:noFill/>
          </a:ln>
          <a:effectLst>
            <a:outerShdw blurRad="254000" sx="102000" sy="102000" algn="ctr" rotWithShape="0">
              <a:prstClr val="black">
                <a:alpha val="20000"/>
              </a:prstClr>
            </a:outerShdw>
          </a:effectLst>
        </c:spPr>
      </c:pivotFmt>
      <c:pivotFmt>
        <c:idx val="924"/>
        <c:spPr>
          <a:solidFill>
            <a:schemeClr val="accent1"/>
          </a:solidFill>
          <a:ln>
            <a:noFill/>
          </a:ln>
          <a:effectLst>
            <a:outerShdw blurRad="254000" sx="102000" sy="102000" algn="ctr" rotWithShape="0">
              <a:prstClr val="black">
                <a:alpha val="20000"/>
              </a:prstClr>
            </a:outerShdw>
          </a:effectLst>
        </c:spPr>
      </c:pivotFmt>
      <c:pivotFmt>
        <c:idx val="925"/>
        <c:spPr>
          <a:solidFill>
            <a:schemeClr val="accent1"/>
          </a:solidFill>
          <a:ln>
            <a:noFill/>
          </a:ln>
          <a:effectLst>
            <a:outerShdw blurRad="254000" sx="102000" sy="102000" algn="ctr" rotWithShape="0">
              <a:prstClr val="black">
                <a:alpha val="20000"/>
              </a:prstClr>
            </a:outerShdw>
          </a:effectLst>
        </c:spPr>
      </c:pivotFmt>
      <c:pivotFmt>
        <c:idx val="926"/>
        <c:spPr>
          <a:solidFill>
            <a:schemeClr val="accent1"/>
          </a:solidFill>
          <a:ln>
            <a:noFill/>
          </a:ln>
          <a:effectLst>
            <a:outerShdw blurRad="254000" sx="102000" sy="102000" algn="ctr" rotWithShape="0">
              <a:prstClr val="black">
                <a:alpha val="20000"/>
              </a:prstClr>
            </a:outerShdw>
          </a:effectLst>
        </c:spPr>
      </c:pivotFmt>
      <c:pivotFmt>
        <c:idx val="927"/>
        <c:spPr>
          <a:solidFill>
            <a:schemeClr val="accent1"/>
          </a:solidFill>
          <a:ln>
            <a:noFill/>
          </a:ln>
          <a:effectLst>
            <a:outerShdw blurRad="254000" sx="102000" sy="102000" algn="ctr" rotWithShape="0">
              <a:prstClr val="black">
                <a:alpha val="20000"/>
              </a:prstClr>
            </a:outerShdw>
          </a:effectLst>
        </c:spPr>
      </c:pivotFmt>
      <c:pivotFmt>
        <c:idx val="928"/>
        <c:spPr>
          <a:solidFill>
            <a:schemeClr val="accent1"/>
          </a:solidFill>
          <a:ln>
            <a:noFill/>
          </a:ln>
          <a:effectLst>
            <a:outerShdw blurRad="254000" sx="102000" sy="102000" algn="ctr" rotWithShape="0">
              <a:prstClr val="black">
                <a:alpha val="20000"/>
              </a:prstClr>
            </a:outerShdw>
          </a:effectLst>
        </c:spPr>
      </c:pivotFmt>
      <c:pivotFmt>
        <c:idx val="929"/>
        <c:spPr>
          <a:solidFill>
            <a:schemeClr val="accent1"/>
          </a:solidFill>
          <a:ln>
            <a:noFill/>
          </a:ln>
          <a:effectLst>
            <a:outerShdw blurRad="254000" sx="102000" sy="102000" algn="ctr" rotWithShape="0">
              <a:prstClr val="black">
                <a:alpha val="20000"/>
              </a:prstClr>
            </a:outerShdw>
          </a:effectLst>
        </c:spPr>
      </c:pivotFmt>
      <c:pivotFmt>
        <c:idx val="930"/>
        <c:spPr>
          <a:solidFill>
            <a:schemeClr val="accent1"/>
          </a:solidFill>
          <a:ln>
            <a:noFill/>
          </a:ln>
          <a:effectLst>
            <a:outerShdw blurRad="254000" sx="102000" sy="102000" algn="ctr" rotWithShape="0">
              <a:prstClr val="black">
                <a:alpha val="20000"/>
              </a:prstClr>
            </a:outerShdw>
          </a:effectLst>
        </c:spPr>
      </c:pivotFmt>
      <c:pivotFmt>
        <c:idx val="931"/>
        <c:spPr>
          <a:solidFill>
            <a:schemeClr val="accent1"/>
          </a:solidFill>
          <a:ln>
            <a:noFill/>
          </a:ln>
          <a:effectLst>
            <a:outerShdw blurRad="254000" sx="102000" sy="102000" algn="ctr" rotWithShape="0">
              <a:prstClr val="black">
                <a:alpha val="20000"/>
              </a:prstClr>
            </a:outerShdw>
          </a:effectLst>
        </c:spPr>
      </c:pivotFmt>
      <c:pivotFmt>
        <c:idx val="932"/>
        <c:spPr>
          <a:solidFill>
            <a:schemeClr val="accent1"/>
          </a:solidFill>
          <a:ln>
            <a:noFill/>
          </a:ln>
          <a:effectLst>
            <a:outerShdw blurRad="254000" sx="102000" sy="102000" algn="ctr" rotWithShape="0">
              <a:prstClr val="black">
                <a:alpha val="20000"/>
              </a:prstClr>
            </a:outerShdw>
          </a:effectLst>
        </c:spPr>
      </c:pivotFmt>
      <c:pivotFmt>
        <c:idx val="933"/>
        <c:spPr>
          <a:solidFill>
            <a:schemeClr val="accent1"/>
          </a:solidFill>
          <a:ln>
            <a:noFill/>
          </a:ln>
          <a:effectLst>
            <a:outerShdw blurRad="254000" sx="102000" sy="102000" algn="ctr" rotWithShape="0">
              <a:prstClr val="black">
                <a:alpha val="20000"/>
              </a:prstClr>
            </a:outerShdw>
          </a:effectLst>
        </c:spPr>
      </c:pivotFmt>
      <c:pivotFmt>
        <c:idx val="934"/>
        <c:spPr>
          <a:solidFill>
            <a:schemeClr val="accent1"/>
          </a:solidFill>
          <a:ln>
            <a:noFill/>
          </a:ln>
          <a:effectLst>
            <a:outerShdw blurRad="254000" sx="102000" sy="102000" algn="ctr" rotWithShape="0">
              <a:prstClr val="black">
                <a:alpha val="20000"/>
              </a:prstClr>
            </a:outerShdw>
          </a:effectLst>
        </c:spPr>
      </c:pivotFmt>
      <c:pivotFmt>
        <c:idx val="935"/>
        <c:spPr>
          <a:solidFill>
            <a:schemeClr val="accent1"/>
          </a:solidFill>
          <a:ln>
            <a:noFill/>
          </a:ln>
          <a:effectLst>
            <a:outerShdw blurRad="254000" sx="102000" sy="102000" algn="ctr" rotWithShape="0">
              <a:prstClr val="black">
                <a:alpha val="20000"/>
              </a:prstClr>
            </a:outerShdw>
          </a:effectLst>
        </c:spPr>
      </c:pivotFmt>
      <c:pivotFmt>
        <c:idx val="936"/>
        <c:spPr>
          <a:solidFill>
            <a:schemeClr val="accent1"/>
          </a:solidFill>
          <a:ln>
            <a:noFill/>
          </a:ln>
          <a:effectLst>
            <a:outerShdw blurRad="254000" sx="102000" sy="102000" algn="ctr" rotWithShape="0">
              <a:prstClr val="black">
                <a:alpha val="20000"/>
              </a:prstClr>
            </a:outerShdw>
          </a:effectLst>
        </c:spPr>
      </c:pivotFmt>
      <c:pivotFmt>
        <c:idx val="937"/>
        <c:spPr>
          <a:solidFill>
            <a:schemeClr val="accent1"/>
          </a:solidFill>
          <a:ln>
            <a:noFill/>
          </a:ln>
          <a:effectLst>
            <a:outerShdw blurRad="254000" sx="102000" sy="102000" algn="ctr" rotWithShape="0">
              <a:prstClr val="black">
                <a:alpha val="20000"/>
              </a:prstClr>
            </a:outerShdw>
          </a:effectLst>
        </c:spPr>
      </c:pivotFmt>
      <c:pivotFmt>
        <c:idx val="938"/>
        <c:spPr>
          <a:solidFill>
            <a:schemeClr val="accent1"/>
          </a:solidFill>
          <a:ln>
            <a:noFill/>
          </a:ln>
          <a:effectLst>
            <a:outerShdw blurRad="254000" sx="102000" sy="102000" algn="ctr" rotWithShape="0">
              <a:prstClr val="black">
                <a:alpha val="20000"/>
              </a:prstClr>
            </a:outerShdw>
          </a:effectLst>
        </c:spPr>
      </c:pivotFmt>
      <c:pivotFmt>
        <c:idx val="939"/>
        <c:spPr>
          <a:solidFill>
            <a:schemeClr val="accent1"/>
          </a:solidFill>
          <a:ln>
            <a:noFill/>
          </a:ln>
          <a:effectLst>
            <a:outerShdw blurRad="254000" sx="102000" sy="102000" algn="ctr" rotWithShape="0">
              <a:prstClr val="black">
                <a:alpha val="20000"/>
              </a:prstClr>
            </a:outerShdw>
          </a:effectLst>
        </c:spPr>
      </c:pivotFmt>
      <c:pivotFmt>
        <c:idx val="940"/>
        <c:spPr>
          <a:solidFill>
            <a:schemeClr val="accent1"/>
          </a:solidFill>
          <a:ln>
            <a:noFill/>
          </a:ln>
          <a:effectLst>
            <a:outerShdw blurRad="254000" sx="102000" sy="102000" algn="ctr" rotWithShape="0">
              <a:prstClr val="black">
                <a:alpha val="20000"/>
              </a:prstClr>
            </a:outerShdw>
          </a:effectLst>
        </c:spPr>
      </c:pivotFmt>
      <c:pivotFmt>
        <c:idx val="941"/>
        <c:spPr>
          <a:solidFill>
            <a:schemeClr val="accent1"/>
          </a:solidFill>
          <a:ln>
            <a:noFill/>
          </a:ln>
          <a:effectLst>
            <a:outerShdw blurRad="254000" sx="102000" sy="102000" algn="ctr" rotWithShape="0">
              <a:prstClr val="black">
                <a:alpha val="20000"/>
              </a:prstClr>
            </a:outerShdw>
          </a:effectLst>
        </c:spPr>
      </c:pivotFmt>
      <c:pivotFmt>
        <c:idx val="942"/>
        <c:spPr>
          <a:solidFill>
            <a:schemeClr val="accent1"/>
          </a:solidFill>
          <a:ln>
            <a:noFill/>
          </a:ln>
          <a:effectLst>
            <a:outerShdw blurRad="254000" sx="102000" sy="102000" algn="ctr" rotWithShape="0">
              <a:prstClr val="black">
                <a:alpha val="20000"/>
              </a:prstClr>
            </a:outerShdw>
          </a:effectLst>
        </c:spPr>
      </c:pivotFmt>
      <c:pivotFmt>
        <c:idx val="943"/>
        <c:spPr>
          <a:solidFill>
            <a:schemeClr val="accent1"/>
          </a:solidFill>
          <a:ln>
            <a:noFill/>
          </a:ln>
          <a:effectLst>
            <a:outerShdw blurRad="254000" sx="102000" sy="102000" algn="ctr" rotWithShape="0">
              <a:prstClr val="black">
                <a:alpha val="20000"/>
              </a:prstClr>
            </a:outerShdw>
          </a:effectLst>
        </c:spPr>
      </c:pivotFmt>
      <c:pivotFmt>
        <c:idx val="944"/>
        <c:spPr>
          <a:solidFill>
            <a:schemeClr val="accent1"/>
          </a:solidFill>
          <a:ln>
            <a:noFill/>
          </a:ln>
          <a:effectLst>
            <a:outerShdw blurRad="254000" sx="102000" sy="102000" algn="ctr" rotWithShape="0">
              <a:prstClr val="black">
                <a:alpha val="20000"/>
              </a:prstClr>
            </a:outerShdw>
          </a:effectLst>
        </c:spPr>
      </c:pivotFmt>
      <c:pivotFmt>
        <c:idx val="945"/>
        <c:spPr>
          <a:solidFill>
            <a:schemeClr val="accent1"/>
          </a:solidFill>
          <a:ln>
            <a:noFill/>
          </a:ln>
          <a:effectLst>
            <a:outerShdw blurRad="254000" sx="102000" sy="102000" algn="ctr" rotWithShape="0">
              <a:prstClr val="black">
                <a:alpha val="20000"/>
              </a:prstClr>
            </a:outerShdw>
          </a:effectLst>
        </c:spPr>
      </c:pivotFmt>
      <c:pivotFmt>
        <c:idx val="946"/>
        <c:spPr>
          <a:solidFill>
            <a:schemeClr val="accent1"/>
          </a:solidFill>
          <a:ln>
            <a:noFill/>
          </a:ln>
          <a:effectLst>
            <a:outerShdw blurRad="254000" sx="102000" sy="102000" algn="ctr" rotWithShape="0">
              <a:prstClr val="black">
                <a:alpha val="20000"/>
              </a:prstClr>
            </a:outerShdw>
          </a:effectLst>
        </c:spPr>
      </c:pivotFmt>
      <c:pivotFmt>
        <c:idx val="947"/>
        <c:spPr>
          <a:solidFill>
            <a:schemeClr val="accent1"/>
          </a:solidFill>
          <a:ln>
            <a:noFill/>
          </a:ln>
          <a:effectLst>
            <a:outerShdw blurRad="254000" sx="102000" sy="102000" algn="ctr" rotWithShape="0">
              <a:prstClr val="black">
                <a:alpha val="20000"/>
              </a:prstClr>
            </a:outerShdw>
          </a:effectLst>
        </c:spPr>
      </c:pivotFmt>
      <c:pivotFmt>
        <c:idx val="948"/>
        <c:spPr>
          <a:solidFill>
            <a:schemeClr val="accent1"/>
          </a:solidFill>
          <a:ln>
            <a:noFill/>
          </a:ln>
          <a:effectLst>
            <a:outerShdw blurRad="254000" sx="102000" sy="102000" algn="ctr" rotWithShape="0">
              <a:prstClr val="black">
                <a:alpha val="20000"/>
              </a:prstClr>
            </a:outerShdw>
          </a:effectLst>
        </c:spPr>
      </c:pivotFmt>
      <c:pivotFmt>
        <c:idx val="949"/>
        <c:spPr>
          <a:solidFill>
            <a:schemeClr val="accent1"/>
          </a:solidFill>
          <a:ln>
            <a:noFill/>
          </a:ln>
          <a:effectLst>
            <a:outerShdw blurRad="254000" sx="102000" sy="102000" algn="ctr" rotWithShape="0">
              <a:prstClr val="black">
                <a:alpha val="20000"/>
              </a:prstClr>
            </a:outerShdw>
          </a:effectLst>
        </c:spPr>
      </c:pivotFmt>
      <c:pivotFmt>
        <c:idx val="950"/>
        <c:spPr>
          <a:solidFill>
            <a:schemeClr val="accent1"/>
          </a:solidFill>
          <a:ln>
            <a:noFill/>
          </a:ln>
          <a:effectLst>
            <a:outerShdw blurRad="254000" sx="102000" sy="102000" algn="ctr" rotWithShape="0">
              <a:prstClr val="black">
                <a:alpha val="20000"/>
              </a:prstClr>
            </a:outerShdw>
          </a:effectLst>
        </c:spPr>
      </c:pivotFmt>
      <c:pivotFmt>
        <c:idx val="951"/>
        <c:spPr>
          <a:solidFill>
            <a:schemeClr val="accent1"/>
          </a:solidFill>
          <a:ln>
            <a:noFill/>
          </a:ln>
          <a:effectLst>
            <a:outerShdw blurRad="254000" sx="102000" sy="102000" algn="ctr" rotWithShape="0">
              <a:prstClr val="black">
                <a:alpha val="20000"/>
              </a:prstClr>
            </a:outerShdw>
          </a:effectLst>
        </c:spPr>
      </c:pivotFmt>
      <c:pivotFmt>
        <c:idx val="952"/>
        <c:spPr>
          <a:solidFill>
            <a:schemeClr val="accent1"/>
          </a:solidFill>
          <a:ln>
            <a:noFill/>
          </a:ln>
          <a:effectLst>
            <a:outerShdw blurRad="254000" sx="102000" sy="102000" algn="ctr" rotWithShape="0">
              <a:prstClr val="black">
                <a:alpha val="20000"/>
              </a:prstClr>
            </a:outerShdw>
          </a:effectLst>
        </c:spPr>
      </c:pivotFmt>
      <c:pivotFmt>
        <c:idx val="953"/>
        <c:spPr>
          <a:solidFill>
            <a:schemeClr val="accent1"/>
          </a:solidFill>
          <a:ln>
            <a:noFill/>
          </a:ln>
          <a:effectLst>
            <a:outerShdw blurRad="254000" sx="102000" sy="102000" algn="ctr" rotWithShape="0">
              <a:prstClr val="black">
                <a:alpha val="20000"/>
              </a:prstClr>
            </a:outerShdw>
          </a:effectLst>
        </c:spPr>
      </c:pivotFmt>
      <c:pivotFmt>
        <c:idx val="954"/>
        <c:spPr>
          <a:solidFill>
            <a:schemeClr val="accent1"/>
          </a:solidFill>
          <a:ln>
            <a:noFill/>
          </a:ln>
          <a:effectLst>
            <a:outerShdw blurRad="254000" sx="102000" sy="102000" algn="ctr" rotWithShape="0">
              <a:prstClr val="black">
                <a:alpha val="20000"/>
              </a:prstClr>
            </a:outerShdw>
          </a:effectLst>
        </c:spPr>
      </c:pivotFmt>
      <c:pivotFmt>
        <c:idx val="955"/>
        <c:spPr>
          <a:solidFill>
            <a:schemeClr val="accent1"/>
          </a:solidFill>
          <a:ln>
            <a:noFill/>
          </a:ln>
          <a:effectLst>
            <a:outerShdw blurRad="254000" sx="102000" sy="102000" algn="ctr" rotWithShape="0">
              <a:prstClr val="black">
                <a:alpha val="20000"/>
              </a:prstClr>
            </a:outerShdw>
          </a:effectLst>
        </c:spPr>
      </c:pivotFmt>
      <c:pivotFmt>
        <c:idx val="956"/>
        <c:spPr>
          <a:solidFill>
            <a:schemeClr val="accent1"/>
          </a:solidFill>
          <a:ln>
            <a:noFill/>
          </a:ln>
          <a:effectLst>
            <a:outerShdw blurRad="254000" sx="102000" sy="102000" algn="ctr" rotWithShape="0">
              <a:prstClr val="black">
                <a:alpha val="20000"/>
              </a:prstClr>
            </a:outerShdw>
          </a:effectLst>
        </c:spPr>
      </c:pivotFmt>
      <c:pivotFmt>
        <c:idx val="957"/>
        <c:spPr>
          <a:solidFill>
            <a:schemeClr val="accent1"/>
          </a:solidFill>
          <a:ln>
            <a:noFill/>
          </a:ln>
          <a:effectLst>
            <a:outerShdw blurRad="254000" sx="102000" sy="102000" algn="ctr" rotWithShape="0">
              <a:prstClr val="black">
                <a:alpha val="20000"/>
              </a:prstClr>
            </a:outerShdw>
          </a:effectLst>
        </c:spPr>
      </c:pivotFmt>
      <c:pivotFmt>
        <c:idx val="958"/>
        <c:spPr>
          <a:solidFill>
            <a:schemeClr val="accent1"/>
          </a:solidFill>
          <a:ln>
            <a:noFill/>
          </a:ln>
          <a:effectLst>
            <a:outerShdw blurRad="254000" sx="102000" sy="102000" algn="ctr" rotWithShape="0">
              <a:prstClr val="black">
                <a:alpha val="20000"/>
              </a:prstClr>
            </a:outerShdw>
          </a:effectLst>
        </c:spPr>
      </c:pivotFmt>
      <c:pivotFmt>
        <c:idx val="959"/>
        <c:spPr>
          <a:solidFill>
            <a:schemeClr val="accent1"/>
          </a:solidFill>
          <a:ln>
            <a:noFill/>
          </a:ln>
          <a:effectLst>
            <a:outerShdw blurRad="254000" sx="102000" sy="102000" algn="ctr" rotWithShape="0">
              <a:prstClr val="black">
                <a:alpha val="20000"/>
              </a:prstClr>
            </a:outerShdw>
          </a:effectLst>
        </c:spPr>
      </c:pivotFmt>
      <c:pivotFmt>
        <c:idx val="960"/>
        <c:spPr>
          <a:solidFill>
            <a:schemeClr val="accent1"/>
          </a:solidFill>
          <a:ln>
            <a:noFill/>
          </a:ln>
          <a:effectLst>
            <a:outerShdw blurRad="254000" sx="102000" sy="102000" algn="ctr" rotWithShape="0">
              <a:prstClr val="black">
                <a:alpha val="20000"/>
              </a:prstClr>
            </a:outerShdw>
          </a:effectLst>
        </c:spPr>
      </c:pivotFmt>
      <c:pivotFmt>
        <c:idx val="961"/>
        <c:spPr>
          <a:solidFill>
            <a:schemeClr val="accent1"/>
          </a:solidFill>
          <a:ln>
            <a:noFill/>
          </a:ln>
          <a:effectLst>
            <a:outerShdw blurRad="254000" sx="102000" sy="102000" algn="ctr" rotWithShape="0">
              <a:prstClr val="black">
                <a:alpha val="20000"/>
              </a:prstClr>
            </a:outerShdw>
          </a:effectLst>
        </c:spPr>
      </c:pivotFmt>
      <c:pivotFmt>
        <c:idx val="962"/>
        <c:spPr>
          <a:solidFill>
            <a:schemeClr val="accent1"/>
          </a:solidFill>
          <a:ln>
            <a:noFill/>
          </a:ln>
          <a:effectLst>
            <a:outerShdw blurRad="254000" sx="102000" sy="102000" algn="ctr" rotWithShape="0">
              <a:prstClr val="black">
                <a:alpha val="20000"/>
              </a:prstClr>
            </a:outerShdw>
          </a:effectLst>
        </c:spPr>
      </c:pivotFmt>
      <c:pivotFmt>
        <c:idx val="963"/>
        <c:spPr>
          <a:solidFill>
            <a:schemeClr val="accent1"/>
          </a:solidFill>
          <a:ln>
            <a:noFill/>
          </a:ln>
          <a:effectLst>
            <a:outerShdw blurRad="254000" sx="102000" sy="102000" algn="ctr" rotWithShape="0">
              <a:prstClr val="black">
                <a:alpha val="20000"/>
              </a:prstClr>
            </a:outerShdw>
          </a:effectLst>
        </c:spPr>
      </c:pivotFmt>
      <c:pivotFmt>
        <c:idx val="964"/>
        <c:spPr>
          <a:solidFill>
            <a:schemeClr val="accent1"/>
          </a:solidFill>
          <a:ln>
            <a:noFill/>
          </a:ln>
          <a:effectLst>
            <a:outerShdw blurRad="254000" sx="102000" sy="102000" algn="ctr" rotWithShape="0">
              <a:prstClr val="black">
                <a:alpha val="20000"/>
              </a:prstClr>
            </a:outerShdw>
          </a:effectLst>
        </c:spPr>
      </c:pivotFmt>
      <c:pivotFmt>
        <c:idx val="965"/>
        <c:spPr>
          <a:solidFill>
            <a:schemeClr val="accent1"/>
          </a:solidFill>
          <a:ln>
            <a:noFill/>
          </a:ln>
          <a:effectLst>
            <a:outerShdw blurRad="254000" sx="102000" sy="102000" algn="ctr" rotWithShape="0">
              <a:prstClr val="black">
                <a:alpha val="20000"/>
              </a:prstClr>
            </a:outerShdw>
          </a:effectLst>
        </c:spPr>
      </c:pivotFmt>
      <c:pivotFmt>
        <c:idx val="966"/>
        <c:spPr>
          <a:solidFill>
            <a:schemeClr val="accent1"/>
          </a:solidFill>
          <a:ln>
            <a:noFill/>
          </a:ln>
          <a:effectLst>
            <a:outerShdw blurRad="254000" sx="102000" sy="102000" algn="ctr" rotWithShape="0">
              <a:prstClr val="black">
                <a:alpha val="20000"/>
              </a:prstClr>
            </a:outerShdw>
          </a:effectLst>
        </c:spPr>
      </c:pivotFmt>
      <c:pivotFmt>
        <c:idx val="967"/>
        <c:spPr>
          <a:solidFill>
            <a:schemeClr val="accent1"/>
          </a:solidFill>
          <a:ln>
            <a:noFill/>
          </a:ln>
          <a:effectLst>
            <a:outerShdw blurRad="254000" sx="102000" sy="102000" algn="ctr" rotWithShape="0">
              <a:prstClr val="black">
                <a:alpha val="20000"/>
              </a:prstClr>
            </a:outerShdw>
          </a:effectLst>
        </c:spPr>
      </c:pivotFmt>
      <c:pivotFmt>
        <c:idx val="968"/>
        <c:spPr>
          <a:solidFill>
            <a:schemeClr val="accent1"/>
          </a:solidFill>
          <a:ln>
            <a:noFill/>
          </a:ln>
          <a:effectLst>
            <a:outerShdw blurRad="254000" sx="102000" sy="102000" algn="ctr" rotWithShape="0">
              <a:prstClr val="black">
                <a:alpha val="20000"/>
              </a:prstClr>
            </a:outerShdw>
          </a:effectLst>
        </c:spPr>
      </c:pivotFmt>
      <c:pivotFmt>
        <c:idx val="969"/>
        <c:spPr>
          <a:solidFill>
            <a:schemeClr val="accent1"/>
          </a:solidFill>
          <a:ln>
            <a:noFill/>
          </a:ln>
          <a:effectLst>
            <a:outerShdw blurRad="254000" sx="102000" sy="102000" algn="ctr" rotWithShape="0">
              <a:prstClr val="black">
                <a:alpha val="20000"/>
              </a:prstClr>
            </a:outerShdw>
          </a:effectLst>
        </c:spPr>
      </c:pivotFmt>
      <c:pivotFmt>
        <c:idx val="970"/>
        <c:spPr>
          <a:solidFill>
            <a:schemeClr val="accent1"/>
          </a:solidFill>
          <a:ln>
            <a:noFill/>
          </a:ln>
          <a:effectLst>
            <a:outerShdw blurRad="254000" sx="102000" sy="102000" algn="ctr" rotWithShape="0">
              <a:prstClr val="black">
                <a:alpha val="20000"/>
              </a:prstClr>
            </a:outerShdw>
          </a:effectLst>
        </c:spPr>
      </c:pivotFmt>
      <c:pivotFmt>
        <c:idx val="971"/>
        <c:spPr>
          <a:solidFill>
            <a:schemeClr val="accent1"/>
          </a:solidFill>
          <a:ln>
            <a:noFill/>
          </a:ln>
          <a:effectLst>
            <a:outerShdw blurRad="254000" sx="102000" sy="102000" algn="ctr" rotWithShape="0">
              <a:prstClr val="black">
                <a:alpha val="20000"/>
              </a:prstClr>
            </a:outerShdw>
          </a:effectLst>
        </c:spPr>
      </c:pivotFmt>
      <c:pivotFmt>
        <c:idx val="972"/>
        <c:spPr>
          <a:solidFill>
            <a:schemeClr val="accent1"/>
          </a:solidFill>
          <a:ln>
            <a:noFill/>
          </a:ln>
          <a:effectLst>
            <a:outerShdw blurRad="254000" sx="102000" sy="102000" algn="ctr" rotWithShape="0">
              <a:prstClr val="black">
                <a:alpha val="20000"/>
              </a:prstClr>
            </a:outerShdw>
          </a:effectLst>
        </c:spPr>
      </c:pivotFmt>
      <c:pivotFmt>
        <c:idx val="973"/>
        <c:spPr>
          <a:solidFill>
            <a:schemeClr val="accent1"/>
          </a:solidFill>
          <a:ln>
            <a:noFill/>
          </a:ln>
          <a:effectLst>
            <a:outerShdw blurRad="254000" sx="102000" sy="102000" algn="ctr" rotWithShape="0">
              <a:prstClr val="black">
                <a:alpha val="20000"/>
              </a:prstClr>
            </a:outerShdw>
          </a:effectLst>
        </c:spPr>
      </c:pivotFmt>
      <c:pivotFmt>
        <c:idx val="974"/>
        <c:spPr>
          <a:solidFill>
            <a:schemeClr val="accent1"/>
          </a:solidFill>
          <a:ln>
            <a:noFill/>
          </a:ln>
          <a:effectLst>
            <a:outerShdw blurRad="254000" sx="102000" sy="102000" algn="ctr" rotWithShape="0">
              <a:prstClr val="black">
                <a:alpha val="20000"/>
              </a:prstClr>
            </a:outerShdw>
          </a:effectLst>
        </c:spPr>
      </c:pivotFmt>
      <c:pivotFmt>
        <c:idx val="975"/>
        <c:spPr>
          <a:solidFill>
            <a:schemeClr val="accent1"/>
          </a:solidFill>
          <a:ln>
            <a:noFill/>
          </a:ln>
          <a:effectLst>
            <a:outerShdw blurRad="254000" sx="102000" sy="102000" algn="ctr" rotWithShape="0">
              <a:prstClr val="black">
                <a:alpha val="20000"/>
              </a:prstClr>
            </a:outerShdw>
          </a:effectLst>
        </c:spPr>
      </c:pivotFmt>
      <c:pivotFmt>
        <c:idx val="976"/>
        <c:spPr>
          <a:solidFill>
            <a:schemeClr val="accent1"/>
          </a:solidFill>
          <a:ln>
            <a:noFill/>
          </a:ln>
          <a:effectLst>
            <a:outerShdw blurRad="254000" sx="102000" sy="102000" algn="ctr" rotWithShape="0">
              <a:prstClr val="black">
                <a:alpha val="20000"/>
              </a:prstClr>
            </a:outerShdw>
          </a:effectLst>
        </c:spPr>
      </c:pivotFmt>
      <c:pivotFmt>
        <c:idx val="977"/>
        <c:spPr>
          <a:solidFill>
            <a:schemeClr val="accent1"/>
          </a:solidFill>
          <a:ln>
            <a:noFill/>
          </a:ln>
          <a:effectLst>
            <a:outerShdw blurRad="254000" sx="102000" sy="102000" algn="ctr" rotWithShape="0">
              <a:prstClr val="black">
                <a:alpha val="20000"/>
              </a:prstClr>
            </a:outerShdw>
          </a:effectLst>
        </c:spPr>
      </c:pivotFmt>
      <c:pivotFmt>
        <c:idx val="978"/>
        <c:spPr>
          <a:solidFill>
            <a:schemeClr val="accent1"/>
          </a:solidFill>
          <a:ln>
            <a:noFill/>
          </a:ln>
          <a:effectLst>
            <a:outerShdw blurRad="254000" sx="102000" sy="102000" algn="ctr" rotWithShape="0">
              <a:prstClr val="black">
                <a:alpha val="20000"/>
              </a:prstClr>
            </a:outerShdw>
          </a:effectLst>
        </c:spPr>
      </c:pivotFmt>
      <c:pivotFmt>
        <c:idx val="979"/>
        <c:spPr>
          <a:solidFill>
            <a:schemeClr val="accent1"/>
          </a:solidFill>
          <a:ln>
            <a:noFill/>
          </a:ln>
          <a:effectLst>
            <a:outerShdw blurRad="254000" sx="102000" sy="102000" algn="ctr" rotWithShape="0">
              <a:prstClr val="black">
                <a:alpha val="20000"/>
              </a:prstClr>
            </a:outerShdw>
          </a:effectLst>
        </c:spPr>
      </c:pivotFmt>
      <c:pivotFmt>
        <c:idx val="980"/>
        <c:spPr>
          <a:solidFill>
            <a:schemeClr val="accent1"/>
          </a:solidFill>
          <a:ln>
            <a:noFill/>
          </a:ln>
          <a:effectLst>
            <a:outerShdw blurRad="254000" sx="102000" sy="102000" algn="ctr" rotWithShape="0">
              <a:prstClr val="black">
                <a:alpha val="20000"/>
              </a:prstClr>
            </a:outerShdw>
          </a:effectLst>
        </c:spPr>
      </c:pivotFmt>
      <c:pivotFmt>
        <c:idx val="981"/>
        <c:spPr>
          <a:solidFill>
            <a:schemeClr val="accent1"/>
          </a:solidFill>
          <a:ln>
            <a:noFill/>
          </a:ln>
          <a:effectLst>
            <a:outerShdw blurRad="254000" sx="102000" sy="102000" algn="ctr" rotWithShape="0">
              <a:prstClr val="black">
                <a:alpha val="20000"/>
              </a:prstClr>
            </a:outerShdw>
          </a:effectLst>
        </c:spPr>
      </c:pivotFmt>
      <c:pivotFmt>
        <c:idx val="982"/>
        <c:spPr>
          <a:solidFill>
            <a:schemeClr val="accent1"/>
          </a:solidFill>
          <a:ln>
            <a:noFill/>
          </a:ln>
          <a:effectLst>
            <a:outerShdw blurRad="254000" sx="102000" sy="102000" algn="ctr" rotWithShape="0">
              <a:prstClr val="black">
                <a:alpha val="20000"/>
              </a:prstClr>
            </a:outerShdw>
          </a:effectLst>
        </c:spPr>
      </c:pivotFmt>
      <c:pivotFmt>
        <c:idx val="983"/>
        <c:spPr>
          <a:solidFill>
            <a:schemeClr val="accent1"/>
          </a:solidFill>
          <a:ln>
            <a:noFill/>
          </a:ln>
          <a:effectLst>
            <a:outerShdw blurRad="254000" sx="102000" sy="102000" algn="ctr" rotWithShape="0">
              <a:prstClr val="black">
                <a:alpha val="20000"/>
              </a:prstClr>
            </a:outerShdw>
          </a:effectLst>
        </c:spPr>
      </c:pivotFmt>
      <c:pivotFmt>
        <c:idx val="984"/>
        <c:spPr>
          <a:solidFill>
            <a:schemeClr val="accent1"/>
          </a:solidFill>
          <a:ln>
            <a:noFill/>
          </a:ln>
          <a:effectLst>
            <a:outerShdw blurRad="254000" sx="102000" sy="102000" algn="ctr" rotWithShape="0">
              <a:prstClr val="black">
                <a:alpha val="20000"/>
              </a:prstClr>
            </a:outerShdw>
          </a:effectLst>
        </c:spPr>
      </c:pivotFmt>
      <c:pivotFmt>
        <c:idx val="985"/>
        <c:spPr>
          <a:solidFill>
            <a:schemeClr val="accent1"/>
          </a:solidFill>
          <a:ln>
            <a:noFill/>
          </a:ln>
          <a:effectLst>
            <a:outerShdw blurRad="254000" sx="102000" sy="102000" algn="ctr" rotWithShape="0">
              <a:prstClr val="black">
                <a:alpha val="20000"/>
              </a:prstClr>
            </a:outerShdw>
          </a:effectLst>
        </c:spPr>
      </c:pivotFmt>
      <c:pivotFmt>
        <c:idx val="986"/>
        <c:spPr>
          <a:solidFill>
            <a:schemeClr val="accent1"/>
          </a:solidFill>
          <a:ln>
            <a:noFill/>
          </a:ln>
          <a:effectLst>
            <a:outerShdw blurRad="254000" sx="102000" sy="102000" algn="ctr" rotWithShape="0">
              <a:prstClr val="black">
                <a:alpha val="20000"/>
              </a:prstClr>
            </a:outerShdw>
          </a:effectLst>
        </c:spPr>
      </c:pivotFmt>
      <c:pivotFmt>
        <c:idx val="987"/>
        <c:spPr>
          <a:solidFill>
            <a:schemeClr val="accent1"/>
          </a:solidFill>
          <a:ln>
            <a:noFill/>
          </a:ln>
          <a:effectLst>
            <a:outerShdw blurRad="254000" sx="102000" sy="102000" algn="ctr" rotWithShape="0">
              <a:prstClr val="black">
                <a:alpha val="20000"/>
              </a:prstClr>
            </a:outerShdw>
          </a:effectLst>
        </c:spPr>
      </c:pivotFmt>
      <c:pivotFmt>
        <c:idx val="988"/>
        <c:spPr>
          <a:solidFill>
            <a:schemeClr val="accent1"/>
          </a:solidFill>
          <a:ln>
            <a:noFill/>
          </a:ln>
          <a:effectLst>
            <a:outerShdw blurRad="254000" sx="102000" sy="102000" algn="ctr" rotWithShape="0">
              <a:prstClr val="black">
                <a:alpha val="20000"/>
              </a:prstClr>
            </a:outerShdw>
          </a:effectLst>
        </c:spPr>
      </c:pivotFmt>
      <c:pivotFmt>
        <c:idx val="989"/>
        <c:spPr>
          <a:solidFill>
            <a:schemeClr val="accent1"/>
          </a:solidFill>
          <a:ln>
            <a:noFill/>
          </a:ln>
          <a:effectLst>
            <a:outerShdw blurRad="254000" sx="102000" sy="102000" algn="ctr" rotWithShape="0">
              <a:prstClr val="black">
                <a:alpha val="20000"/>
              </a:prstClr>
            </a:outerShdw>
          </a:effectLst>
        </c:spPr>
      </c:pivotFmt>
      <c:pivotFmt>
        <c:idx val="990"/>
        <c:spPr>
          <a:solidFill>
            <a:schemeClr val="accent1"/>
          </a:solidFill>
          <a:ln>
            <a:noFill/>
          </a:ln>
          <a:effectLst>
            <a:outerShdw blurRad="254000" sx="102000" sy="102000" algn="ctr" rotWithShape="0">
              <a:prstClr val="black">
                <a:alpha val="20000"/>
              </a:prstClr>
            </a:outerShdw>
          </a:effectLst>
        </c:spPr>
      </c:pivotFmt>
      <c:pivotFmt>
        <c:idx val="991"/>
        <c:spPr>
          <a:solidFill>
            <a:schemeClr val="accent1"/>
          </a:solidFill>
          <a:ln>
            <a:noFill/>
          </a:ln>
          <a:effectLst>
            <a:outerShdw blurRad="254000" sx="102000" sy="102000" algn="ctr" rotWithShape="0">
              <a:prstClr val="black">
                <a:alpha val="20000"/>
              </a:prstClr>
            </a:outerShdw>
          </a:effectLst>
        </c:spPr>
      </c:pivotFmt>
      <c:pivotFmt>
        <c:idx val="992"/>
        <c:spPr>
          <a:solidFill>
            <a:schemeClr val="accent1"/>
          </a:solidFill>
          <a:ln>
            <a:noFill/>
          </a:ln>
          <a:effectLst>
            <a:outerShdw blurRad="254000" sx="102000" sy="102000" algn="ctr" rotWithShape="0">
              <a:prstClr val="black">
                <a:alpha val="20000"/>
              </a:prstClr>
            </a:outerShdw>
          </a:effectLst>
        </c:spPr>
      </c:pivotFmt>
      <c:pivotFmt>
        <c:idx val="993"/>
        <c:spPr>
          <a:solidFill>
            <a:schemeClr val="accent1"/>
          </a:solidFill>
          <a:ln>
            <a:noFill/>
          </a:ln>
          <a:effectLst>
            <a:outerShdw blurRad="254000" sx="102000" sy="102000" algn="ctr" rotWithShape="0">
              <a:prstClr val="black">
                <a:alpha val="20000"/>
              </a:prstClr>
            </a:outerShdw>
          </a:effectLst>
        </c:spPr>
      </c:pivotFmt>
      <c:pivotFmt>
        <c:idx val="994"/>
        <c:spPr>
          <a:solidFill>
            <a:schemeClr val="accent1"/>
          </a:solidFill>
          <a:ln>
            <a:noFill/>
          </a:ln>
          <a:effectLst>
            <a:outerShdw blurRad="254000" sx="102000" sy="102000" algn="ctr" rotWithShape="0">
              <a:prstClr val="black">
                <a:alpha val="20000"/>
              </a:prstClr>
            </a:outerShdw>
          </a:effectLst>
        </c:spPr>
      </c:pivotFmt>
      <c:pivotFmt>
        <c:idx val="995"/>
        <c:spPr>
          <a:solidFill>
            <a:schemeClr val="accent1"/>
          </a:solidFill>
          <a:ln>
            <a:noFill/>
          </a:ln>
          <a:effectLst>
            <a:outerShdw blurRad="254000" sx="102000" sy="102000" algn="ctr" rotWithShape="0">
              <a:prstClr val="black">
                <a:alpha val="20000"/>
              </a:prstClr>
            </a:outerShdw>
          </a:effectLst>
        </c:spPr>
      </c:pivotFmt>
      <c:pivotFmt>
        <c:idx val="996"/>
        <c:spPr>
          <a:solidFill>
            <a:schemeClr val="accent1"/>
          </a:solidFill>
          <a:ln>
            <a:noFill/>
          </a:ln>
          <a:effectLst>
            <a:outerShdw blurRad="254000" sx="102000" sy="102000" algn="ctr" rotWithShape="0">
              <a:prstClr val="black">
                <a:alpha val="20000"/>
              </a:prstClr>
            </a:outerShdw>
          </a:effectLst>
        </c:spPr>
      </c:pivotFmt>
      <c:pivotFmt>
        <c:idx val="997"/>
        <c:spPr>
          <a:solidFill>
            <a:schemeClr val="accent1"/>
          </a:solidFill>
          <a:ln>
            <a:noFill/>
          </a:ln>
          <a:effectLst>
            <a:outerShdw blurRad="254000" sx="102000" sy="102000" algn="ctr" rotWithShape="0">
              <a:prstClr val="black">
                <a:alpha val="20000"/>
              </a:prstClr>
            </a:outerShdw>
          </a:effectLst>
        </c:spPr>
      </c:pivotFmt>
      <c:pivotFmt>
        <c:idx val="998"/>
        <c:spPr>
          <a:solidFill>
            <a:schemeClr val="accent1"/>
          </a:solidFill>
          <a:ln>
            <a:noFill/>
          </a:ln>
          <a:effectLst>
            <a:outerShdw blurRad="254000" sx="102000" sy="102000" algn="ctr" rotWithShape="0">
              <a:prstClr val="black">
                <a:alpha val="20000"/>
              </a:prstClr>
            </a:outerShdw>
          </a:effectLst>
        </c:spPr>
      </c:pivotFmt>
      <c:pivotFmt>
        <c:idx val="999"/>
        <c:spPr>
          <a:solidFill>
            <a:schemeClr val="accent1"/>
          </a:solidFill>
          <a:ln>
            <a:noFill/>
          </a:ln>
          <a:effectLst>
            <a:outerShdw blurRad="254000" sx="102000" sy="102000" algn="ctr" rotWithShape="0">
              <a:prstClr val="black">
                <a:alpha val="20000"/>
              </a:prstClr>
            </a:outerShdw>
          </a:effectLst>
        </c:spPr>
      </c:pivotFmt>
      <c:pivotFmt>
        <c:idx val="1000"/>
        <c:spPr>
          <a:solidFill>
            <a:schemeClr val="accent1"/>
          </a:solidFill>
          <a:ln>
            <a:noFill/>
          </a:ln>
          <a:effectLst>
            <a:outerShdw blurRad="254000" sx="102000" sy="102000" algn="ctr" rotWithShape="0">
              <a:prstClr val="black">
                <a:alpha val="20000"/>
              </a:prstClr>
            </a:outerShdw>
          </a:effectLst>
        </c:spPr>
      </c:pivotFmt>
      <c:pivotFmt>
        <c:idx val="1001"/>
        <c:spPr>
          <a:solidFill>
            <a:schemeClr val="accent1"/>
          </a:solidFill>
          <a:ln>
            <a:noFill/>
          </a:ln>
          <a:effectLst>
            <a:outerShdw blurRad="254000" sx="102000" sy="102000" algn="ctr" rotWithShape="0">
              <a:prstClr val="black">
                <a:alpha val="20000"/>
              </a:prstClr>
            </a:outerShdw>
          </a:effectLst>
        </c:spPr>
      </c:pivotFmt>
      <c:pivotFmt>
        <c:idx val="1002"/>
        <c:spPr>
          <a:solidFill>
            <a:schemeClr val="accent1"/>
          </a:solidFill>
          <a:ln>
            <a:noFill/>
          </a:ln>
          <a:effectLst>
            <a:outerShdw blurRad="254000" sx="102000" sy="102000" algn="ctr" rotWithShape="0">
              <a:prstClr val="black">
                <a:alpha val="20000"/>
              </a:prstClr>
            </a:outerShdw>
          </a:effectLst>
        </c:spPr>
      </c:pivotFmt>
      <c:pivotFmt>
        <c:idx val="1003"/>
        <c:spPr>
          <a:solidFill>
            <a:schemeClr val="accent1"/>
          </a:solidFill>
          <a:ln>
            <a:noFill/>
          </a:ln>
          <a:effectLst>
            <a:outerShdw blurRad="254000" sx="102000" sy="102000" algn="ctr" rotWithShape="0">
              <a:prstClr val="black">
                <a:alpha val="20000"/>
              </a:prstClr>
            </a:outerShdw>
          </a:effectLst>
        </c:spPr>
      </c:pivotFmt>
      <c:pivotFmt>
        <c:idx val="1004"/>
        <c:spPr>
          <a:solidFill>
            <a:schemeClr val="accent1"/>
          </a:solidFill>
          <a:ln>
            <a:noFill/>
          </a:ln>
          <a:effectLst>
            <a:outerShdw blurRad="254000" sx="102000" sy="102000" algn="ctr" rotWithShape="0">
              <a:prstClr val="black">
                <a:alpha val="20000"/>
              </a:prstClr>
            </a:outerShdw>
          </a:effectLst>
        </c:spPr>
      </c:pivotFmt>
      <c:pivotFmt>
        <c:idx val="1005"/>
        <c:spPr>
          <a:solidFill>
            <a:schemeClr val="accent1"/>
          </a:solidFill>
          <a:ln>
            <a:noFill/>
          </a:ln>
          <a:effectLst>
            <a:outerShdw blurRad="254000" sx="102000" sy="102000" algn="ctr" rotWithShape="0">
              <a:prstClr val="black">
                <a:alpha val="20000"/>
              </a:prstClr>
            </a:outerShdw>
          </a:effectLst>
        </c:spPr>
      </c:pivotFmt>
      <c:pivotFmt>
        <c:idx val="1006"/>
        <c:spPr>
          <a:solidFill>
            <a:schemeClr val="accent1"/>
          </a:solidFill>
          <a:ln>
            <a:noFill/>
          </a:ln>
          <a:effectLst>
            <a:outerShdw blurRad="254000" sx="102000" sy="102000" algn="ctr" rotWithShape="0">
              <a:prstClr val="black">
                <a:alpha val="20000"/>
              </a:prstClr>
            </a:outerShdw>
          </a:effectLst>
        </c:spPr>
      </c:pivotFmt>
      <c:pivotFmt>
        <c:idx val="1007"/>
        <c:spPr>
          <a:solidFill>
            <a:schemeClr val="accent1"/>
          </a:solidFill>
          <a:ln>
            <a:noFill/>
          </a:ln>
          <a:effectLst>
            <a:outerShdw blurRad="254000" sx="102000" sy="102000" algn="ctr" rotWithShape="0">
              <a:prstClr val="black">
                <a:alpha val="20000"/>
              </a:prstClr>
            </a:outerShdw>
          </a:effectLst>
        </c:spPr>
      </c:pivotFmt>
      <c:pivotFmt>
        <c:idx val="1008"/>
        <c:spPr>
          <a:solidFill>
            <a:schemeClr val="accent1"/>
          </a:solidFill>
          <a:ln>
            <a:noFill/>
          </a:ln>
          <a:effectLst>
            <a:outerShdw blurRad="254000" sx="102000" sy="102000" algn="ctr" rotWithShape="0">
              <a:prstClr val="black">
                <a:alpha val="20000"/>
              </a:prstClr>
            </a:outerShdw>
          </a:effectLst>
        </c:spPr>
      </c:pivotFmt>
      <c:pivotFmt>
        <c:idx val="1009"/>
        <c:spPr>
          <a:solidFill>
            <a:schemeClr val="accent1"/>
          </a:solidFill>
          <a:ln>
            <a:noFill/>
          </a:ln>
          <a:effectLst>
            <a:outerShdw blurRad="254000" sx="102000" sy="102000" algn="ctr" rotWithShape="0">
              <a:prstClr val="black">
                <a:alpha val="20000"/>
              </a:prstClr>
            </a:outerShdw>
          </a:effectLst>
        </c:spPr>
      </c:pivotFmt>
      <c:pivotFmt>
        <c:idx val="1010"/>
        <c:spPr>
          <a:solidFill>
            <a:schemeClr val="accent1"/>
          </a:solidFill>
          <a:ln>
            <a:noFill/>
          </a:ln>
          <a:effectLst>
            <a:outerShdw blurRad="254000" sx="102000" sy="102000" algn="ctr" rotWithShape="0">
              <a:prstClr val="black">
                <a:alpha val="20000"/>
              </a:prstClr>
            </a:outerShdw>
          </a:effectLst>
        </c:spPr>
      </c:pivotFmt>
      <c:pivotFmt>
        <c:idx val="1011"/>
        <c:spPr>
          <a:solidFill>
            <a:schemeClr val="accent1"/>
          </a:solidFill>
          <a:ln>
            <a:noFill/>
          </a:ln>
          <a:effectLst>
            <a:outerShdw blurRad="254000" sx="102000" sy="102000" algn="ctr" rotWithShape="0">
              <a:prstClr val="black">
                <a:alpha val="20000"/>
              </a:prstClr>
            </a:outerShdw>
          </a:effectLst>
        </c:spPr>
      </c:pivotFmt>
      <c:pivotFmt>
        <c:idx val="1012"/>
        <c:spPr>
          <a:solidFill>
            <a:schemeClr val="accent1"/>
          </a:solidFill>
          <a:ln>
            <a:noFill/>
          </a:ln>
          <a:effectLst>
            <a:outerShdw blurRad="254000" sx="102000" sy="102000" algn="ctr" rotWithShape="0">
              <a:prstClr val="black">
                <a:alpha val="20000"/>
              </a:prstClr>
            </a:outerShdw>
          </a:effectLst>
        </c:spPr>
      </c:pivotFmt>
      <c:pivotFmt>
        <c:idx val="1013"/>
        <c:spPr>
          <a:solidFill>
            <a:schemeClr val="accent1"/>
          </a:solidFill>
          <a:ln>
            <a:noFill/>
          </a:ln>
          <a:effectLst>
            <a:outerShdw blurRad="254000" sx="102000" sy="102000" algn="ctr" rotWithShape="0">
              <a:prstClr val="black">
                <a:alpha val="20000"/>
              </a:prstClr>
            </a:outerShdw>
          </a:effectLst>
        </c:spPr>
      </c:pivotFmt>
      <c:pivotFmt>
        <c:idx val="1014"/>
        <c:spPr>
          <a:solidFill>
            <a:schemeClr val="accent1"/>
          </a:solidFill>
          <a:ln>
            <a:noFill/>
          </a:ln>
          <a:effectLst>
            <a:outerShdw blurRad="254000" sx="102000" sy="102000" algn="ctr" rotWithShape="0">
              <a:prstClr val="black">
                <a:alpha val="20000"/>
              </a:prstClr>
            </a:outerShdw>
          </a:effectLst>
        </c:spPr>
      </c:pivotFmt>
      <c:pivotFmt>
        <c:idx val="1015"/>
        <c:spPr>
          <a:solidFill>
            <a:schemeClr val="accent1"/>
          </a:solidFill>
          <a:ln>
            <a:noFill/>
          </a:ln>
          <a:effectLst>
            <a:outerShdw blurRad="254000" sx="102000" sy="102000" algn="ctr" rotWithShape="0">
              <a:prstClr val="black">
                <a:alpha val="20000"/>
              </a:prstClr>
            </a:outerShdw>
          </a:effectLst>
        </c:spPr>
      </c:pivotFmt>
      <c:pivotFmt>
        <c:idx val="1016"/>
        <c:spPr>
          <a:solidFill>
            <a:schemeClr val="accent1"/>
          </a:solidFill>
          <a:ln>
            <a:noFill/>
          </a:ln>
          <a:effectLst>
            <a:outerShdw blurRad="254000" sx="102000" sy="102000" algn="ctr" rotWithShape="0">
              <a:prstClr val="black">
                <a:alpha val="20000"/>
              </a:prstClr>
            </a:outerShdw>
          </a:effectLst>
        </c:spPr>
      </c:pivotFmt>
      <c:pivotFmt>
        <c:idx val="1017"/>
        <c:spPr>
          <a:solidFill>
            <a:schemeClr val="accent1"/>
          </a:solidFill>
          <a:ln>
            <a:noFill/>
          </a:ln>
          <a:effectLst>
            <a:outerShdw blurRad="254000" sx="102000" sy="102000" algn="ctr" rotWithShape="0">
              <a:prstClr val="black">
                <a:alpha val="20000"/>
              </a:prstClr>
            </a:outerShdw>
          </a:effectLst>
        </c:spPr>
      </c:pivotFmt>
      <c:pivotFmt>
        <c:idx val="1018"/>
        <c:spPr>
          <a:solidFill>
            <a:schemeClr val="accent1"/>
          </a:solidFill>
          <a:ln>
            <a:noFill/>
          </a:ln>
          <a:effectLst>
            <a:outerShdw blurRad="254000" sx="102000" sy="102000" algn="ctr" rotWithShape="0">
              <a:prstClr val="black">
                <a:alpha val="20000"/>
              </a:prstClr>
            </a:outerShdw>
          </a:effectLst>
        </c:spPr>
      </c:pivotFmt>
      <c:pivotFmt>
        <c:idx val="1019"/>
        <c:spPr>
          <a:solidFill>
            <a:schemeClr val="accent1"/>
          </a:solidFill>
          <a:ln>
            <a:noFill/>
          </a:ln>
          <a:effectLst>
            <a:outerShdw blurRad="254000" sx="102000" sy="102000" algn="ctr" rotWithShape="0">
              <a:prstClr val="black">
                <a:alpha val="20000"/>
              </a:prstClr>
            </a:outerShdw>
          </a:effectLst>
        </c:spPr>
      </c:pivotFmt>
      <c:pivotFmt>
        <c:idx val="1020"/>
        <c:spPr>
          <a:solidFill>
            <a:schemeClr val="accent1"/>
          </a:solidFill>
          <a:ln>
            <a:noFill/>
          </a:ln>
          <a:effectLst>
            <a:outerShdw blurRad="254000" sx="102000" sy="102000" algn="ctr" rotWithShape="0">
              <a:prstClr val="black">
                <a:alpha val="20000"/>
              </a:prstClr>
            </a:outerShdw>
          </a:effectLst>
        </c:spPr>
      </c:pivotFmt>
      <c:pivotFmt>
        <c:idx val="1021"/>
        <c:spPr>
          <a:solidFill>
            <a:schemeClr val="accent1"/>
          </a:solidFill>
          <a:ln>
            <a:noFill/>
          </a:ln>
          <a:effectLst>
            <a:outerShdw blurRad="254000" sx="102000" sy="102000" algn="ctr" rotWithShape="0">
              <a:prstClr val="black">
                <a:alpha val="20000"/>
              </a:prstClr>
            </a:outerShdw>
          </a:effectLst>
        </c:spPr>
      </c:pivotFmt>
      <c:pivotFmt>
        <c:idx val="1022"/>
        <c:spPr>
          <a:solidFill>
            <a:schemeClr val="accent1"/>
          </a:solidFill>
          <a:ln>
            <a:noFill/>
          </a:ln>
          <a:effectLst>
            <a:outerShdw blurRad="254000" sx="102000" sy="102000" algn="ctr" rotWithShape="0">
              <a:prstClr val="black">
                <a:alpha val="20000"/>
              </a:prstClr>
            </a:outerShdw>
          </a:effectLst>
        </c:spPr>
      </c:pivotFmt>
      <c:pivotFmt>
        <c:idx val="1023"/>
        <c:spPr>
          <a:solidFill>
            <a:schemeClr val="accent1"/>
          </a:solidFill>
          <a:ln>
            <a:noFill/>
          </a:ln>
          <a:effectLst>
            <a:outerShdw blurRad="254000" sx="102000" sy="102000" algn="ctr" rotWithShape="0">
              <a:prstClr val="black">
                <a:alpha val="20000"/>
              </a:prstClr>
            </a:outerShdw>
          </a:effectLst>
        </c:spPr>
      </c:pivotFmt>
      <c:pivotFmt>
        <c:idx val="1024"/>
        <c:spPr>
          <a:solidFill>
            <a:schemeClr val="accent1"/>
          </a:solidFill>
          <a:ln>
            <a:noFill/>
          </a:ln>
          <a:effectLst>
            <a:outerShdw blurRad="254000" sx="102000" sy="102000" algn="ctr" rotWithShape="0">
              <a:prstClr val="black">
                <a:alpha val="20000"/>
              </a:prstClr>
            </a:outerShdw>
          </a:effectLst>
        </c:spPr>
      </c:pivotFmt>
      <c:pivotFmt>
        <c:idx val="1025"/>
        <c:spPr>
          <a:solidFill>
            <a:schemeClr val="accent1"/>
          </a:solidFill>
          <a:ln>
            <a:noFill/>
          </a:ln>
          <a:effectLst>
            <a:outerShdw blurRad="254000" sx="102000" sy="102000" algn="ctr" rotWithShape="0">
              <a:prstClr val="black">
                <a:alpha val="20000"/>
              </a:prstClr>
            </a:outerShdw>
          </a:effectLst>
        </c:spPr>
      </c:pivotFmt>
      <c:pivotFmt>
        <c:idx val="1026"/>
        <c:spPr>
          <a:solidFill>
            <a:schemeClr val="accent1"/>
          </a:solidFill>
          <a:ln>
            <a:noFill/>
          </a:ln>
          <a:effectLst>
            <a:outerShdw blurRad="254000" sx="102000" sy="102000" algn="ctr" rotWithShape="0">
              <a:prstClr val="black">
                <a:alpha val="20000"/>
              </a:prstClr>
            </a:outerShdw>
          </a:effectLst>
        </c:spPr>
      </c:pivotFmt>
      <c:pivotFmt>
        <c:idx val="1027"/>
        <c:spPr>
          <a:solidFill>
            <a:schemeClr val="accent1"/>
          </a:solidFill>
          <a:ln>
            <a:noFill/>
          </a:ln>
          <a:effectLst>
            <a:outerShdw blurRad="254000" sx="102000" sy="102000" algn="ctr" rotWithShape="0">
              <a:prstClr val="black">
                <a:alpha val="20000"/>
              </a:prstClr>
            </a:outerShdw>
          </a:effectLst>
        </c:spPr>
      </c:pivotFmt>
      <c:pivotFmt>
        <c:idx val="1028"/>
        <c:spPr>
          <a:solidFill>
            <a:schemeClr val="accent1"/>
          </a:solidFill>
          <a:ln>
            <a:noFill/>
          </a:ln>
          <a:effectLst>
            <a:outerShdw blurRad="254000" sx="102000" sy="102000" algn="ctr" rotWithShape="0">
              <a:prstClr val="black">
                <a:alpha val="20000"/>
              </a:prstClr>
            </a:outerShdw>
          </a:effectLst>
        </c:spPr>
      </c:pivotFmt>
      <c:pivotFmt>
        <c:idx val="1029"/>
        <c:spPr>
          <a:solidFill>
            <a:schemeClr val="accent1"/>
          </a:solidFill>
          <a:ln>
            <a:noFill/>
          </a:ln>
          <a:effectLst>
            <a:outerShdw blurRad="254000" sx="102000" sy="102000" algn="ctr" rotWithShape="0">
              <a:prstClr val="black">
                <a:alpha val="20000"/>
              </a:prstClr>
            </a:outerShdw>
          </a:effectLst>
        </c:spPr>
      </c:pivotFmt>
      <c:pivotFmt>
        <c:idx val="1030"/>
        <c:spPr>
          <a:solidFill>
            <a:schemeClr val="accent1"/>
          </a:solidFill>
          <a:ln>
            <a:noFill/>
          </a:ln>
          <a:effectLst>
            <a:outerShdw blurRad="254000" sx="102000" sy="102000" algn="ctr" rotWithShape="0">
              <a:prstClr val="black">
                <a:alpha val="20000"/>
              </a:prstClr>
            </a:outerShdw>
          </a:effectLst>
        </c:spPr>
      </c:pivotFmt>
      <c:pivotFmt>
        <c:idx val="1031"/>
        <c:spPr>
          <a:solidFill>
            <a:schemeClr val="accent1"/>
          </a:solidFill>
          <a:ln>
            <a:noFill/>
          </a:ln>
          <a:effectLst>
            <a:outerShdw blurRad="254000" sx="102000" sy="102000" algn="ctr" rotWithShape="0">
              <a:prstClr val="black">
                <a:alpha val="20000"/>
              </a:prstClr>
            </a:outerShdw>
          </a:effectLst>
        </c:spPr>
      </c:pivotFmt>
      <c:pivotFmt>
        <c:idx val="1032"/>
        <c:spPr>
          <a:solidFill>
            <a:schemeClr val="accent1"/>
          </a:solidFill>
          <a:ln>
            <a:noFill/>
          </a:ln>
          <a:effectLst>
            <a:outerShdw blurRad="254000" sx="102000" sy="102000" algn="ctr" rotWithShape="0">
              <a:prstClr val="black">
                <a:alpha val="20000"/>
              </a:prstClr>
            </a:outerShdw>
          </a:effectLst>
        </c:spPr>
      </c:pivotFmt>
      <c:pivotFmt>
        <c:idx val="1033"/>
        <c:spPr>
          <a:solidFill>
            <a:schemeClr val="accent1"/>
          </a:solidFill>
          <a:ln>
            <a:noFill/>
          </a:ln>
          <a:effectLst>
            <a:outerShdw blurRad="254000" sx="102000" sy="102000" algn="ctr" rotWithShape="0">
              <a:prstClr val="black">
                <a:alpha val="20000"/>
              </a:prstClr>
            </a:outerShdw>
          </a:effectLst>
        </c:spPr>
      </c:pivotFmt>
      <c:pivotFmt>
        <c:idx val="1034"/>
        <c:spPr>
          <a:solidFill>
            <a:schemeClr val="accent1"/>
          </a:solidFill>
          <a:ln>
            <a:noFill/>
          </a:ln>
          <a:effectLst>
            <a:outerShdw blurRad="254000" sx="102000" sy="102000" algn="ctr" rotWithShape="0">
              <a:prstClr val="black">
                <a:alpha val="20000"/>
              </a:prstClr>
            </a:outerShdw>
          </a:effectLst>
        </c:spPr>
      </c:pivotFmt>
      <c:pivotFmt>
        <c:idx val="1035"/>
        <c:spPr>
          <a:solidFill>
            <a:schemeClr val="accent1"/>
          </a:solidFill>
          <a:ln>
            <a:noFill/>
          </a:ln>
          <a:effectLst>
            <a:outerShdw blurRad="254000" sx="102000" sy="102000" algn="ctr" rotWithShape="0">
              <a:prstClr val="black">
                <a:alpha val="20000"/>
              </a:prstClr>
            </a:outerShdw>
          </a:effectLst>
        </c:spPr>
      </c:pivotFmt>
      <c:pivotFmt>
        <c:idx val="1036"/>
        <c:spPr>
          <a:solidFill>
            <a:schemeClr val="accent1"/>
          </a:solidFill>
          <a:ln>
            <a:noFill/>
          </a:ln>
          <a:effectLst>
            <a:outerShdw blurRad="254000" sx="102000" sy="102000" algn="ctr" rotWithShape="0">
              <a:prstClr val="black">
                <a:alpha val="20000"/>
              </a:prstClr>
            </a:outerShdw>
          </a:effectLst>
        </c:spPr>
      </c:pivotFmt>
      <c:pivotFmt>
        <c:idx val="1037"/>
        <c:spPr>
          <a:solidFill>
            <a:schemeClr val="accent1"/>
          </a:solidFill>
          <a:ln>
            <a:noFill/>
          </a:ln>
          <a:effectLst>
            <a:outerShdw blurRad="254000" sx="102000" sy="102000" algn="ctr" rotWithShape="0">
              <a:prstClr val="black">
                <a:alpha val="20000"/>
              </a:prstClr>
            </a:outerShdw>
          </a:effectLst>
        </c:spPr>
      </c:pivotFmt>
      <c:pivotFmt>
        <c:idx val="1038"/>
        <c:spPr>
          <a:solidFill>
            <a:schemeClr val="accent1"/>
          </a:solidFill>
          <a:ln>
            <a:noFill/>
          </a:ln>
          <a:effectLst>
            <a:outerShdw blurRad="254000" sx="102000" sy="102000" algn="ctr" rotWithShape="0">
              <a:prstClr val="black">
                <a:alpha val="20000"/>
              </a:prstClr>
            </a:outerShdw>
          </a:effectLst>
        </c:spPr>
      </c:pivotFmt>
      <c:pivotFmt>
        <c:idx val="1039"/>
        <c:spPr>
          <a:solidFill>
            <a:schemeClr val="accent1"/>
          </a:solidFill>
          <a:ln>
            <a:noFill/>
          </a:ln>
          <a:effectLst>
            <a:outerShdw blurRad="254000" sx="102000" sy="102000" algn="ctr" rotWithShape="0">
              <a:prstClr val="black">
                <a:alpha val="20000"/>
              </a:prstClr>
            </a:outerShdw>
          </a:effectLst>
        </c:spPr>
      </c:pivotFmt>
      <c:pivotFmt>
        <c:idx val="1040"/>
        <c:spPr>
          <a:solidFill>
            <a:schemeClr val="accent1"/>
          </a:solidFill>
          <a:ln>
            <a:noFill/>
          </a:ln>
          <a:effectLst>
            <a:outerShdw blurRad="254000" sx="102000" sy="102000" algn="ctr" rotWithShape="0">
              <a:prstClr val="black">
                <a:alpha val="20000"/>
              </a:prstClr>
            </a:outerShdw>
          </a:effectLst>
        </c:spPr>
      </c:pivotFmt>
      <c:pivotFmt>
        <c:idx val="1041"/>
        <c:spPr>
          <a:solidFill>
            <a:schemeClr val="accent1"/>
          </a:solidFill>
          <a:ln>
            <a:noFill/>
          </a:ln>
          <a:effectLst>
            <a:outerShdw blurRad="254000" sx="102000" sy="102000" algn="ctr" rotWithShape="0">
              <a:prstClr val="black">
                <a:alpha val="20000"/>
              </a:prstClr>
            </a:outerShdw>
          </a:effectLst>
        </c:spPr>
      </c:pivotFmt>
      <c:pivotFmt>
        <c:idx val="1042"/>
        <c:spPr>
          <a:solidFill>
            <a:schemeClr val="accent1"/>
          </a:solidFill>
          <a:ln>
            <a:noFill/>
          </a:ln>
          <a:effectLst>
            <a:outerShdw blurRad="254000" sx="102000" sy="102000" algn="ctr" rotWithShape="0">
              <a:prstClr val="black">
                <a:alpha val="20000"/>
              </a:prstClr>
            </a:outerShdw>
          </a:effectLst>
        </c:spPr>
      </c:pivotFmt>
      <c:pivotFmt>
        <c:idx val="1043"/>
        <c:spPr>
          <a:solidFill>
            <a:schemeClr val="accent1"/>
          </a:solidFill>
          <a:ln>
            <a:noFill/>
          </a:ln>
          <a:effectLst>
            <a:outerShdw blurRad="254000" sx="102000" sy="102000" algn="ctr" rotWithShape="0">
              <a:prstClr val="black">
                <a:alpha val="20000"/>
              </a:prstClr>
            </a:outerShdw>
          </a:effectLst>
        </c:spPr>
      </c:pivotFmt>
      <c:pivotFmt>
        <c:idx val="1044"/>
        <c:spPr>
          <a:solidFill>
            <a:schemeClr val="accent1"/>
          </a:solidFill>
          <a:ln>
            <a:noFill/>
          </a:ln>
          <a:effectLst>
            <a:outerShdw blurRad="254000" sx="102000" sy="102000" algn="ctr" rotWithShape="0">
              <a:prstClr val="black">
                <a:alpha val="20000"/>
              </a:prstClr>
            </a:outerShdw>
          </a:effectLst>
        </c:spPr>
      </c:pivotFmt>
      <c:pivotFmt>
        <c:idx val="1045"/>
        <c:spPr>
          <a:solidFill>
            <a:schemeClr val="accent1"/>
          </a:solidFill>
          <a:ln>
            <a:noFill/>
          </a:ln>
          <a:effectLst>
            <a:outerShdw blurRad="254000" sx="102000" sy="102000" algn="ctr" rotWithShape="0">
              <a:prstClr val="black">
                <a:alpha val="20000"/>
              </a:prstClr>
            </a:outerShdw>
          </a:effectLst>
        </c:spPr>
      </c:pivotFmt>
      <c:pivotFmt>
        <c:idx val="1046"/>
        <c:spPr>
          <a:solidFill>
            <a:schemeClr val="accent1"/>
          </a:solidFill>
          <a:ln>
            <a:noFill/>
          </a:ln>
          <a:effectLst>
            <a:outerShdw blurRad="254000" sx="102000" sy="102000" algn="ctr" rotWithShape="0">
              <a:prstClr val="black">
                <a:alpha val="20000"/>
              </a:prstClr>
            </a:outerShdw>
          </a:effectLst>
        </c:spPr>
      </c:pivotFmt>
      <c:pivotFmt>
        <c:idx val="1047"/>
        <c:spPr>
          <a:solidFill>
            <a:schemeClr val="accent1"/>
          </a:solidFill>
          <a:ln>
            <a:noFill/>
          </a:ln>
          <a:effectLst>
            <a:outerShdw blurRad="254000" sx="102000" sy="102000" algn="ctr" rotWithShape="0">
              <a:prstClr val="black">
                <a:alpha val="20000"/>
              </a:prstClr>
            </a:outerShdw>
          </a:effectLst>
        </c:spPr>
      </c:pivotFmt>
      <c:pivotFmt>
        <c:idx val="1048"/>
        <c:spPr>
          <a:solidFill>
            <a:schemeClr val="accent1"/>
          </a:solidFill>
          <a:ln>
            <a:noFill/>
          </a:ln>
          <a:effectLst>
            <a:outerShdw blurRad="254000" sx="102000" sy="102000" algn="ctr" rotWithShape="0">
              <a:prstClr val="black">
                <a:alpha val="20000"/>
              </a:prstClr>
            </a:outerShdw>
          </a:effectLst>
        </c:spPr>
      </c:pivotFmt>
      <c:pivotFmt>
        <c:idx val="1049"/>
        <c:spPr>
          <a:solidFill>
            <a:schemeClr val="accent1"/>
          </a:solidFill>
          <a:ln>
            <a:noFill/>
          </a:ln>
          <a:effectLst>
            <a:outerShdw blurRad="254000" sx="102000" sy="102000" algn="ctr" rotWithShape="0">
              <a:prstClr val="black">
                <a:alpha val="20000"/>
              </a:prstClr>
            </a:outerShdw>
          </a:effectLst>
        </c:spPr>
      </c:pivotFmt>
      <c:pivotFmt>
        <c:idx val="1050"/>
        <c:spPr>
          <a:solidFill>
            <a:schemeClr val="accent1"/>
          </a:solidFill>
          <a:ln>
            <a:noFill/>
          </a:ln>
          <a:effectLst>
            <a:outerShdw blurRad="254000" sx="102000" sy="102000" algn="ctr" rotWithShape="0">
              <a:prstClr val="black">
                <a:alpha val="20000"/>
              </a:prstClr>
            </a:outerShdw>
          </a:effectLst>
        </c:spPr>
      </c:pivotFmt>
      <c:pivotFmt>
        <c:idx val="1051"/>
        <c:spPr>
          <a:solidFill>
            <a:schemeClr val="accent1"/>
          </a:solidFill>
          <a:ln>
            <a:noFill/>
          </a:ln>
          <a:effectLst>
            <a:outerShdw blurRad="254000" sx="102000" sy="102000" algn="ctr" rotWithShape="0">
              <a:prstClr val="black">
                <a:alpha val="20000"/>
              </a:prstClr>
            </a:outerShdw>
          </a:effectLst>
        </c:spPr>
      </c:pivotFmt>
      <c:pivotFmt>
        <c:idx val="1052"/>
        <c:spPr>
          <a:solidFill>
            <a:schemeClr val="accent1"/>
          </a:solidFill>
          <a:ln>
            <a:noFill/>
          </a:ln>
          <a:effectLst>
            <a:outerShdw blurRad="254000" sx="102000" sy="102000" algn="ctr" rotWithShape="0">
              <a:prstClr val="black">
                <a:alpha val="20000"/>
              </a:prstClr>
            </a:outerShdw>
          </a:effectLst>
        </c:spPr>
      </c:pivotFmt>
      <c:pivotFmt>
        <c:idx val="1053"/>
        <c:spPr>
          <a:solidFill>
            <a:schemeClr val="accent1"/>
          </a:solidFill>
          <a:ln>
            <a:noFill/>
          </a:ln>
          <a:effectLst>
            <a:outerShdw blurRad="254000" sx="102000" sy="102000" algn="ctr" rotWithShape="0">
              <a:prstClr val="black">
                <a:alpha val="20000"/>
              </a:prstClr>
            </a:outerShdw>
          </a:effectLst>
        </c:spPr>
      </c:pivotFmt>
      <c:pivotFmt>
        <c:idx val="1054"/>
        <c:spPr>
          <a:solidFill>
            <a:schemeClr val="accent1"/>
          </a:solidFill>
          <a:ln>
            <a:noFill/>
          </a:ln>
          <a:effectLst>
            <a:outerShdw blurRad="254000" sx="102000" sy="102000" algn="ctr" rotWithShape="0">
              <a:prstClr val="black">
                <a:alpha val="20000"/>
              </a:prstClr>
            </a:outerShdw>
          </a:effectLst>
        </c:spPr>
      </c:pivotFmt>
      <c:pivotFmt>
        <c:idx val="1055"/>
        <c:spPr>
          <a:solidFill>
            <a:schemeClr val="accent1"/>
          </a:solidFill>
          <a:ln>
            <a:noFill/>
          </a:ln>
          <a:effectLst>
            <a:outerShdw blurRad="254000" sx="102000" sy="102000" algn="ctr" rotWithShape="0">
              <a:prstClr val="black">
                <a:alpha val="20000"/>
              </a:prstClr>
            </a:outerShdw>
          </a:effectLst>
        </c:spPr>
      </c:pivotFmt>
      <c:pivotFmt>
        <c:idx val="1056"/>
        <c:spPr>
          <a:solidFill>
            <a:schemeClr val="accent1"/>
          </a:solidFill>
          <a:ln>
            <a:noFill/>
          </a:ln>
          <a:effectLst>
            <a:outerShdw blurRad="254000" sx="102000" sy="102000" algn="ctr" rotWithShape="0">
              <a:prstClr val="black">
                <a:alpha val="20000"/>
              </a:prstClr>
            </a:outerShdw>
          </a:effectLst>
        </c:spPr>
      </c:pivotFmt>
      <c:pivotFmt>
        <c:idx val="1057"/>
        <c:spPr>
          <a:solidFill>
            <a:schemeClr val="accent1"/>
          </a:solidFill>
          <a:ln>
            <a:noFill/>
          </a:ln>
          <a:effectLst>
            <a:outerShdw blurRad="254000" sx="102000" sy="102000" algn="ctr" rotWithShape="0">
              <a:prstClr val="black">
                <a:alpha val="20000"/>
              </a:prstClr>
            </a:outerShdw>
          </a:effectLst>
        </c:spPr>
      </c:pivotFmt>
      <c:pivotFmt>
        <c:idx val="1058"/>
        <c:spPr>
          <a:solidFill>
            <a:schemeClr val="accent1"/>
          </a:solidFill>
          <a:ln>
            <a:noFill/>
          </a:ln>
          <a:effectLst>
            <a:outerShdw blurRad="254000" sx="102000" sy="102000" algn="ctr" rotWithShape="0">
              <a:prstClr val="black">
                <a:alpha val="20000"/>
              </a:prstClr>
            </a:outerShdw>
          </a:effectLst>
        </c:spPr>
      </c:pivotFmt>
      <c:pivotFmt>
        <c:idx val="1059"/>
        <c:spPr>
          <a:solidFill>
            <a:schemeClr val="accent1"/>
          </a:solidFill>
          <a:ln>
            <a:noFill/>
          </a:ln>
          <a:effectLst>
            <a:outerShdw blurRad="254000" sx="102000" sy="102000" algn="ctr" rotWithShape="0">
              <a:prstClr val="black">
                <a:alpha val="20000"/>
              </a:prstClr>
            </a:outerShdw>
          </a:effectLst>
        </c:spPr>
      </c:pivotFmt>
      <c:pivotFmt>
        <c:idx val="1060"/>
        <c:spPr>
          <a:solidFill>
            <a:schemeClr val="accent1"/>
          </a:solidFill>
          <a:ln>
            <a:noFill/>
          </a:ln>
          <a:effectLst>
            <a:outerShdw blurRad="254000" sx="102000" sy="102000" algn="ctr" rotWithShape="0">
              <a:prstClr val="black">
                <a:alpha val="20000"/>
              </a:prstClr>
            </a:outerShdw>
          </a:effectLst>
        </c:spPr>
      </c:pivotFmt>
      <c:pivotFmt>
        <c:idx val="1061"/>
        <c:spPr>
          <a:solidFill>
            <a:schemeClr val="accent1"/>
          </a:solidFill>
          <a:ln>
            <a:noFill/>
          </a:ln>
          <a:effectLst>
            <a:outerShdw blurRad="254000" sx="102000" sy="102000" algn="ctr" rotWithShape="0">
              <a:prstClr val="black">
                <a:alpha val="20000"/>
              </a:prstClr>
            </a:outerShdw>
          </a:effectLst>
        </c:spPr>
      </c:pivotFmt>
      <c:pivotFmt>
        <c:idx val="1062"/>
        <c:spPr>
          <a:solidFill>
            <a:schemeClr val="accent1"/>
          </a:solidFill>
          <a:ln>
            <a:noFill/>
          </a:ln>
          <a:effectLst>
            <a:outerShdw blurRad="254000" sx="102000" sy="102000" algn="ctr" rotWithShape="0">
              <a:prstClr val="black">
                <a:alpha val="20000"/>
              </a:prstClr>
            </a:outerShdw>
          </a:effectLst>
        </c:spPr>
      </c:pivotFmt>
      <c:pivotFmt>
        <c:idx val="1063"/>
        <c:spPr>
          <a:solidFill>
            <a:schemeClr val="accent1"/>
          </a:solidFill>
          <a:ln>
            <a:noFill/>
          </a:ln>
          <a:effectLst>
            <a:outerShdw blurRad="254000" sx="102000" sy="102000" algn="ctr" rotWithShape="0">
              <a:prstClr val="black">
                <a:alpha val="20000"/>
              </a:prstClr>
            </a:outerShdw>
          </a:effectLst>
        </c:spPr>
      </c:pivotFmt>
      <c:pivotFmt>
        <c:idx val="1064"/>
        <c:spPr>
          <a:solidFill>
            <a:schemeClr val="accent1"/>
          </a:solidFill>
          <a:ln>
            <a:noFill/>
          </a:ln>
          <a:effectLst>
            <a:outerShdw blurRad="254000" sx="102000" sy="102000" algn="ctr" rotWithShape="0">
              <a:prstClr val="black">
                <a:alpha val="20000"/>
              </a:prstClr>
            </a:outerShdw>
          </a:effectLst>
        </c:spPr>
      </c:pivotFmt>
      <c:pivotFmt>
        <c:idx val="1065"/>
        <c:spPr>
          <a:solidFill>
            <a:schemeClr val="accent1"/>
          </a:solidFill>
          <a:ln>
            <a:noFill/>
          </a:ln>
          <a:effectLst>
            <a:outerShdw blurRad="254000" sx="102000" sy="102000" algn="ctr" rotWithShape="0">
              <a:prstClr val="black">
                <a:alpha val="20000"/>
              </a:prstClr>
            </a:outerShdw>
          </a:effectLst>
        </c:spPr>
      </c:pivotFmt>
      <c:pivotFmt>
        <c:idx val="1066"/>
        <c:spPr>
          <a:solidFill>
            <a:schemeClr val="accent1"/>
          </a:solidFill>
          <a:ln>
            <a:noFill/>
          </a:ln>
          <a:effectLst>
            <a:outerShdw blurRad="254000" sx="102000" sy="102000" algn="ctr" rotWithShape="0">
              <a:prstClr val="black">
                <a:alpha val="20000"/>
              </a:prstClr>
            </a:outerShdw>
          </a:effectLst>
        </c:spPr>
      </c:pivotFmt>
      <c:pivotFmt>
        <c:idx val="1067"/>
        <c:spPr>
          <a:solidFill>
            <a:schemeClr val="accent1"/>
          </a:solidFill>
          <a:ln>
            <a:noFill/>
          </a:ln>
          <a:effectLst>
            <a:outerShdw blurRad="254000" sx="102000" sy="102000" algn="ctr" rotWithShape="0">
              <a:prstClr val="black">
                <a:alpha val="20000"/>
              </a:prstClr>
            </a:outerShdw>
          </a:effectLst>
        </c:spPr>
      </c:pivotFmt>
      <c:pivotFmt>
        <c:idx val="1068"/>
        <c:spPr>
          <a:solidFill>
            <a:schemeClr val="accent1"/>
          </a:solidFill>
          <a:ln>
            <a:noFill/>
          </a:ln>
          <a:effectLst>
            <a:outerShdw blurRad="254000" sx="102000" sy="102000" algn="ctr" rotWithShape="0">
              <a:prstClr val="black">
                <a:alpha val="20000"/>
              </a:prstClr>
            </a:outerShdw>
          </a:effectLst>
        </c:spPr>
      </c:pivotFmt>
      <c:pivotFmt>
        <c:idx val="1069"/>
        <c:spPr>
          <a:solidFill>
            <a:schemeClr val="accent1"/>
          </a:solidFill>
          <a:ln>
            <a:noFill/>
          </a:ln>
          <a:effectLst>
            <a:outerShdw blurRad="254000" sx="102000" sy="102000" algn="ctr" rotWithShape="0">
              <a:prstClr val="black">
                <a:alpha val="20000"/>
              </a:prstClr>
            </a:outerShdw>
          </a:effectLst>
        </c:spPr>
      </c:pivotFmt>
      <c:pivotFmt>
        <c:idx val="1070"/>
        <c:spPr>
          <a:solidFill>
            <a:schemeClr val="accent1"/>
          </a:solidFill>
          <a:ln>
            <a:noFill/>
          </a:ln>
          <a:effectLst>
            <a:outerShdw blurRad="254000" sx="102000" sy="102000" algn="ctr" rotWithShape="0">
              <a:prstClr val="black">
                <a:alpha val="20000"/>
              </a:prstClr>
            </a:outerShdw>
          </a:effectLst>
        </c:spPr>
      </c:pivotFmt>
      <c:pivotFmt>
        <c:idx val="1071"/>
        <c:spPr>
          <a:solidFill>
            <a:schemeClr val="accent1"/>
          </a:solidFill>
          <a:ln>
            <a:noFill/>
          </a:ln>
          <a:effectLst>
            <a:outerShdw blurRad="254000" sx="102000" sy="102000" algn="ctr" rotWithShape="0">
              <a:prstClr val="black">
                <a:alpha val="20000"/>
              </a:prstClr>
            </a:outerShdw>
          </a:effectLst>
        </c:spPr>
      </c:pivotFmt>
      <c:pivotFmt>
        <c:idx val="1072"/>
        <c:spPr>
          <a:solidFill>
            <a:schemeClr val="accent1"/>
          </a:solidFill>
          <a:ln>
            <a:noFill/>
          </a:ln>
          <a:effectLst>
            <a:outerShdw blurRad="254000" sx="102000" sy="102000" algn="ctr" rotWithShape="0">
              <a:prstClr val="black">
                <a:alpha val="20000"/>
              </a:prstClr>
            </a:outerShdw>
          </a:effectLst>
        </c:spPr>
      </c:pivotFmt>
      <c:pivotFmt>
        <c:idx val="1073"/>
        <c:spPr>
          <a:solidFill>
            <a:schemeClr val="accent1"/>
          </a:solidFill>
          <a:ln>
            <a:noFill/>
          </a:ln>
          <a:effectLst>
            <a:outerShdw blurRad="254000" sx="102000" sy="102000" algn="ctr" rotWithShape="0">
              <a:prstClr val="black">
                <a:alpha val="20000"/>
              </a:prstClr>
            </a:outerShdw>
          </a:effectLst>
        </c:spPr>
      </c:pivotFmt>
      <c:pivotFmt>
        <c:idx val="1074"/>
        <c:spPr>
          <a:solidFill>
            <a:schemeClr val="accent1"/>
          </a:solidFill>
          <a:ln>
            <a:noFill/>
          </a:ln>
          <a:effectLst>
            <a:outerShdw blurRad="254000" sx="102000" sy="102000" algn="ctr" rotWithShape="0">
              <a:prstClr val="black">
                <a:alpha val="20000"/>
              </a:prstClr>
            </a:outerShdw>
          </a:effectLst>
        </c:spPr>
      </c:pivotFmt>
      <c:pivotFmt>
        <c:idx val="1075"/>
        <c:spPr>
          <a:solidFill>
            <a:schemeClr val="accent1"/>
          </a:solidFill>
          <a:ln>
            <a:noFill/>
          </a:ln>
          <a:effectLst>
            <a:outerShdw blurRad="254000" sx="102000" sy="102000" algn="ctr" rotWithShape="0">
              <a:prstClr val="black">
                <a:alpha val="20000"/>
              </a:prstClr>
            </a:outerShdw>
          </a:effectLst>
        </c:spPr>
      </c:pivotFmt>
      <c:pivotFmt>
        <c:idx val="1076"/>
        <c:spPr>
          <a:solidFill>
            <a:schemeClr val="accent1"/>
          </a:solidFill>
          <a:ln>
            <a:noFill/>
          </a:ln>
          <a:effectLst>
            <a:outerShdw blurRad="254000" sx="102000" sy="102000" algn="ctr" rotWithShape="0">
              <a:prstClr val="black">
                <a:alpha val="20000"/>
              </a:prstClr>
            </a:outerShdw>
          </a:effectLst>
        </c:spPr>
      </c:pivotFmt>
      <c:pivotFmt>
        <c:idx val="1077"/>
        <c:spPr>
          <a:solidFill>
            <a:schemeClr val="accent1"/>
          </a:solidFill>
          <a:ln>
            <a:noFill/>
          </a:ln>
          <a:effectLst>
            <a:outerShdw blurRad="254000" sx="102000" sy="102000" algn="ctr" rotWithShape="0">
              <a:prstClr val="black">
                <a:alpha val="20000"/>
              </a:prstClr>
            </a:outerShdw>
          </a:effectLst>
        </c:spPr>
      </c:pivotFmt>
      <c:pivotFmt>
        <c:idx val="1078"/>
        <c:spPr>
          <a:solidFill>
            <a:schemeClr val="accent1"/>
          </a:solidFill>
          <a:ln>
            <a:noFill/>
          </a:ln>
          <a:effectLst>
            <a:outerShdw blurRad="254000" sx="102000" sy="102000" algn="ctr" rotWithShape="0">
              <a:prstClr val="black">
                <a:alpha val="20000"/>
              </a:prstClr>
            </a:outerShdw>
          </a:effectLst>
        </c:spPr>
      </c:pivotFmt>
      <c:pivotFmt>
        <c:idx val="1079"/>
        <c:spPr>
          <a:solidFill>
            <a:schemeClr val="accent1"/>
          </a:solidFill>
          <a:ln>
            <a:noFill/>
          </a:ln>
          <a:effectLst>
            <a:outerShdw blurRad="254000" sx="102000" sy="102000" algn="ctr" rotWithShape="0">
              <a:prstClr val="black">
                <a:alpha val="20000"/>
              </a:prstClr>
            </a:outerShdw>
          </a:effectLst>
        </c:spPr>
      </c:pivotFmt>
      <c:pivotFmt>
        <c:idx val="1080"/>
        <c:spPr>
          <a:solidFill>
            <a:schemeClr val="accent1"/>
          </a:solidFill>
          <a:ln>
            <a:noFill/>
          </a:ln>
          <a:effectLst>
            <a:outerShdw blurRad="254000" sx="102000" sy="102000" algn="ctr" rotWithShape="0">
              <a:prstClr val="black">
                <a:alpha val="20000"/>
              </a:prstClr>
            </a:outerShdw>
          </a:effectLst>
        </c:spPr>
      </c:pivotFmt>
      <c:pivotFmt>
        <c:idx val="1081"/>
        <c:spPr>
          <a:solidFill>
            <a:schemeClr val="accent1"/>
          </a:solidFill>
          <a:ln>
            <a:noFill/>
          </a:ln>
          <a:effectLst>
            <a:outerShdw blurRad="254000" sx="102000" sy="102000" algn="ctr" rotWithShape="0">
              <a:prstClr val="black">
                <a:alpha val="20000"/>
              </a:prstClr>
            </a:outerShdw>
          </a:effectLst>
        </c:spPr>
      </c:pivotFmt>
      <c:pivotFmt>
        <c:idx val="1082"/>
        <c:spPr>
          <a:solidFill>
            <a:schemeClr val="accent1"/>
          </a:solidFill>
          <a:ln>
            <a:noFill/>
          </a:ln>
          <a:effectLst>
            <a:outerShdw blurRad="254000" sx="102000" sy="102000" algn="ctr" rotWithShape="0">
              <a:prstClr val="black">
                <a:alpha val="20000"/>
              </a:prstClr>
            </a:outerShdw>
          </a:effectLst>
        </c:spPr>
      </c:pivotFmt>
      <c:pivotFmt>
        <c:idx val="1083"/>
        <c:spPr>
          <a:solidFill>
            <a:schemeClr val="accent1"/>
          </a:solidFill>
          <a:ln>
            <a:noFill/>
          </a:ln>
          <a:effectLst>
            <a:outerShdw blurRad="254000" sx="102000" sy="102000" algn="ctr" rotWithShape="0">
              <a:prstClr val="black">
                <a:alpha val="20000"/>
              </a:prstClr>
            </a:outerShdw>
          </a:effectLst>
        </c:spPr>
      </c:pivotFmt>
      <c:pivotFmt>
        <c:idx val="1084"/>
        <c:spPr>
          <a:solidFill>
            <a:schemeClr val="accent1"/>
          </a:solidFill>
          <a:ln>
            <a:noFill/>
          </a:ln>
          <a:effectLst>
            <a:outerShdw blurRad="254000" sx="102000" sy="102000" algn="ctr" rotWithShape="0">
              <a:prstClr val="black">
                <a:alpha val="20000"/>
              </a:prstClr>
            </a:outerShdw>
          </a:effectLst>
        </c:spPr>
      </c:pivotFmt>
      <c:pivotFmt>
        <c:idx val="1085"/>
        <c:spPr>
          <a:solidFill>
            <a:schemeClr val="accent1"/>
          </a:solidFill>
          <a:ln>
            <a:noFill/>
          </a:ln>
          <a:effectLst>
            <a:outerShdw blurRad="254000" sx="102000" sy="102000" algn="ctr" rotWithShape="0">
              <a:prstClr val="black">
                <a:alpha val="20000"/>
              </a:prstClr>
            </a:outerShdw>
          </a:effectLst>
        </c:spPr>
      </c:pivotFmt>
      <c:pivotFmt>
        <c:idx val="1086"/>
        <c:spPr>
          <a:solidFill>
            <a:schemeClr val="accent1"/>
          </a:solidFill>
          <a:ln>
            <a:noFill/>
          </a:ln>
          <a:effectLst>
            <a:outerShdw blurRad="254000" sx="102000" sy="102000" algn="ctr" rotWithShape="0">
              <a:prstClr val="black">
                <a:alpha val="20000"/>
              </a:prstClr>
            </a:outerShdw>
          </a:effectLst>
        </c:spPr>
      </c:pivotFmt>
      <c:pivotFmt>
        <c:idx val="1087"/>
        <c:spPr>
          <a:solidFill>
            <a:schemeClr val="accent1"/>
          </a:solidFill>
          <a:ln>
            <a:noFill/>
          </a:ln>
          <a:effectLst>
            <a:outerShdw blurRad="254000" sx="102000" sy="102000" algn="ctr" rotWithShape="0">
              <a:prstClr val="black">
                <a:alpha val="20000"/>
              </a:prstClr>
            </a:outerShdw>
          </a:effectLst>
        </c:spPr>
      </c:pivotFmt>
      <c:pivotFmt>
        <c:idx val="1088"/>
        <c:spPr>
          <a:solidFill>
            <a:schemeClr val="accent1"/>
          </a:solidFill>
          <a:ln>
            <a:noFill/>
          </a:ln>
          <a:effectLst>
            <a:outerShdw blurRad="254000" sx="102000" sy="102000" algn="ctr" rotWithShape="0">
              <a:prstClr val="black">
                <a:alpha val="20000"/>
              </a:prstClr>
            </a:outerShdw>
          </a:effectLst>
        </c:spPr>
      </c:pivotFmt>
      <c:pivotFmt>
        <c:idx val="1089"/>
        <c:spPr>
          <a:solidFill>
            <a:schemeClr val="accent1"/>
          </a:solidFill>
          <a:ln>
            <a:noFill/>
          </a:ln>
          <a:effectLst>
            <a:outerShdw blurRad="254000" sx="102000" sy="102000" algn="ctr" rotWithShape="0">
              <a:prstClr val="black">
                <a:alpha val="20000"/>
              </a:prstClr>
            </a:outerShdw>
          </a:effectLst>
        </c:spPr>
      </c:pivotFmt>
      <c:pivotFmt>
        <c:idx val="1090"/>
        <c:spPr>
          <a:solidFill>
            <a:schemeClr val="accent1"/>
          </a:solidFill>
          <a:ln>
            <a:noFill/>
          </a:ln>
          <a:effectLst>
            <a:outerShdw blurRad="254000" sx="102000" sy="102000" algn="ctr" rotWithShape="0">
              <a:prstClr val="black">
                <a:alpha val="20000"/>
              </a:prstClr>
            </a:outerShdw>
          </a:effectLst>
        </c:spPr>
      </c:pivotFmt>
      <c:pivotFmt>
        <c:idx val="1091"/>
        <c:spPr>
          <a:solidFill>
            <a:schemeClr val="accent1"/>
          </a:solidFill>
          <a:ln>
            <a:noFill/>
          </a:ln>
          <a:effectLst>
            <a:outerShdw blurRad="254000" sx="102000" sy="102000" algn="ctr" rotWithShape="0">
              <a:prstClr val="black">
                <a:alpha val="20000"/>
              </a:prstClr>
            </a:outerShdw>
          </a:effectLst>
        </c:spPr>
      </c:pivotFmt>
      <c:pivotFmt>
        <c:idx val="1092"/>
        <c:spPr>
          <a:solidFill>
            <a:schemeClr val="accent1"/>
          </a:solidFill>
          <a:ln>
            <a:noFill/>
          </a:ln>
          <a:effectLst>
            <a:outerShdw blurRad="254000" sx="102000" sy="102000" algn="ctr" rotWithShape="0">
              <a:prstClr val="black">
                <a:alpha val="20000"/>
              </a:prstClr>
            </a:outerShdw>
          </a:effectLst>
        </c:spPr>
      </c:pivotFmt>
      <c:pivotFmt>
        <c:idx val="1093"/>
        <c:spPr>
          <a:solidFill>
            <a:schemeClr val="accent1"/>
          </a:solidFill>
          <a:ln>
            <a:noFill/>
          </a:ln>
          <a:effectLst>
            <a:outerShdw blurRad="254000" sx="102000" sy="102000" algn="ctr" rotWithShape="0">
              <a:prstClr val="black">
                <a:alpha val="20000"/>
              </a:prstClr>
            </a:outerShdw>
          </a:effectLst>
        </c:spPr>
      </c:pivotFmt>
      <c:pivotFmt>
        <c:idx val="1094"/>
        <c:spPr>
          <a:solidFill>
            <a:schemeClr val="accent1"/>
          </a:solidFill>
          <a:ln>
            <a:noFill/>
          </a:ln>
          <a:effectLst>
            <a:outerShdw blurRad="254000" sx="102000" sy="102000" algn="ctr" rotWithShape="0">
              <a:prstClr val="black">
                <a:alpha val="20000"/>
              </a:prstClr>
            </a:outerShdw>
          </a:effectLst>
        </c:spPr>
      </c:pivotFmt>
      <c:pivotFmt>
        <c:idx val="1095"/>
        <c:spPr>
          <a:solidFill>
            <a:schemeClr val="accent1"/>
          </a:solidFill>
          <a:ln>
            <a:noFill/>
          </a:ln>
          <a:effectLst>
            <a:outerShdw blurRad="254000" sx="102000" sy="102000" algn="ctr" rotWithShape="0">
              <a:prstClr val="black">
                <a:alpha val="20000"/>
              </a:prstClr>
            </a:outerShdw>
          </a:effectLst>
        </c:spPr>
      </c:pivotFmt>
      <c:pivotFmt>
        <c:idx val="1096"/>
        <c:spPr>
          <a:solidFill>
            <a:schemeClr val="accent1"/>
          </a:solidFill>
          <a:ln>
            <a:noFill/>
          </a:ln>
          <a:effectLst>
            <a:outerShdw blurRad="254000" sx="102000" sy="102000" algn="ctr" rotWithShape="0">
              <a:prstClr val="black">
                <a:alpha val="20000"/>
              </a:prstClr>
            </a:outerShdw>
          </a:effectLst>
        </c:spPr>
      </c:pivotFmt>
      <c:pivotFmt>
        <c:idx val="1097"/>
        <c:spPr>
          <a:solidFill>
            <a:schemeClr val="accent1"/>
          </a:solidFill>
          <a:ln>
            <a:noFill/>
          </a:ln>
          <a:effectLst>
            <a:outerShdw blurRad="254000" sx="102000" sy="102000" algn="ctr" rotWithShape="0">
              <a:prstClr val="black">
                <a:alpha val="20000"/>
              </a:prstClr>
            </a:outerShdw>
          </a:effectLst>
        </c:spPr>
      </c:pivotFmt>
      <c:pivotFmt>
        <c:idx val="1098"/>
        <c:spPr>
          <a:solidFill>
            <a:schemeClr val="accent1"/>
          </a:solidFill>
          <a:ln>
            <a:noFill/>
          </a:ln>
          <a:effectLst>
            <a:outerShdw blurRad="254000" sx="102000" sy="102000" algn="ctr" rotWithShape="0">
              <a:prstClr val="black">
                <a:alpha val="20000"/>
              </a:prstClr>
            </a:outerShdw>
          </a:effectLst>
        </c:spPr>
      </c:pivotFmt>
      <c:pivotFmt>
        <c:idx val="1099"/>
        <c:spPr>
          <a:solidFill>
            <a:schemeClr val="accent1"/>
          </a:solidFill>
          <a:ln>
            <a:noFill/>
          </a:ln>
          <a:effectLst>
            <a:outerShdw blurRad="254000" sx="102000" sy="102000" algn="ctr" rotWithShape="0">
              <a:prstClr val="black">
                <a:alpha val="20000"/>
              </a:prstClr>
            </a:outerShdw>
          </a:effectLst>
        </c:spPr>
      </c:pivotFmt>
      <c:pivotFmt>
        <c:idx val="1100"/>
        <c:spPr>
          <a:solidFill>
            <a:schemeClr val="accent1"/>
          </a:solidFill>
          <a:ln>
            <a:noFill/>
          </a:ln>
          <a:effectLst>
            <a:outerShdw blurRad="254000" sx="102000" sy="102000" algn="ctr" rotWithShape="0">
              <a:prstClr val="black">
                <a:alpha val="20000"/>
              </a:prstClr>
            </a:outerShdw>
          </a:effectLst>
        </c:spPr>
      </c:pivotFmt>
      <c:pivotFmt>
        <c:idx val="1101"/>
        <c:spPr>
          <a:solidFill>
            <a:schemeClr val="accent1"/>
          </a:solidFill>
          <a:ln>
            <a:noFill/>
          </a:ln>
          <a:effectLst>
            <a:outerShdw blurRad="254000" sx="102000" sy="102000" algn="ctr" rotWithShape="0">
              <a:prstClr val="black">
                <a:alpha val="20000"/>
              </a:prstClr>
            </a:outerShdw>
          </a:effectLst>
        </c:spPr>
      </c:pivotFmt>
      <c:pivotFmt>
        <c:idx val="1102"/>
        <c:spPr>
          <a:solidFill>
            <a:schemeClr val="accent1"/>
          </a:solidFill>
          <a:ln>
            <a:noFill/>
          </a:ln>
          <a:effectLst>
            <a:outerShdw blurRad="254000" sx="102000" sy="102000" algn="ctr" rotWithShape="0">
              <a:prstClr val="black">
                <a:alpha val="20000"/>
              </a:prstClr>
            </a:outerShdw>
          </a:effectLst>
        </c:spPr>
      </c:pivotFmt>
      <c:pivotFmt>
        <c:idx val="1103"/>
        <c:spPr>
          <a:solidFill>
            <a:schemeClr val="accent1"/>
          </a:solidFill>
          <a:ln>
            <a:noFill/>
          </a:ln>
          <a:effectLst>
            <a:outerShdw blurRad="254000" sx="102000" sy="102000" algn="ctr" rotWithShape="0">
              <a:prstClr val="black">
                <a:alpha val="20000"/>
              </a:prstClr>
            </a:outerShdw>
          </a:effectLst>
        </c:spPr>
      </c:pivotFmt>
      <c:pivotFmt>
        <c:idx val="1104"/>
        <c:spPr>
          <a:solidFill>
            <a:schemeClr val="accent1"/>
          </a:solidFill>
          <a:ln>
            <a:noFill/>
          </a:ln>
          <a:effectLst>
            <a:outerShdw blurRad="254000" sx="102000" sy="102000" algn="ctr" rotWithShape="0">
              <a:prstClr val="black">
                <a:alpha val="20000"/>
              </a:prstClr>
            </a:outerShdw>
          </a:effectLst>
        </c:spPr>
      </c:pivotFmt>
      <c:pivotFmt>
        <c:idx val="1105"/>
        <c:spPr>
          <a:solidFill>
            <a:schemeClr val="accent1"/>
          </a:solidFill>
          <a:ln>
            <a:noFill/>
          </a:ln>
          <a:effectLst>
            <a:outerShdw blurRad="254000" sx="102000" sy="102000" algn="ctr" rotWithShape="0">
              <a:prstClr val="black">
                <a:alpha val="20000"/>
              </a:prstClr>
            </a:outerShdw>
          </a:effectLst>
        </c:spPr>
      </c:pivotFmt>
      <c:pivotFmt>
        <c:idx val="1106"/>
        <c:spPr>
          <a:solidFill>
            <a:schemeClr val="accent1"/>
          </a:solidFill>
          <a:ln>
            <a:noFill/>
          </a:ln>
          <a:effectLst>
            <a:outerShdw blurRad="254000" sx="102000" sy="102000" algn="ctr" rotWithShape="0">
              <a:prstClr val="black">
                <a:alpha val="20000"/>
              </a:prstClr>
            </a:outerShdw>
          </a:effectLst>
        </c:spPr>
      </c:pivotFmt>
      <c:pivotFmt>
        <c:idx val="1107"/>
        <c:spPr>
          <a:solidFill>
            <a:schemeClr val="accent1"/>
          </a:solidFill>
          <a:ln>
            <a:noFill/>
          </a:ln>
          <a:effectLst>
            <a:outerShdw blurRad="254000" sx="102000" sy="102000" algn="ctr" rotWithShape="0">
              <a:prstClr val="black">
                <a:alpha val="20000"/>
              </a:prstClr>
            </a:outerShdw>
          </a:effectLst>
        </c:spPr>
      </c:pivotFmt>
      <c:pivotFmt>
        <c:idx val="1108"/>
        <c:spPr>
          <a:solidFill>
            <a:schemeClr val="accent1"/>
          </a:solidFill>
          <a:ln>
            <a:noFill/>
          </a:ln>
          <a:effectLst>
            <a:outerShdw blurRad="254000" sx="102000" sy="102000" algn="ctr" rotWithShape="0">
              <a:prstClr val="black">
                <a:alpha val="20000"/>
              </a:prstClr>
            </a:outerShdw>
          </a:effectLst>
        </c:spPr>
      </c:pivotFmt>
      <c:pivotFmt>
        <c:idx val="1109"/>
        <c:spPr>
          <a:solidFill>
            <a:schemeClr val="accent1"/>
          </a:solidFill>
          <a:ln>
            <a:noFill/>
          </a:ln>
          <a:effectLst>
            <a:outerShdw blurRad="254000" sx="102000" sy="102000" algn="ctr" rotWithShape="0">
              <a:prstClr val="black">
                <a:alpha val="20000"/>
              </a:prstClr>
            </a:outerShdw>
          </a:effectLst>
        </c:spPr>
      </c:pivotFmt>
      <c:pivotFmt>
        <c:idx val="1110"/>
        <c:spPr>
          <a:solidFill>
            <a:schemeClr val="accent1"/>
          </a:solidFill>
          <a:ln>
            <a:noFill/>
          </a:ln>
          <a:effectLst>
            <a:outerShdw blurRad="254000" sx="102000" sy="102000" algn="ctr" rotWithShape="0">
              <a:prstClr val="black">
                <a:alpha val="20000"/>
              </a:prstClr>
            </a:outerShdw>
          </a:effectLst>
        </c:spPr>
      </c:pivotFmt>
      <c:pivotFmt>
        <c:idx val="1111"/>
        <c:spPr>
          <a:solidFill>
            <a:schemeClr val="accent1"/>
          </a:solidFill>
          <a:ln>
            <a:noFill/>
          </a:ln>
          <a:effectLst>
            <a:outerShdw blurRad="254000" sx="102000" sy="102000" algn="ctr" rotWithShape="0">
              <a:prstClr val="black">
                <a:alpha val="20000"/>
              </a:prstClr>
            </a:outerShdw>
          </a:effectLst>
        </c:spPr>
      </c:pivotFmt>
      <c:pivotFmt>
        <c:idx val="1112"/>
        <c:spPr>
          <a:solidFill>
            <a:schemeClr val="accent1"/>
          </a:solidFill>
          <a:ln>
            <a:noFill/>
          </a:ln>
          <a:effectLst>
            <a:outerShdw blurRad="254000" sx="102000" sy="102000" algn="ctr" rotWithShape="0">
              <a:prstClr val="black">
                <a:alpha val="20000"/>
              </a:prstClr>
            </a:outerShdw>
          </a:effectLst>
        </c:spPr>
      </c:pivotFmt>
      <c:pivotFmt>
        <c:idx val="1113"/>
        <c:spPr>
          <a:solidFill>
            <a:schemeClr val="accent1"/>
          </a:solidFill>
          <a:ln>
            <a:noFill/>
          </a:ln>
          <a:effectLst>
            <a:outerShdw blurRad="254000" sx="102000" sy="102000" algn="ctr" rotWithShape="0">
              <a:prstClr val="black">
                <a:alpha val="20000"/>
              </a:prstClr>
            </a:outerShdw>
          </a:effectLst>
        </c:spPr>
      </c:pivotFmt>
      <c:pivotFmt>
        <c:idx val="1114"/>
        <c:spPr>
          <a:solidFill>
            <a:schemeClr val="accent1"/>
          </a:solidFill>
          <a:ln>
            <a:noFill/>
          </a:ln>
          <a:effectLst>
            <a:outerShdw blurRad="254000" sx="102000" sy="102000" algn="ctr" rotWithShape="0">
              <a:prstClr val="black">
                <a:alpha val="20000"/>
              </a:prstClr>
            </a:outerShdw>
          </a:effectLst>
        </c:spPr>
      </c:pivotFmt>
      <c:pivotFmt>
        <c:idx val="1115"/>
        <c:spPr>
          <a:solidFill>
            <a:schemeClr val="accent1"/>
          </a:solidFill>
          <a:ln>
            <a:noFill/>
          </a:ln>
          <a:effectLst>
            <a:outerShdw blurRad="254000" sx="102000" sy="102000" algn="ctr" rotWithShape="0">
              <a:prstClr val="black">
                <a:alpha val="20000"/>
              </a:prstClr>
            </a:outerShdw>
          </a:effectLst>
        </c:spPr>
      </c:pivotFmt>
      <c:pivotFmt>
        <c:idx val="1116"/>
        <c:spPr>
          <a:solidFill>
            <a:schemeClr val="accent1"/>
          </a:solidFill>
          <a:ln>
            <a:noFill/>
          </a:ln>
          <a:effectLst>
            <a:outerShdw blurRad="254000" sx="102000" sy="102000" algn="ctr" rotWithShape="0">
              <a:prstClr val="black">
                <a:alpha val="20000"/>
              </a:prstClr>
            </a:outerShdw>
          </a:effectLst>
        </c:spPr>
      </c:pivotFmt>
      <c:pivotFmt>
        <c:idx val="1117"/>
        <c:spPr>
          <a:solidFill>
            <a:schemeClr val="accent1"/>
          </a:solidFill>
          <a:ln>
            <a:noFill/>
          </a:ln>
          <a:effectLst>
            <a:outerShdw blurRad="254000" sx="102000" sy="102000" algn="ctr" rotWithShape="0">
              <a:prstClr val="black">
                <a:alpha val="20000"/>
              </a:prstClr>
            </a:outerShdw>
          </a:effectLst>
        </c:spPr>
      </c:pivotFmt>
      <c:pivotFmt>
        <c:idx val="1118"/>
        <c:spPr>
          <a:solidFill>
            <a:schemeClr val="accent1"/>
          </a:solidFill>
          <a:ln>
            <a:noFill/>
          </a:ln>
          <a:effectLst>
            <a:outerShdw blurRad="254000" sx="102000" sy="102000" algn="ctr" rotWithShape="0">
              <a:prstClr val="black">
                <a:alpha val="20000"/>
              </a:prstClr>
            </a:outerShdw>
          </a:effectLst>
        </c:spPr>
      </c:pivotFmt>
      <c:pivotFmt>
        <c:idx val="1119"/>
        <c:spPr>
          <a:solidFill>
            <a:schemeClr val="accent1"/>
          </a:solidFill>
          <a:ln>
            <a:noFill/>
          </a:ln>
          <a:effectLst>
            <a:outerShdw blurRad="254000" sx="102000" sy="102000" algn="ctr" rotWithShape="0">
              <a:prstClr val="black">
                <a:alpha val="20000"/>
              </a:prstClr>
            </a:outerShdw>
          </a:effectLst>
        </c:spPr>
      </c:pivotFmt>
      <c:pivotFmt>
        <c:idx val="1120"/>
        <c:spPr>
          <a:solidFill>
            <a:schemeClr val="accent1"/>
          </a:solidFill>
          <a:ln>
            <a:noFill/>
          </a:ln>
          <a:effectLst>
            <a:outerShdw blurRad="254000" sx="102000" sy="102000" algn="ctr" rotWithShape="0">
              <a:prstClr val="black">
                <a:alpha val="20000"/>
              </a:prstClr>
            </a:outerShdw>
          </a:effectLst>
        </c:spPr>
      </c:pivotFmt>
      <c:pivotFmt>
        <c:idx val="1121"/>
        <c:spPr>
          <a:solidFill>
            <a:schemeClr val="accent1"/>
          </a:solidFill>
          <a:ln>
            <a:noFill/>
          </a:ln>
          <a:effectLst>
            <a:outerShdw blurRad="254000" sx="102000" sy="102000" algn="ctr" rotWithShape="0">
              <a:prstClr val="black">
                <a:alpha val="20000"/>
              </a:prstClr>
            </a:outerShdw>
          </a:effectLst>
        </c:spPr>
      </c:pivotFmt>
      <c:pivotFmt>
        <c:idx val="1122"/>
        <c:spPr>
          <a:solidFill>
            <a:schemeClr val="accent1"/>
          </a:solidFill>
          <a:ln>
            <a:noFill/>
          </a:ln>
          <a:effectLst>
            <a:outerShdw blurRad="254000" sx="102000" sy="102000" algn="ctr" rotWithShape="0">
              <a:prstClr val="black">
                <a:alpha val="20000"/>
              </a:prstClr>
            </a:outerShdw>
          </a:effectLst>
        </c:spPr>
      </c:pivotFmt>
      <c:pivotFmt>
        <c:idx val="1123"/>
        <c:spPr>
          <a:solidFill>
            <a:schemeClr val="accent1"/>
          </a:solidFill>
          <a:ln>
            <a:noFill/>
          </a:ln>
          <a:effectLst>
            <a:outerShdw blurRad="254000" sx="102000" sy="102000" algn="ctr" rotWithShape="0">
              <a:prstClr val="black">
                <a:alpha val="20000"/>
              </a:prstClr>
            </a:outerShdw>
          </a:effectLst>
        </c:spPr>
      </c:pivotFmt>
      <c:pivotFmt>
        <c:idx val="1124"/>
        <c:spPr>
          <a:solidFill>
            <a:schemeClr val="accent1"/>
          </a:solidFill>
          <a:ln>
            <a:noFill/>
          </a:ln>
          <a:effectLst>
            <a:outerShdw blurRad="254000" sx="102000" sy="102000" algn="ctr" rotWithShape="0">
              <a:prstClr val="black">
                <a:alpha val="20000"/>
              </a:prstClr>
            </a:outerShdw>
          </a:effectLst>
        </c:spPr>
      </c:pivotFmt>
      <c:pivotFmt>
        <c:idx val="1125"/>
        <c:spPr>
          <a:solidFill>
            <a:schemeClr val="accent1"/>
          </a:solidFill>
          <a:ln>
            <a:noFill/>
          </a:ln>
          <a:effectLst>
            <a:outerShdw blurRad="254000" sx="102000" sy="102000" algn="ctr" rotWithShape="0">
              <a:prstClr val="black">
                <a:alpha val="20000"/>
              </a:prstClr>
            </a:outerShdw>
          </a:effectLst>
        </c:spPr>
      </c:pivotFmt>
      <c:pivotFmt>
        <c:idx val="1126"/>
        <c:spPr>
          <a:solidFill>
            <a:schemeClr val="accent1"/>
          </a:solidFill>
          <a:ln>
            <a:noFill/>
          </a:ln>
          <a:effectLst>
            <a:outerShdw blurRad="254000" sx="102000" sy="102000" algn="ctr" rotWithShape="0">
              <a:prstClr val="black">
                <a:alpha val="20000"/>
              </a:prstClr>
            </a:outerShdw>
          </a:effectLst>
        </c:spPr>
      </c:pivotFmt>
      <c:pivotFmt>
        <c:idx val="1127"/>
        <c:spPr>
          <a:solidFill>
            <a:schemeClr val="accent1"/>
          </a:solidFill>
          <a:ln>
            <a:noFill/>
          </a:ln>
          <a:effectLst>
            <a:outerShdw blurRad="254000" sx="102000" sy="102000" algn="ctr" rotWithShape="0">
              <a:prstClr val="black">
                <a:alpha val="20000"/>
              </a:prstClr>
            </a:outerShdw>
          </a:effectLst>
        </c:spPr>
      </c:pivotFmt>
      <c:pivotFmt>
        <c:idx val="1128"/>
        <c:spPr>
          <a:solidFill>
            <a:schemeClr val="accent1"/>
          </a:solidFill>
          <a:ln>
            <a:noFill/>
          </a:ln>
          <a:effectLst>
            <a:outerShdw blurRad="254000" sx="102000" sy="102000" algn="ctr" rotWithShape="0">
              <a:prstClr val="black">
                <a:alpha val="20000"/>
              </a:prstClr>
            </a:outerShdw>
          </a:effectLst>
        </c:spPr>
      </c:pivotFmt>
      <c:pivotFmt>
        <c:idx val="1129"/>
        <c:spPr>
          <a:solidFill>
            <a:schemeClr val="accent1"/>
          </a:solidFill>
          <a:ln>
            <a:noFill/>
          </a:ln>
          <a:effectLst>
            <a:outerShdw blurRad="254000" sx="102000" sy="102000" algn="ctr" rotWithShape="0">
              <a:prstClr val="black">
                <a:alpha val="20000"/>
              </a:prstClr>
            </a:outerShdw>
          </a:effectLst>
        </c:spPr>
      </c:pivotFmt>
      <c:pivotFmt>
        <c:idx val="1130"/>
        <c:spPr>
          <a:solidFill>
            <a:schemeClr val="accent1"/>
          </a:solidFill>
          <a:ln>
            <a:noFill/>
          </a:ln>
          <a:effectLst>
            <a:outerShdw blurRad="254000" sx="102000" sy="102000" algn="ctr" rotWithShape="0">
              <a:prstClr val="black">
                <a:alpha val="20000"/>
              </a:prstClr>
            </a:outerShdw>
          </a:effectLst>
        </c:spPr>
      </c:pivotFmt>
      <c:pivotFmt>
        <c:idx val="1131"/>
        <c:spPr>
          <a:solidFill>
            <a:schemeClr val="accent1"/>
          </a:solidFill>
          <a:ln>
            <a:noFill/>
          </a:ln>
          <a:effectLst>
            <a:outerShdw blurRad="254000" sx="102000" sy="102000" algn="ctr" rotWithShape="0">
              <a:prstClr val="black">
                <a:alpha val="20000"/>
              </a:prstClr>
            </a:outerShdw>
          </a:effectLst>
        </c:spPr>
      </c:pivotFmt>
      <c:pivotFmt>
        <c:idx val="1132"/>
        <c:spPr>
          <a:solidFill>
            <a:schemeClr val="accent1"/>
          </a:solidFill>
          <a:ln>
            <a:noFill/>
          </a:ln>
          <a:effectLst>
            <a:outerShdw blurRad="254000" sx="102000" sy="102000" algn="ctr" rotWithShape="0">
              <a:prstClr val="black">
                <a:alpha val="20000"/>
              </a:prstClr>
            </a:outerShdw>
          </a:effectLst>
        </c:spPr>
      </c:pivotFmt>
      <c:pivotFmt>
        <c:idx val="1133"/>
        <c:spPr>
          <a:solidFill>
            <a:schemeClr val="accent1"/>
          </a:solidFill>
          <a:ln>
            <a:noFill/>
          </a:ln>
          <a:effectLst>
            <a:outerShdw blurRad="254000" sx="102000" sy="102000" algn="ctr" rotWithShape="0">
              <a:prstClr val="black">
                <a:alpha val="20000"/>
              </a:prstClr>
            </a:outerShdw>
          </a:effectLst>
        </c:spPr>
      </c:pivotFmt>
      <c:pivotFmt>
        <c:idx val="1134"/>
        <c:spPr>
          <a:solidFill>
            <a:schemeClr val="accent1"/>
          </a:solidFill>
          <a:ln>
            <a:noFill/>
          </a:ln>
          <a:effectLst>
            <a:outerShdw blurRad="254000" sx="102000" sy="102000" algn="ctr" rotWithShape="0">
              <a:prstClr val="black">
                <a:alpha val="20000"/>
              </a:prstClr>
            </a:outerShdw>
          </a:effectLst>
        </c:spPr>
      </c:pivotFmt>
      <c:pivotFmt>
        <c:idx val="1135"/>
        <c:spPr>
          <a:solidFill>
            <a:schemeClr val="accent1"/>
          </a:solidFill>
          <a:ln>
            <a:noFill/>
          </a:ln>
          <a:effectLst>
            <a:outerShdw blurRad="254000" sx="102000" sy="102000" algn="ctr" rotWithShape="0">
              <a:prstClr val="black">
                <a:alpha val="20000"/>
              </a:prstClr>
            </a:outerShdw>
          </a:effectLst>
        </c:spPr>
      </c:pivotFmt>
      <c:pivotFmt>
        <c:idx val="1136"/>
        <c:spPr>
          <a:solidFill>
            <a:schemeClr val="accent1"/>
          </a:solidFill>
          <a:ln>
            <a:noFill/>
          </a:ln>
          <a:effectLst>
            <a:outerShdw blurRad="254000" sx="102000" sy="102000" algn="ctr" rotWithShape="0">
              <a:prstClr val="black">
                <a:alpha val="20000"/>
              </a:prstClr>
            </a:outerShdw>
          </a:effectLst>
        </c:spPr>
      </c:pivotFmt>
      <c:pivotFmt>
        <c:idx val="1137"/>
        <c:spPr>
          <a:solidFill>
            <a:schemeClr val="accent1"/>
          </a:solidFill>
          <a:ln>
            <a:noFill/>
          </a:ln>
          <a:effectLst>
            <a:outerShdw blurRad="254000" sx="102000" sy="102000" algn="ctr" rotWithShape="0">
              <a:prstClr val="black">
                <a:alpha val="20000"/>
              </a:prstClr>
            </a:outerShdw>
          </a:effectLst>
        </c:spPr>
      </c:pivotFmt>
      <c:pivotFmt>
        <c:idx val="1138"/>
        <c:spPr>
          <a:solidFill>
            <a:schemeClr val="accent1"/>
          </a:solidFill>
          <a:ln>
            <a:noFill/>
          </a:ln>
          <a:effectLst>
            <a:outerShdw blurRad="254000" sx="102000" sy="102000" algn="ctr" rotWithShape="0">
              <a:prstClr val="black">
                <a:alpha val="20000"/>
              </a:prstClr>
            </a:outerShdw>
          </a:effectLst>
        </c:spPr>
      </c:pivotFmt>
      <c:pivotFmt>
        <c:idx val="1139"/>
        <c:spPr>
          <a:solidFill>
            <a:schemeClr val="accent1"/>
          </a:solidFill>
          <a:ln>
            <a:noFill/>
          </a:ln>
          <a:effectLst>
            <a:outerShdw blurRad="254000" sx="102000" sy="102000" algn="ctr" rotWithShape="0">
              <a:prstClr val="black">
                <a:alpha val="20000"/>
              </a:prstClr>
            </a:outerShdw>
          </a:effectLst>
        </c:spPr>
      </c:pivotFmt>
      <c:pivotFmt>
        <c:idx val="1140"/>
        <c:spPr>
          <a:solidFill>
            <a:schemeClr val="accent1"/>
          </a:solidFill>
          <a:ln>
            <a:noFill/>
          </a:ln>
          <a:effectLst>
            <a:outerShdw blurRad="254000" sx="102000" sy="102000" algn="ctr" rotWithShape="0">
              <a:prstClr val="black">
                <a:alpha val="20000"/>
              </a:prstClr>
            </a:outerShdw>
          </a:effectLst>
        </c:spPr>
      </c:pivotFmt>
      <c:pivotFmt>
        <c:idx val="1141"/>
        <c:spPr>
          <a:solidFill>
            <a:schemeClr val="accent1"/>
          </a:solidFill>
          <a:ln>
            <a:noFill/>
          </a:ln>
          <a:effectLst>
            <a:outerShdw blurRad="254000" sx="102000" sy="102000" algn="ctr" rotWithShape="0">
              <a:prstClr val="black">
                <a:alpha val="20000"/>
              </a:prstClr>
            </a:outerShdw>
          </a:effectLst>
        </c:spPr>
      </c:pivotFmt>
      <c:pivotFmt>
        <c:idx val="1142"/>
        <c:spPr>
          <a:solidFill>
            <a:schemeClr val="accent1"/>
          </a:solidFill>
          <a:ln>
            <a:noFill/>
          </a:ln>
          <a:effectLst>
            <a:outerShdw blurRad="254000" sx="102000" sy="102000" algn="ctr" rotWithShape="0">
              <a:prstClr val="black">
                <a:alpha val="20000"/>
              </a:prstClr>
            </a:outerShdw>
          </a:effectLst>
        </c:spPr>
      </c:pivotFmt>
      <c:pivotFmt>
        <c:idx val="1143"/>
        <c:spPr>
          <a:solidFill>
            <a:schemeClr val="accent1"/>
          </a:solidFill>
          <a:ln>
            <a:noFill/>
          </a:ln>
          <a:effectLst>
            <a:outerShdw blurRad="254000" sx="102000" sy="102000" algn="ctr" rotWithShape="0">
              <a:prstClr val="black">
                <a:alpha val="20000"/>
              </a:prstClr>
            </a:outerShdw>
          </a:effectLst>
        </c:spPr>
      </c:pivotFmt>
      <c:pivotFmt>
        <c:idx val="1144"/>
        <c:spPr>
          <a:solidFill>
            <a:schemeClr val="accent1"/>
          </a:solidFill>
          <a:ln>
            <a:noFill/>
          </a:ln>
          <a:effectLst>
            <a:outerShdw blurRad="254000" sx="102000" sy="102000" algn="ctr" rotWithShape="0">
              <a:prstClr val="black">
                <a:alpha val="20000"/>
              </a:prstClr>
            </a:outerShdw>
          </a:effectLst>
        </c:spPr>
      </c:pivotFmt>
      <c:pivotFmt>
        <c:idx val="1145"/>
        <c:spPr>
          <a:solidFill>
            <a:schemeClr val="accent1"/>
          </a:solidFill>
          <a:ln>
            <a:noFill/>
          </a:ln>
          <a:effectLst>
            <a:outerShdw blurRad="254000" sx="102000" sy="102000" algn="ctr" rotWithShape="0">
              <a:prstClr val="black">
                <a:alpha val="20000"/>
              </a:prstClr>
            </a:outerShdw>
          </a:effectLst>
        </c:spPr>
      </c:pivotFmt>
      <c:pivotFmt>
        <c:idx val="1146"/>
        <c:spPr>
          <a:solidFill>
            <a:schemeClr val="accent1"/>
          </a:solidFill>
          <a:ln>
            <a:noFill/>
          </a:ln>
          <a:effectLst>
            <a:outerShdw blurRad="254000" sx="102000" sy="102000" algn="ctr" rotWithShape="0">
              <a:prstClr val="black">
                <a:alpha val="20000"/>
              </a:prstClr>
            </a:outerShdw>
          </a:effectLst>
        </c:spPr>
      </c:pivotFmt>
      <c:pivotFmt>
        <c:idx val="1147"/>
        <c:spPr>
          <a:solidFill>
            <a:schemeClr val="accent1"/>
          </a:solidFill>
          <a:ln>
            <a:noFill/>
          </a:ln>
          <a:effectLst>
            <a:outerShdw blurRad="254000" sx="102000" sy="102000" algn="ctr" rotWithShape="0">
              <a:prstClr val="black">
                <a:alpha val="20000"/>
              </a:prstClr>
            </a:outerShdw>
          </a:effectLst>
        </c:spPr>
      </c:pivotFmt>
      <c:pivotFmt>
        <c:idx val="1148"/>
        <c:spPr>
          <a:solidFill>
            <a:schemeClr val="accent1"/>
          </a:solidFill>
          <a:ln>
            <a:noFill/>
          </a:ln>
          <a:effectLst>
            <a:outerShdw blurRad="254000" sx="102000" sy="102000" algn="ctr" rotWithShape="0">
              <a:prstClr val="black">
                <a:alpha val="20000"/>
              </a:prstClr>
            </a:outerShdw>
          </a:effectLst>
        </c:spPr>
      </c:pivotFmt>
      <c:pivotFmt>
        <c:idx val="1149"/>
        <c:spPr>
          <a:solidFill>
            <a:schemeClr val="accent1"/>
          </a:solidFill>
          <a:ln>
            <a:noFill/>
          </a:ln>
          <a:effectLst>
            <a:outerShdw blurRad="254000" sx="102000" sy="102000" algn="ctr" rotWithShape="0">
              <a:prstClr val="black">
                <a:alpha val="20000"/>
              </a:prstClr>
            </a:outerShdw>
          </a:effectLst>
        </c:spPr>
      </c:pivotFmt>
      <c:pivotFmt>
        <c:idx val="1150"/>
        <c:spPr>
          <a:solidFill>
            <a:schemeClr val="accent1"/>
          </a:solidFill>
          <a:ln>
            <a:noFill/>
          </a:ln>
          <a:effectLst>
            <a:outerShdw blurRad="254000" sx="102000" sy="102000" algn="ctr" rotWithShape="0">
              <a:prstClr val="black">
                <a:alpha val="20000"/>
              </a:prstClr>
            </a:outerShdw>
          </a:effectLst>
        </c:spPr>
      </c:pivotFmt>
      <c:pivotFmt>
        <c:idx val="1151"/>
        <c:spPr>
          <a:solidFill>
            <a:schemeClr val="accent1"/>
          </a:solidFill>
          <a:ln>
            <a:noFill/>
          </a:ln>
          <a:effectLst>
            <a:outerShdw blurRad="254000" sx="102000" sy="102000" algn="ctr" rotWithShape="0">
              <a:prstClr val="black">
                <a:alpha val="20000"/>
              </a:prstClr>
            </a:outerShdw>
          </a:effectLst>
        </c:spPr>
      </c:pivotFmt>
      <c:pivotFmt>
        <c:idx val="1152"/>
        <c:spPr>
          <a:solidFill>
            <a:schemeClr val="accent1"/>
          </a:solidFill>
          <a:ln>
            <a:noFill/>
          </a:ln>
          <a:effectLst>
            <a:outerShdw blurRad="254000" sx="102000" sy="102000" algn="ctr" rotWithShape="0">
              <a:prstClr val="black">
                <a:alpha val="20000"/>
              </a:prstClr>
            </a:outerShdw>
          </a:effectLst>
        </c:spPr>
      </c:pivotFmt>
      <c:pivotFmt>
        <c:idx val="1153"/>
        <c:spPr>
          <a:solidFill>
            <a:schemeClr val="accent1"/>
          </a:solidFill>
          <a:ln>
            <a:noFill/>
          </a:ln>
          <a:effectLst>
            <a:outerShdw blurRad="254000" sx="102000" sy="102000" algn="ctr" rotWithShape="0">
              <a:prstClr val="black">
                <a:alpha val="20000"/>
              </a:prstClr>
            </a:outerShdw>
          </a:effectLst>
        </c:spPr>
      </c:pivotFmt>
      <c:pivotFmt>
        <c:idx val="1154"/>
        <c:spPr>
          <a:solidFill>
            <a:schemeClr val="accent1"/>
          </a:solidFill>
          <a:ln>
            <a:noFill/>
          </a:ln>
          <a:effectLst>
            <a:outerShdw blurRad="254000" sx="102000" sy="102000" algn="ctr" rotWithShape="0">
              <a:prstClr val="black">
                <a:alpha val="20000"/>
              </a:prstClr>
            </a:outerShdw>
          </a:effectLst>
        </c:spPr>
      </c:pivotFmt>
      <c:pivotFmt>
        <c:idx val="1155"/>
        <c:spPr>
          <a:solidFill>
            <a:schemeClr val="accent1"/>
          </a:solidFill>
          <a:ln>
            <a:noFill/>
          </a:ln>
          <a:effectLst>
            <a:outerShdw blurRad="254000" sx="102000" sy="102000" algn="ctr" rotWithShape="0">
              <a:prstClr val="black">
                <a:alpha val="20000"/>
              </a:prstClr>
            </a:outerShdw>
          </a:effectLst>
        </c:spPr>
      </c:pivotFmt>
      <c:pivotFmt>
        <c:idx val="1156"/>
        <c:spPr>
          <a:solidFill>
            <a:schemeClr val="accent1"/>
          </a:solidFill>
          <a:ln>
            <a:noFill/>
          </a:ln>
          <a:effectLst>
            <a:outerShdw blurRad="254000" sx="102000" sy="102000" algn="ctr" rotWithShape="0">
              <a:prstClr val="black">
                <a:alpha val="20000"/>
              </a:prstClr>
            </a:outerShdw>
          </a:effectLst>
        </c:spPr>
      </c:pivotFmt>
      <c:pivotFmt>
        <c:idx val="1157"/>
        <c:spPr>
          <a:solidFill>
            <a:schemeClr val="accent1"/>
          </a:solidFill>
          <a:ln>
            <a:noFill/>
          </a:ln>
          <a:effectLst>
            <a:outerShdw blurRad="254000" sx="102000" sy="102000" algn="ctr" rotWithShape="0">
              <a:prstClr val="black">
                <a:alpha val="20000"/>
              </a:prstClr>
            </a:outerShdw>
          </a:effectLst>
        </c:spPr>
      </c:pivotFmt>
      <c:pivotFmt>
        <c:idx val="1158"/>
        <c:spPr>
          <a:solidFill>
            <a:schemeClr val="accent1"/>
          </a:solidFill>
          <a:ln>
            <a:noFill/>
          </a:ln>
          <a:effectLst>
            <a:outerShdw blurRad="254000" sx="102000" sy="102000" algn="ctr" rotWithShape="0">
              <a:prstClr val="black">
                <a:alpha val="20000"/>
              </a:prstClr>
            </a:outerShdw>
          </a:effectLst>
        </c:spPr>
      </c:pivotFmt>
      <c:pivotFmt>
        <c:idx val="1159"/>
        <c:spPr>
          <a:solidFill>
            <a:schemeClr val="accent1"/>
          </a:solidFill>
          <a:ln>
            <a:noFill/>
          </a:ln>
          <a:effectLst>
            <a:outerShdw blurRad="254000" sx="102000" sy="102000" algn="ctr" rotWithShape="0">
              <a:prstClr val="black">
                <a:alpha val="20000"/>
              </a:prstClr>
            </a:outerShdw>
          </a:effectLst>
        </c:spPr>
      </c:pivotFmt>
      <c:pivotFmt>
        <c:idx val="1160"/>
        <c:spPr>
          <a:solidFill>
            <a:schemeClr val="accent1"/>
          </a:solidFill>
          <a:ln>
            <a:noFill/>
          </a:ln>
          <a:effectLst>
            <a:outerShdw blurRad="254000" sx="102000" sy="102000" algn="ctr" rotWithShape="0">
              <a:prstClr val="black">
                <a:alpha val="20000"/>
              </a:prstClr>
            </a:outerShdw>
          </a:effectLst>
        </c:spPr>
      </c:pivotFmt>
      <c:pivotFmt>
        <c:idx val="1161"/>
        <c:spPr>
          <a:solidFill>
            <a:schemeClr val="accent1"/>
          </a:solidFill>
          <a:ln>
            <a:noFill/>
          </a:ln>
          <a:effectLst>
            <a:outerShdw blurRad="254000" sx="102000" sy="102000" algn="ctr" rotWithShape="0">
              <a:prstClr val="black">
                <a:alpha val="20000"/>
              </a:prstClr>
            </a:outerShdw>
          </a:effectLst>
        </c:spPr>
      </c:pivotFmt>
      <c:pivotFmt>
        <c:idx val="1162"/>
        <c:spPr>
          <a:solidFill>
            <a:schemeClr val="accent1"/>
          </a:solidFill>
          <a:ln>
            <a:noFill/>
          </a:ln>
          <a:effectLst>
            <a:outerShdw blurRad="254000" sx="102000" sy="102000" algn="ctr" rotWithShape="0">
              <a:prstClr val="black">
                <a:alpha val="20000"/>
              </a:prstClr>
            </a:outerShdw>
          </a:effectLst>
        </c:spPr>
      </c:pivotFmt>
      <c:pivotFmt>
        <c:idx val="1163"/>
        <c:spPr>
          <a:solidFill>
            <a:schemeClr val="accent1"/>
          </a:solidFill>
          <a:ln>
            <a:noFill/>
          </a:ln>
          <a:effectLst>
            <a:outerShdw blurRad="254000" sx="102000" sy="102000" algn="ctr" rotWithShape="0">
              <a:prstClr val="black">
                <a:alpha val="20000"/>
              </a:prstClr>
            </a:outerShdw>
          </a:effectLst>
        </c:spPr>
      </c:pivotFmt>
      <c:pivotFmt>
        <c:idx val="1164"/>
        <c:spPr>
          <a:solidFill>
            <a:schemeClr val="accent1"/>
          </a:solidFill>
          <a:ln>
            <a:noFill/>
          </a:ln>
          <a:effectLst>
            <a:outerShdw blurRad="254000" sx="102000" sy="102000" algn="ctr" rotWithShape="0">
              <a:prstClr val="black">
                <a:alpha val="20000"/>
              </a:prstClr>
            </a:outerShdw>
          </a:effectLst>
        </c:spPr>
      </c:pivotFmt>
      <c:pivotFmt>
        <c:idx val="1165"/>
        <c:spPr>
          <a:solidFill>
            <a:schemeClr val="accent1"/>
          </a:solidFill>
          <a:ln>
            <a:noFill/>
          </a:ln>
          <a:effectLst>
            <a:outerShdw blurRad="254000" sx="102000" sy="102000" algn="ctr" rotWithShape="0">
              <a:prstClr val="black">
                <a:alpha val="20000"/>
              </a:prstClr>
            </a:outerShdw>
          </a:effectLst>
        </c:spPr>
      </c:pivotFmt>
      <c:pivotFmt>
        <c:idx val="1166"/>
        <c:spPr>
          <a:solidFill>
            <a:schemeClr val="accent1"/>
          </a:solidFill>
          <a:ln>
            <a:noFill/>
          </a:ln>
          <a:effectLst>
            <a:outerShdw blurRad="254000" sx="102000" sy="102000" algn="ctr" rotWithShape="0">
              <a:prstClr val="black">
                <a:alpha val="20000"/>
              </a:prstClr>
            </a:outerShdw>
          </a:effectLst>
        </c:spPr>
      </c:pivotFmt>
      <c:pivotFmt>
        <c:idx val="1167"/>
        <c:spPr>
          <a:solidFill>
            <a:schemeClr val="accent1"/>
          </a:solidFill>
          <a:ln>
            <a:noFill/>
          </a:ln>
          <a:effectLst>
            <a:outerShdw blurRad="254000" sx="102000" sy="102000" algn="ctr" rotWithShape="0">
              <a:prstClr val="black">
                <a:alpha val="20000"/>
              </a:prstClr>
            </a:outerShdw>
          </a:effectLst>
        </c:spPr>
      </c:pivotFmt>
      <c:pivotFmt>
        <c:idx val="1168"/>
        <c:spPr>
          <a:solidFill>
            <a:schemeClr val="accent1"/>
          </a:solidFill>
          <a:ln>
            <a:noFill/>
          </a:ln>
          <a:effectLst>
            <a:outerShdw blurRad="254000" sx="102000" sy="102000" algn="ctr" rotWithShape="0">
              <a:prstClr val="black">
                <a:alpha val="20000"/>
              </a:prstClr>
            </a:outerShdw>
          </a:effectLst>
        </c:spPr>
      </c:pivotFmt>
      <c:pivotFmt>
        <c:idx val="1169"/>
        <c:spPr>
          <a:solidFill>
            <a:schemeClr val="accent1"/>
          </a:solidFill>
          <a:ln>
            <a:noFill/>
          </a:ln>
          <a:effectLst>
            <a:outerShdw blurRad="254000" sx="102000" sy="102000" algn="ctr" rotWithShape="0">
              <a:prstClr val="black">
                <a:alpha val="20000"/>
              </a:prstClr>
            </a:outerShdw>
          </a:effectLst>
        </c:spPr>
      </c:pivotFmt>
      <c:pivotFmt>
        <c:idx val="1170"/>
        <c:spPr>
          <a:solidFill>
            <a:schemeClr val="accent1"/>
          </a:solidFill>
          <a:ln>
            <a:noFill/>
          </a:ln>
          <a:effectLst>
            <a:outerShdw blurRad="254000" sx="102000" sy="102000" algn="ctr" rotWithShape="0">
              <a:prstClr val="black">
                <a:alpha val="20000"/>
              </a:prstClr>
            </a:outerShdw>
          </a:effectLst>
        </c:spPr>
      </c:pivotFmt>
      <c:pivotFmt>
        <c:idx val="1171"/>
        <c:spPr>
          <a:solidFill>
            <a:schemeClr val="accent1"/>
          </a:solidFill>
          <a:ln>
            <a:noFill/>
          </a:ln>
          <a:effectLst>
            <a:outerShdw blurRad="254000" sx="102000" sy="102000" algn="ctr" rotWithShape="0">
              <a:prstClr val="black">
                <a:alpha val="20000"/>
              </a:prstClr>
            </a:outerShdw>
          </a:effectLst>
        </c:spPr>
      </c:pivotFmt>
      <c:pivotFmt>
        <c:idx val="1172"/>
        <c:spPr>
          <a:solidFill>
            <a:schemeClr val="accent1"/>
          </a:solidFill>
          <a:ln>
            <a:noFill/>
          </a:ln>
          <a:effectLst>
            <a:outerShdw blurRad="254000" sx="102000" sy="102000" algn="ctr" rotWithShape="0">
              <a:prstClr val="black">
                <a:alpha val="20000"/>
              </a:prstClr>
            </a:outerShdw>
          </a:effectLst>
        </c:spPr>
      </c:pivotFmt>
      <c:pivotFmt>
        <c:idx val="1173"/>
        <c:spPr>
          <a:solidFill>
            <a:schemeClr val="accent1"/>
          </a:solidFill>
          <a:ln>
            <a:noFill/>
          </a:ln>
          <a:effectLst>
            <a:outerShdw blurRad="254000" sx="102000" sy="102000" algn="ctr" rotWithShape="0">
              <a:prstClr val="black">
                <a:alpha val="20000"/>
              </a:prstClr>
            </a:outerShdw>
          </a:effectLst>
        </c:spPr>
      </c:pivotFmt>
      <c:pivotFmt>
        <c:idx val="1174"/>
        <c:spPr>
          <a:solidFill>
            <a:schemeClr val="accent1"/>
          </a:solidFill>
          <a:ln>
            <a:noFill/>
          </a:ln>
          <a:effectLst>
            <a:outerShdw blurRad="254000" sx="102000" sy="102000" algn="ctr" rotWithShape="0">
              <a:prstClr val="black">
                <a:alpha val="20000"/>
              </a:prstClr>
            </a:outerShdw>
          </a:effectLst>
        </c:spPr>
      </c:pivotFmt>
      <c:pivotFmt>
        <c:idx val="1175"/>
        <c:spPr>
          <a:solidFill>
            <a:schemeClr val="accent1"/>
          </a:solidFill>
          <a:ln>
            <a:noFill/>
          </a:ln>
          <a:effectLst>
            <a:outerShdw blurRad="254000" sx="102000" sy="102000" algn="ctr" rotWithShape="0">
              <a:prstClr val="black">
                <a:alpha val="20000"/>
              </a:prstClr>
            </a:outerShdw>
          </a:effectLst>
        </c:spPr>
      </c:pivotFmt>
      <c:pivotFmt>
        <c:idx val="1176"/>
        <c:spPr>
          <a:solidFill>
            <a:schemeClr val="accent1"/>
          </a:solidFill>
          <a:ln>
            <a:noFill/>
          </a:ln>
          <a:effectLst>
            <a:outerShdw blurRad="254000" sx="102000" sy="102000" algn="ctr" rotWithShape="0">
              <a:prstClr val="black">
                <a:alpha val="20000"/>
              </a:prstClr>
            </a:outerShdw>
          </a:effectLst>
        </c:spPr>
      </c:pivotFmt>
      <c:pivotFmt>
        <c:idx val="1177"/>
        <c:spPr>
          <a:solidFill>
            <a:schemeClr val="accent1"/>
          </a:solidFill>
          <a:ln>
            <a:noFill/>
          </a:ln>
          <a:effectLst>
            <a:outerShdw blurRad="254000" sx="102000" sy="102000" algn="ctr" rotWithShape="0">
              <a:prstClr val="black">
                <a:alpha val="20000"/>
              </a:prstClr>
            </a:outerShdw>
          </a:effectLst>
        </c:spPr>
      </c:pivotFmt>
      <c:pivotFmt>
        <c:idx val="1178"/>
        <c:spPr>
          <a:solidFill>
            <a:schemeClr val="accent1"/>
          </a:solidFill>
          <a:ln>
            <a:noFill/>
          </a:ln>
          <a:effectLst>
            <a:outerShdw blurRad="254000" sx="102000" sy="102000" algn="ctr" rotWithShape="0">
              <a:prstClr val="black">
                <a:alpha val="20000"/>
              </a:prstClr>
            </a:outerShdw>
          </a:effectLst>
        </c:spPr>
      </c:pivotFmt>
      <c:pivotFmt>
        <c:idx val="1179"/>
        <c:spPr>
          <a:solidFill>
            <a:schemeClr val="accent1"/>
          </a:solidFill>
          <a:ln>
            <a:noFill/>
          </a:ln>
          <a:effectLst>
            <a:outerShdw blurRad="254000" sx="102000" sy="102000" algn="ctr" rotWithShape="0">
              <a:prstClr val="black">
                <a:alpha val="20000"/>
              </a:prstClr>
            </a:outerShdw>
          </a:effectLst>
        </c:spPr>
      </c:pivotFmt>
      <c:pivotFmt>
        <c:idx val="1180"/>
        <c:spPr>
          <a:solidFill>
            <a:schemeClr val="accent1"/>
          </a:solidFill>
          <a:ln>
            <a:noFill/>
          </a:ln>
          <a:effectLst>
            <a:outerShdw blurRad="254000" sx="102000" sy="102000" algn="ctr" rotWithShape="0">
              <a:prstClr val="black">
                <a:alpha val="20000"/>
              </a:prstClr>
            </a:outerShdw>
          </a:effectLst>
        </c:spPr>
      </c:pivotFmt>
      <c:pivotFmt>
        <c:idx val="1181"/>
        <c:spPr>
          <a:solidFill>
            <a:schemeClr val="accent1"/>
          </a:solidFill>
          <a:ln>
            <a:noFill/>
          </a:ln>
          <a:effectLst>
            <a:outerShdw blurRad="254000" sx="102000" sy="102000" algn="ctr" rotWithShape="0">
              <a:prstClr val="black">
                <a:alpha val="20000"/>
              </a:prstClr>
            </a:outerShdw>
          </a:effectLst>
        </c:spPr>
      </c:pivotFmt>
      <c:pivotFmt>
        <c:idx val="1182"/>
        <c:spPr>
          <a:solidFill>
            <a:schemeClr val="accent1"/>
          </a:solidFill>
          <a:ln>
            <a:noFill/>
          </a:ln>
          <a:effectLst>
            <a:outerShdw blurRad="254000" sx="102000" sy="102000" algn="ctr" rotWithShape="0">
              <a:prstClr val="black">
                <a:alpha val="20000"/>
              </a:prstClr>
            </a:outerShdw>
          </a:effectLst>
        </c:spPr>
      </c:pivotFmt>
      <c:pivotFmt>
        <c:idx val="1183"/>
        <c:spPr>
          <a:solidFill>
            <a:schemeClr val="accent1"/>
          </a:solidFill>
          <a:ln>
            <a:noFill/>
          </a:ln>
          <a:effectLst>
            <a:outerShdw blurRad="254000" sx="102000" sy="102000" algn="ctr" rotWithShape="0">
              <a:prstClr val="black">
                <a:alpha val="20000"/>
              </a:prstClr>
            </a:outerShdw>
          </a:effectLst>
        </c:spPr>
      </c:pivotFmt>
      <c:pivotFmt>
        <c:idx val="1184"/>
        <c:spPr>
          <a:solidFill>
            <a:schemeClr val="accent1"/>
          </a:solidFill>
          <a:ln>
            <a:noFill/>
          </a:ln>
          <a:effectLst>
            <a:outerShdw blurRad="254000" sx="102000" sy="102000" algn="ctr" rotWithShape="0">
              <a:prstClr val="black">
                <a:alpha val="20000"/>
              </a:prstClr>
            </a:outerShdw>
          </a:effectLst>
        </c:spPr>
      </c:pivotFmt>
      <c:pivotFmt>
        <c:idx val="1185"/>
        <c:spPr>
          <a:solidFill>
            <a:schemeClr val="accent1"/>
          </a:solidFill>
          <a:ln>
            <a:noFill/>
          </a:ln>
          <a:effectLst>
            <a:outerShdw blurRad="254000" sx="102000" sy="102000" algn="ctr" rotWithShape="0">
              <a:prstClr val="black">
                <a:alpha val="20000"/>
              </a:prstClr>
            </a:outerShdw>
          </a:effectLst>
        </c:spPr>
      </c:pivotFmt>
      <c:pivotFmt>
        <c:idx val="1186"/>
        <c:spPr>
          <a:solidFill>
            <a:schemeClr val="accent1"/>
          </a:solidFill>
          <a:ln>
            <a:noFill/>
          </a:ln>
          <a:effectLst>
            <a:outerShdw blurRad="254000" sx="102000" sy="102000" algn="ctr" rotWithShape="0">
              <a:prstClr val="black">
                <a:alpha val="20000"/>
              </a:prstClr>
            </a:outerShdw>
          </a:effectLst>
        </c:spPr>
      </c:pivotFmt>
      <c:pivotFmt>
        <c:idx val="1187"/>
        <c:spPr>
          <a:solidFill>
            <a:schemeClr val="accent1"/>
          </a:solidFill>
          <a:ln>
            <a:noFill/>
          </a:ln>
          <a:effectLst>
            <a:outerShdw blurRad="254000" sx="102000" sy="102000" algn="ctr" rotWithShape="0">
              <a:prstClr val="black">
                <a:alpha val="20000"/>
              </a:prstClr>
            </a:outerShdw>
          </a:effectLst>
        </c:spPr>
      </c:pivotFmt>
      <c:pivotFmt>
        <c:idx val="1188"/>
        <c:spPr>
          <a:solidFill>
            <a:schemeClr val="accent1"/>
          </a:solidFill>
          <a:ln>
            <a:noFill/>
          </a:ln>
          <a:effectLst>
            <a:outerShdw blurRad="254000" sx="102000" sy="102000" algn="ctr" rotWithShape="0">
              <a:prstClr val="black">
                <a:alpha val="20000"/>
              </a:prstClr>
            </a:outerShdw>
          </a:effectLst>
        </c:spPr>
      </c:pivotFmt>
      <c:pivotFmt>
        <c:idx val="1189"/>
        <c:spPr>
          <a:solidFill>
            <a:schemeClr val="accent1"/>
          </a:solidFill>
          <a:ln>
            <a:noFill/>
          </a:ln>
          <a:effectLst>
            <a:outerShdw blurRad="254000" sx="102000" sy="102000" algn="ctr" rotWithShape="0">
              <a:prstClr val="black">
                <a:alpha val="20000"/>
              </a:prstClr>
            </a:outerShdw>
          </a:effectLst>
        </c:spPr>
      </c:pivotFmt>
      <c:pivotFmt>
        <c:idx val="1190"/>
        <c:spPr>
          <a:solidFill>
            <a:schemeClr val="accent1"/>
          </a:solidFill>
          <a:ln>
            <a:noFill/>
          </a:ln>
          <a:effectLst>
            <a:outerShdw blurRad="254000" sx="102000" sy="102000" algn="ctr" rotWithShape="0">
              <a:prstClr val="black">
                <a:alpha val="20000"/>
              </a:prstClr>
            </a:outerShdw>
          </a:effectLst>
        </c:spPr>
      </c:pivotFmt>
      <c:pivotFmt>
        <c:idx val="1191"/>
        <c:spPr>
          <a:solidFill>
            <a:schemeClr val="accent1"/>
          </a:solidFill>
          <a:ln>
            <a:noFill/>
          </a:ln>
          <a:effectLst>
            <a:outerShdw blurRad="254000" sx="102000" sy="102000" algn="ctr" rotWithShape="0">
              <a:prstClr val="black">
                <a:alpha val="20000"/>
              </a:prstClr>
            </a:outerShdw>
          </a:effectLst>
        </c:spPr>
      </c:pivotFmt>
      <c:pivotFmt>
        <c:idx val="1192"/>
        <c:spPr>
          <a:solidFill>
            <a:schemeClr val="accent1"/>
          </a:solidFill>
          <a:ln>
            <a:noFill/>
          </a:ln>
          <a:effectLst>
            <a:outerShdw blurRad="254000" sx="102000" sy="102000" algn="ctr" rotWithShape="0">
              <a:prstClr val="black">
                <a:alpha val="20000"/>
              </a:prstClr>
            </a:outerShdw>
          </a:effectLst>
        </c:spPr>
      </c:pivotFmt>
      <c:pivotFmt>
        <c:idx val="1193"/>
        <c:spPr>
          <a:solidFill>
            <a:schemeClr val="accent1"/>
          </a:solidFill>
          <a:ln>
            <a:noFill/>
          </a:ln>
          <a:effectLst>
            <a:outerShdw blurRad="254000" sx="102000" sy="102000" algn="ctr" rotWithShape="0">
              <a:prstClr val="black">
                <a:alpha val="20000"/>
              </a:prstClr>
            </a:outerShdw>
          </a:effectLst>
        </c:spPr>
      </c:pivotFmt>
      <c:pivotFmt>
        <c:idx val="1194"/>
        <c:spPr>
          <a:solidFill>
            <a:schemeClr val="accent1"/>
          </a:solidFill>
          <a:ln>
            <a:noFill/>
          </a:ln>
          <a:effectLst>
            <a:outerShdw blurRad="254000" sx="102000" sy="102000" algn="ctr" rotWithShape="0">
              <a:prstClr val="black">
                <a:alpha val="20000"/>
              </a:prstClr>
            </a:outerShdw>
          </a:effectLst>
        </c:spPr>
      </c:pivotFmt>
      <c:pivotFmt>
        <c:idx val="1195"/>
        <c:spPr>
          <a:solidFill>
            <a:schemeClr val="accent1"/>
          </a:solidFill>
          <a:ln>
            <a:noFill/>
          </a:ln>
          <a:effectLst>
            <a:outerShdw blurRad="254000" sx="102000" sy="102000" algn="ctr" rotWithShape="0">
              <a:prstClr val="black">
                <a:alpha val="20000"/>
              </a:prstClr>
            </a:outerShdw>
          </a:effectLst>
        </c:spPr>
      </c:pivotFmt>
      <c:pivotFmt>
        <c:idx val="1196"/>
        <c:spPr>
          <a:solidFill>
            <a:schemeClr val="accent1"/>
          </a:solidFill>
          <a:ln>
            <a:noFill/>
          </a:ln>
          <a:effectLst>
            <a:outerShdw blurRad="254000" sx="102000" sy="102000" algn="ctr" rotWithShape="0">
              <a:prstClr val="black">
                <a:alpha val="20000"/>
              </a:prstClr>
            </a:outerShdw>
          </a:effectLst>
        </c:spPr>
      </c:pivotFmt>
      <c:pivotFmt>
        <c:idx val="1197"/>
        <c:spPr>
          <a:solidFill>
            <a:schemeClr val="accent1"/>
          </a:solidFill>
          <a:ln>
            <a:noFill/>
          </a:ln>
          <a:effectLst>
            <a:outerShdw blurRad="254000" sx="102000" sy="102000" algn="ctr" rotWithShape="0">
              <a:prstClr val="black">
                <a:alpha val="20000"/>
              </a:prstClr>
            </a:outerShdw>
          </a:effectLst>
        </c:spPr>
      </c:pivotFmt>
      <c:pivotFmt>
        <c:idx val="1198"/>
        <c:spPr>
          <a:solidFill>
            <a:schemeClr val="accent1"/>
          </a:solidFill>
          <a:ln>
            <a:noFill/>
          </a:ln>
          <a:effectLst>
            <a:outerShdw blurRad="254000" sx="102000" sy="102000" algn="ctr" rotWithShape="0">
              <a:prstClr val="black">
                <a:alpha val="20000"/>
              </a:prstClr>
            </a:outerShdw>
          </a:effectLst>
        </c:spPr>
      </c:pivotFmt>
      <c:pivotFmt>
        <c:idx val="1199"/>
        <c:spPr>
          <a:solidFill>
            <a:schemeClr val="accent1"/>
          </a:solidFill>
          <a:ln>
            <a:noFill/>
          </a:ln>
          <a:effectLst>
            <a:outerShdw blurRad="254000" sx="102000" sy="102000" algn="ctr" rotWithShape="0">
              <a:prstClr val="black">
                <a:alpha val="20000"/>
              </a:prstClr>
            </a:outerShdw>
          </a:effectLst>
        </c:spPr>
      </c:pivotFmt>
      <c:pivotFmt>
        <c:idx val="1200"/>
        <c:spPr>
          <a:solidFill>
            <a:schemeClr val="accent1"/>
          </a:solidFill>
          <a:ln>
            <a:noFill/>
          </a:ln>
          <a:effectLst>
            <a:outerShdw blurRad="254000" sx="102000" sy="102000" algn="ctr" rotWithShape="0">
              <a:prstClr val="black">
                <a:alpha val="20000"/>
              </a:prstClr>
            </a:outerShdw>
          </a:effectLst>
        </c:spPr>
      </c:pivotFmt>
      <c:pivotFmt>
        <c:idx val="1201"/>
        <c:spPr>
          <a:solidFill>
            <a:schemeClr val="accent1"/>
          </a:solidFill>
          <a:ln>
            <a:noFill/>
          </a:ln>
          <a:effectLst>
            <a:outerShdw blurRad="254000" sx="102000" sy="102000" algn="ctr" rotWithShape="0">
              <a:prstClr val="black">
                <a:alpha val="20000"/>
              </a:prstClr>
            </a:outerShdw>
          </a:effectLst>
        </c:spPr>
      </c:pivotFmt>
      <c:pivotFmt>
        <c:idx val="1202"/>
        <c:spPr>
          <a:solidFill>
            <a:schemeClr val="accent1"/>
          </a:solidFill>
          <a:ln>
            <a:noFill/>
          </a:ln>
          <a:effectLst>
            <a:outerShdw blurRad="254000" sx="102000" sy="102000" algn="ctr" rotWithShape="0">
              <a:prstClr val="black">
                <a:alpha val="20000"/>
              </a:prstClr>
            </a:outerShdw>
          </a:effectLst>
        </c:spPr>
      </c:pivotFmt>
      <c:pivotFmt>
        <c:idx val="1203"/>
        <c:spPr>
          <a:solidFill>
            <a:schemeClr val="accent1"/>
          </a:solidFill>
          <a:ln>
            <a:noFill/>
          </a:ln>
          <a:effectLst>
            <a:outerShdw blurRad="254000" sx="102000" sy="102000" algn="ctr" rotWithShape="0">
              <a:prstClr val="black">
                <a:alpha val="20000"/>
              </a:prstClr>
            </a:outerShdw>
          </a:effectLst>
        </c:spPr>
      </c:pivotFmt>
      <c:pivotFmt>
        <c:idx val="1204"/>
        <c:spPr>
          <a:solidFill>
            <a:schemeClr val="accent1"/>
          </a:solidFill>
          <a:ln>
            <a:noFill/>
          </a:ln>
          <a:effectLst>
            <a:outerShdw blurRad="254000" sx="102000" sy="102000" algn="ctr" rotWithShape="0">
              <a:prstClr val="black">
                <a:alpha val="20000"/>
              </a:prstClr>
            </a:outerShdw>
          </a:effectLst>
        </c:spPr>
      </c:pivotFmt>
      <c:pivotFmt>
        <c:idx val="1205"/>
        <c:spPr>
          <a:solidFill>
            <a:schemeClr val="accent1"/>
          </a:solidFill>
          <a:ln>
            <a:noFill/>
          </a:ln>
          <a:effectLst>
            <a:outerShdw blurRad="254000" sx="102000" sy="102000" algn="ctr" rotWithShape="0">
              <a:prstClr val="black">
                <a:alpha val="20000"/>
              </a:prstClr>
            </a:outerShdw>
          </a:effectLst>
        </c:spPr>
      </c:pivotFmt>
      <c:pivotFmt>
        <c:idx val="1206"/>
        <c:spPr>
          <a:solidFill>
            <a:schemeClr val="accent1"/>
          </a:solidFill>
          <a:ln>
            <a:noFill/>
          </a:ln>
          <a:effectLst>
            <a:outerShdw blurRad="254000" sx="102000" sy="102000" algn="ctr" rotWithShape="0">
              <a:prstClr val="black">
                <a:alpha val="20000"/>
              </a:prstClr>
            </a:outerShdw>
          </a:effectLst>
        </c:spPr>
      </c:pivotFmt>
      <c:pivotFmt>
        <c:idx val="1207"/>
        <c:spPr>
          <a:solidFill>
            <a:schemeClr val="accent1"/>
          </a:solidFill>
          <a:ln>
            <a:noFill/>
          </a:ln>
          <a:effectLst>
            <a:outerShdw blurRad="254000" sx="102000" sy="102000" algn="ctr" rotWithShape="0">
              <a:prstClr val="black">
                <a:alpha val="20000"/>
              </a:prstClr>
            </a:outerShdw>
          </a:effectLst>
        </c:spPr>
      </c:pivotFmt>
      <c:pivotFmt>
        <c:idx val="1208"/>
        <c:spPr>
          <a:solidFill>
            <a:schemeClr val="accent1"/>
          </a:solidFill>
          <a:ln>
            <a:noFill/>
          </a:ln>
          <a:effectLst>
            <a:outerShdw blurRad="254000" sx="102000" sy="102000" algn="ctr" rotWithShape="0">
              <a:prstClr val="black">
                <a:alpha val="20000"/>
              </a:prstClr>
            </a:outerShdw>
          </a:effectLst>
        </c:spPr>
      </c:pivotFmt>
      <c:pivotFmt>
        <c:idx val="1209"/>
        <c:spPr>
          <a:solidFill>
            <a:schemeClr val="accent1"/>
          </a:solidFill>
          <a:ln>
            <a:noFill/>
          </a:ln>
          <a:effectLst>
            <a:outerShdw blurRad="254000" sx="102000" sy="102000" algn="ctr" rotWithShape="0">
              <a:prstClr val="black">
                <a:alpha val="20000"/>
              </a:prstClr>
            </a:outerShdw>
          </a:effectLst>
        </c:spPr>
      </c:pivotFmt>
      <c:pivotFmt>
        <c:idx val="1210"/>
        <c:spPr>
          <a:solidFill>
            <a:schemeClr val="accent1"/>
          </a:solidFill>
          <a:ln>
            <a:noFill/>
          </a:ln>
          <a:effectLst>
            <a:outerShdw blurRad="254000" sx="102000" sy="102000" algn="ctr" rotWithShape="0">
              <a:prstClr val="black">
                <a:alpha val="20000"/>
              </a:prstClr>
            </a:outerShdw>
          </a:effectLst>
        </c:spPr>
      </c:pivotFmt>
      <c:pivotFmt>
        <c:idx val="1211"/>
        <c:spPr>
          <a:solidFill>
            <a:schemeClr val="accent1"/>
          </a:solidFill>
          <a:ln>
            <a:noFill/>
          </a:ln>
          <a:effectLst>
            <a:outerShdw blurRad="254000" sx="102000" sy="102000" algn="ctr" rotWithShape="0">
              <a:prstClr val="black">
                <a:alpha val="20000"/>
              </a:prstClr>
            </a:outerShdw>
          </a:effectLst>
        </c:spPr>
      </c:pivotFmt>
      <c:pivotFmt>
        <c:idx val="1212"/>
        <c:spPr>
          <a:solidFill>
            <a:schemeClr val="accent1"/>
          </a:solidFill>
          <a:ln>
            <a:noFill/>
          </a:ln>
          <a:effectLst>
            <a:outerShdw blurRad="254000" sx="102000" sy="102000" algn="ctr" rotWithShape="0">
              <a:prstClr val="black">
                <a:alpha val="20000"/>
              </a:prstClr>
            </a:outerShdw>
          </a:effectLst>
        </c:spPr>
      </c:pivotFmt>
      <c:pivotFmt>
        <c:idx val="1213"/>
        <c:spPr>
          <a:solidFill>
            <a:schemeClr val="accent1"/>
          </a:solidFill>
          <a:ln>
            <a:noFill/>
          </a:ln>
          <a:effectLst>
            <a:outerShdw blurRad="254000" sx="102000" sy="102000" algn="ctr" rotWithShape="0">
              <a:prstClr val="black">
                <a:alpha val="20000"/>
              </a:prstClr>
            </a:outerShdw>
          </a:effectLst>
        </c:spPr>
      </c:pivotFmt>
      <c:pivotFmt>
        <c:idx val="1214"/>
        <c:spPr>
          <a:solidFill>
            <a:schemeClr val="accent1"/>
          </a:solidFill>
          <a:ln>
            <a:noFill/>
          </a:ln>
          <a:effectLst>
            <a:outerShdw blurRad="254000" sx="102000" sy="102000" algn="ctr" rotWithShape="0">
              <a:prstClr val="black">
                <a:alpha val="20000"/>
              </a:prstClr>
            </a:outerShdw>
          </a:effectLst>
        </c:spPr>
      </c:pivotFmt>
      <c:pivotFmt>
        <c:idx val="1215"/>
        <c:spPr>
          <a:solidFill>
            <a:schemeClr val="accent1"/>
          </a:solidFill>
          <a:ln>
            <a:noFill/>
          </a:ln>
          <a:effectLst>
            <a:outerShdw blurRad="254000" sx="102000" sy="102000" algn="ctr" rotWithShape="0">
              <a:prstClr val="black">
                <a:alpha val="20000"/>
              </a:prstClr>
            </a:outerShdw>
          </a:effectLst>
        </c:spPr>
      </c:pivotFmt>
      <c:pivotFmt>
        <c:idx val="1216"/>
        <c:spPr>
          <a:solidFill>
            <a:schemeClr val="accent1"/>
          </a:solidFill>
          <a:ln>
            <a:noFill/>
          </a:ln>
          <a:effectLst>
            <a:outerShdw blurRad="254000" sx="102000" sy="102000" algn="ctr" rotWithShape="0">
              <a:prstClr val="black">
                <a:alpha val="20000"/>
              </a:prstClr>
            </a:outerShdw>
          </a:effectLst>
        </c:spPr>
      </c:pivotFmt>
      <c:pivotFmt>
        <c:idx val="1217"/>
        <c:spPr>
          <a:solidFill>
            <a:schemeClr val="accent1"/>
          </a:solidFill>
          <a:ln>
            <a:noFill/>
          </a:ln>
          <a:effectLst>
            <a:outerShdw blurRad="254000" sx="102000" sy="102000" algn="ctr" rotWithShape="0">
              <a:prstClr val="black">
                <a:alpha val="20000"/>
              </a:prstClr>
            </a:outerShdw>
          </a:effectLst>
        </c:spPr>
      </c:pivotFmt>
      <c:pivotFmt>
        <c:idx val="1218"/>
        <c:spPr>
          <a:solidFill>
            <a:schemeClr val="accent1"/>
          </a:solidFill>
          <a:ln>
            <a:noFill/>
          </a:ln>
          <a:effectLst>
            <a:outerShdw blurRad="254000" sx="102000" sy="102000" algn="ctr" rotWithShape="0">
              <a:prstClr val="black">
                <a:alpha val="20000"/>
              </a:prstClr>
            </a:outerShdw>
          </a:effectLst>
        </c:spPr>
      </c:pivotFmt>
      <c:pivotFmt>
        <c:idx val="1219"/>
        <c:spPr>
          <a:solidFill>
            <a:schemeClr val="accent1"/>
          </a:solidFill>
          <a:ln>
            <a:noFill/>
          </a:ln>
          <a:effectLst>
            <a:outerShdw blurRad="254000" sx="102000" sy="102000" algn="ctr" rotWithShape="0">
              <a:prstClr val="black">
                <a:alpha val="20000"/>
              </a:prstClr>
            </a:outerShdw>
          </a:effectLst>
        </c:spPr>
      </c:pivotFmt>
      <c:pivotFmt>
        <c:idx val="1220"/>
        <c:spPr>
          <a:solidFill>
            <a:schemeClr val="accent1"/>
          </a:solidFill>
          <a:ln>
            <a:noFill/>
          </a:ln>
          <a:effectLst>
            <a:outerShdw blurRad="254000" sx="102000" sy="102000" algn="ctr" rotWithShape="0">
              <a:prstClr val="black">
                <a:alpha val="20000"/>
              </a:prstClr>
            </a:outerShdw>
          </a:effectLst>
        </c:spPr>
      </c:pivotFmt>
      <c:pivotFmt>
        <c:idx val="1221"/>
        <c:spPr>
          <a:solidFill>
            <a:schemeClr val="accent1"/>
          </a:solidFill>
          <a:ln>
            <a:noFill/>
          </a:ln>
          <a:effectLst>
            <a:outerShdw blurRad="254000" sx="102000" sy="102000" algn="ctr" rotWithShape="0">
              <a:prstClr val="black">
                <a:alpha val="20000"/>
              </a:prstClr>
            </a:outerShdw>
          </a:effectLst>
        </c:spPr>
      </c:pivotFmt>
      <c:pivotFmt>
        <c:idx val="1222"/>
        <c:spPr>
          <a:solidFill>
            <a:schemeClr val="accent1"/>
          </a:solidFill>
          <a:ln>
            <a:noFill/>
          </a:ln>
          <a:effectLst>
            <a:outerShdw blurRad="254000" sx="102000" sy="102000" algn="ctr" rotWithShape="0">
              <a:prstClr val="black">
                <a:alpha val="20000"/>
              </a:prstClr>
            </a:outerShdw>
          </a:effectLst>
        </c:spPr>
      </c:pivotFmt>
      <c:pivotFmt>
        <c:idx val="1223"/>
        <c:spPr>
          <a:solidFill>
            <a:schemeClr val="accent1"/>
          </a:solidFill>
          <a:ln>
            <a:noFill/>
          </a:ln>
          <a:effectLst>
            <a:outerShdw blurRad="254000" sx="102000" sy="102000" algn="ctr" rotWithShape="0">
              <a:prstClr val="black">
                <a:alpha val="20000"/>
              </a:prstClr>
            </a:outerShdw>
          </a:effectLst>
        </c:spPr>
      </c:pivotFmt>
      <c:pivotFmt>
        <c:idx val="1224"/>
        <c:spPr>
          <a:solidFill>
            <a:schemeClr val="accent1"/>
          </a:solidFill>
          <a:ln>
            <a:noFill/>
          </a:ln>
          <a:effectLst>
            <a:outerShdw blurRad="254000" sx="102000" sy="102000" algn="ctr" rotWithShape="0">
              <a:prstClr val="black">
                <a:alpha val="20000"/>
              </a:prstClr>
            </a:outerShdw>
          </a:effectLst>
        </c:spPr>
      </c:pivotFmt>
      <c:pivotFmt>
        <c:idx val="1225"/>
        <c:spPr>
          <a:solidFill>
            <a:schemeClr val="accent1"/>
          </a:solidFill>
          <a:ln>
            <a:noFill/>
          </a:ln>
          <a:effectLst>
            <a:outerShdw blurRad="254000" sx="102000" sy="102000" algn="ctr" rotWithShape="0">
              <a:prstClr val="black">
                <a:alpha val="20000"/>
              </a:prstClr>
            </a:outerShdw>
          </a:effectLst>
        </c:spPr>
      </c:pivotFmt>
      <c:pivotFmt>
        <c:idx val="1226"/>
        <c:spPr>
          <a:solidFill>
            <a:schemeClr val="accent1"/>
          </a:solidFill>
          <a:ln>
            <a:noFill/>
          </a:ln>
          <a:effectLst>
            <a:outerShdw blurRad="254000" sx="102000" sy="102000" algn="ctr" rotWithShape="0">
              <a:prstClr val="black">
                <a:alpha val="20000"/>
              </a:prstClr>
            </a:outerShdw>
          </a:effectLst>
        </c:spPr>
      </c:pivotFmt>
      <c:pivotFmt>
        <c:idx val="1227"/>
        <c:spPr>
          <a:solidFill>
            <a:schemeClr val="accent1"/>
          </a:solidFill>
          <a:ln>
            <a:noFill/>
          </a:ln>
          <a:effectLst>
            <a:outerShdw blurRad="254000" sx="102000" sy="102000" algn="ctr" rotWithShape="0">
              <a:prstClr val="black">
                <a:alpha val="20000"/>
              </a:prstClr>
            </a:outerShdw>
          </a:effectLst>
        </c:spPr>
      </c:pivotFmt>
      <c:pivotFmt>
        <c:idx val="1228"/>
        <c:spPr>
          <a:solidFill>
            <a:schemeClr val="accent1"/>
          </a:solidFill>
          <a:ln>
            <a:noFill/>
          </a:ln>
          <a:effectLst>
            <a:outerShdw blurRad="254000" sx="102000" sy="102000" algn="ctr" rotWithShape="0">
              <a:prstClr val="black">
                <a:alpha val="20000"/>
              </a:prstClr>
            </a:outerShdw>
          </a:effectLst>
        </c:spPr>
      </c:pivotFmt>
      <c:pivotFmt>
        <c:idx val="1229"/>
        <c:spPr>
          <a:solidFill>
            <a:schemeClr val="accent1"/>
          </a:solidFill>
          <a:ln>
            <a:noFill/>
          </a:ln>
          <a:effectLst>
            <a:outerShdw blurRad="254000" sx="102000" sy="102000" algn="ctr" rotWithShape="0">
              <a:prstClr val="black">
                <a:alpha val="20000"/>
              </a:prstClr>
            </a:outerShdw>
          </a:effectLst>
        </c:spPr>
      </c:pivotFmt>
      <c:pivotFmt>
        <c:idx val="1230"/>
        <c:spPr>
          <a:solidFill>
            <a:schemeClr val="accent1"/>
          </a:solidFill>
          <a:ln>
            <a:noFill/>
          </a:ln>
          <a:effectLst>
            <a:outerShdw blurRad="254000" sx="102000" sy="102000" algn="ctr" rotWithShape="0">
              <a:prstClr val="black">
                <a:alpha val="20000"/>
              </a:prstClr>
            </a:outerShdw>
          </a:effectLst>
        </c:spPr>
      </c:pivotFmt>
      <c:pivotFmt>
        <c:idx val="1231"/>
        <c:spPr>
          <a:solidFill>
            <a:schemeClr val="accent1"/>
          </a:solidFill>
          <a:ln>
            <a:noFill/>
          </a:ln>
          <a:effectLst>
            <a:outerShdw blurRad="254000" sx="102000" sy="102000" algn="ctr" rotWithShape="0">
              <a:prstClr val="black">
                <a:alpha val="20000"/>
              </a:prstClr>
            </a:outerShdw>
          </a:effectLst>
        </c:spPr>
      </c:pivotFmt>
      <c:pivotFmt>
        <c:idx val="1232"/>
        <c:spPr>
          <a:solidFill>
            <a:schemeClr val="accent1"/>
          </a:solidFill>
          <a:ln>
            <a:noFill/>
          </a:ln>
          <a:effectLst>
            <a:outerShdw blurRad="254000" sx="102000" sy="102000" algn="ctr" rotWithShape="0">
              <a:prstClr val="black">
                <a:alpha val="20000"/>
              </a:prstClr>
            </a:outerShdw>
          </a:effectLst>
        </c:spPr>
      </c:pivotFmt>
      <c:pivotFmt>
        <c:idx val="1233"/>
        <c:spPr>
          <a:solidFill>
            <a:schemeClr val="accent1"/>
          </a:solidFill>
          <a:ln>
            <a:noFill/>
          </a:ln>
          <a:effectLst>
            <a:outerShdw blurRad="254000" sx="102000" sy="102000" algn="ctr" rotWithShape="0">
              <a:prstClr val="black">
                <a:alpha val="20000"/>
              </a:prstClr>
            </a:outerShdw>
          </a:effectLst>
        </c:spPr>
      </c:pivotFmt>
      <c:pivotFmt>
        <c:idx val="1234"/>
        <c:spPr>
          <a:solidFill>
            <a:schemeClr val="accent1"/>
          </a:solidFill>
          <a:ln>
            <a:noFill/>
          </a:ln>
          <a:effectLst>
            <a:outerShdw blurRad="254000" sx="102000" sy="102000" algn="ctr" rotWithShape="0">
              <a:prstClr val="black">
                <a:alpha val="20000"/>
              </a:prstClr>
            </a:outerShdw>
          </a:effectLst>
        </c:spPr>
      </c:pivotFmt>
      <c:pivotFmt>
        <c:idx val="1235"/>
        <c:spPr>
          <a:solidFill>
            <a:schemeClr val="accent1"/>
          </a:solidFill>
          <a:ln>
            <a:noFill/>
          </a:ln>
          <a:effectLst>
            <a:outerShdw blurRad="254000" sx="102000" sy="102000" algn="ctr" rotWithShape="0">
              <a:prstClr val="black">
                <a:alpha val="20000"/>
              </a:prstClr>
            </a:outerShdw>
          </a:effectLst>
        </c:spPr>
      </c:pivotFmt>
      <c:pivotFmt>
        <c:idx val="1236"/>
        <c:spPr>
          <a:solidFill>
            <a:schemeClr val="accent1"/>
          </a:solidFill>
          <a:ln>
            <a:noFill/>
          </a:ln>
          <a:effectLst>
            <a:outerShdw blurRad="254000" sx="102000" sy="102000" algn="ctr" rotWithShape="0">
              <a:prstClr val="black">
                <a:alpha val="20000"/>
              </a:prstClr>
            </a:outerShdw>
          </a:effectLst>
        </c:spPr>
      </c:pivotFmt>
      <c:pivotFmt>
        <c:idx val="1237"/>
        <c:spPr>
          <a:solidFill>
            <a:schemeClr val="accent1"/>
          </a:solidFill>
          <a:ln>
            <a:noFill/>
          </a:ln>
          <a:effectLst>
            <a:outerShdw blurRad="254000" sx="102000" sy="102000" algn="ctr" rotWithShape="0">
              <a:prstClr val="black">
                <a:alpha val="20000"/>
              </a:prstClr>
            </a:outerShdw>
          </a:effectLst>
        </c:spPr>
      </c:pivotFmt>
      <c:pivotFmt>
        <c:idx val="1238"/>
        <c:spPr>
          <a:solidFill>
            <a:schemeClr val="accent1"/>
          </a:solidFill>
          <a:ln>
            <a:noFill/>
          </a:ln>
          <a:effectLst>
            <a:outerShdw blurRad="254000" sx="102000" sy="102000" algn="ctr" rotWithShape="0">
              <a:prstClr val="black">
                <a:alpha val="20000"/>
              </a:prstClr>
            </a:outerShdw>
          </a:effectLst>
        </c:spPr>
      </c:pivotFmt>
      <c:pivotFmt>
        <c:idx val="1239"/>
        <c:spPr>
          <a:solidFill>
            <a:schemeClr val="accent1"/>
          </a:solidFill>
          <a:ln>
            <a:noFill/>
          </a:ln>
          <a:effectLst>
            <a:outerShdw blurRad="254000" sx="102000" sy="102000" algn="ctr" rotWithShape="0">
              <a:prstClr val="black">
                <a:alpha val="20000"/>
              </a:prstClr>
            </a:outerShdw>
          </a:effectLst>
        </c:spPr>
      </c:pivotFmt>
      <c:pivotFmt>
        <c:idx val="1240"/>
        <c:spPr>
          <a:solidFill>
            <a:schemeClr val="accent1"/>
          </a:solidFill>
          <a:ln>
            <a:noFill/>
          </a:ln>
          <a:effectLst>
            <a:outerShdw blurRad="254000" sx="102000" sy="102000" algn="ctr" rotWithShape="0">
              <a:prstClr val="black">
                <a:alpha val="20000"/>
              </a:prstClr>
            </a:outerShdw>
          </a:effectLst>
        </c:spPr>
      </c:pivotFmt>
      <c:pivotFmt>
        <c:idx val="1241"/>
        <c:spPr>
          <a:solidFill>
            <a:schemeClr val="accent1"/>
          </a:solidFill>
          <a:ln>
            <a:noFill/>
          </a:ln>
          <a:effectLst>
            <a:outerShdw blurRad="254000" sx="102000" sy="102000" algn="ctr" rotWithShape="0">
              <a:prstClr val="black">
                <a:alpha val="20000"/>
              </a:prstClr>
            </a:outerShdw>
          </a:effectLst>
        </c:spPr>
      </c:pivotFmt>
      <c:pivotFmt>
        <c:idx val="1242"/>
        <c:spPr>
          <a:solidFill>
            <a:schemeClr val="accent1"/>
          </a:solidFill>
          <a:ln>
            <a:noFill/>
          </a:ln>
          <a:effectLst>
            <a:outerShdw blurRad="254000" sx="102000" sy="102000" algn="ctr" rotWithShape="0">
              <a:prstClr val="black">
                <a:alpha val="20000"/>
              </a:prstClr>
            </a:outerShdw>
          </a:effectLst>
        </c:spPr>
      </c:pivotFmt>
      <c:pivotFmt>
        <c:idx val="1243"/>
        <c:spPr>
          <a:solidFill>
            <a:schemeClr val="accent1"/>
          </a:solidFill>
          <a:ln>
            <a:noFill/>
          </a:ln>
          <a:effectLst>
            <a:outerShdw blurRad="254000" sx="102000" sy="102000" algn="ctr" rotWithShape="0">
              <a:prstClr val="black">
                <a:alpha val="20000"/>
              </a:prstClr>
            </a:outerShdw>
          </a:effectLst>
        </c:spPr>
      </c:pivotFmt>
      <c:pivotFmt>
        <c:idx val="1244"/>
        <c:spPr>
          <a:solidFill>
            <a:schemeClr val="accent1"/>
          </a:solidFill>
          <a:ln>
            <a:noFill/>
          </a:ln>
          <a:effectLst>
            <a:outerShdw blurRad="254000" sx="102000" sy="102000" algn="ctr" rotWithShape="0">
              <a:prstClr val="black">
                <a:alpha val="20000"/>
              </a:prstClr>
            </a:outerShdw>
          </a:effectLst>
        </c:spPr>
      </c:pivotFmt>
      <c:pivotFmt>
        <c:idx val="1245"/>
        <c:spPr>
          <a:solidFill>
            <a:schemeClr val="accent1"/>
          </a:solidFill>
          <a:ln>
            <a:noFill/>
          </a:ln>
          <a:effectLst>
            <a:outerShdw blurRad="254000" sx="102000" sy="102000" algn="ctr" rotWithShape="0">
              <a:prstClr val="black">
                <a:alpha val="20000"/>
              </a:prstClr>
            </a:outerShdw>
          </a:effectLst>
        </c:spPr>
      </c:pivotFmt>
      <c:pivotFmt>
        <c:idx val="1246"/>
        <c:spPr>
          <a:solidFill>
            <a:schemeClr val="accent1"/>
          </a:solidFill>
          <a:ln>
            <a:noFill/>
          </a:ln>
          <a:effectLst>
            <a:outerShdw blurRad="254000" sx="102000" sy="102000" algn="ctr" rotWithShape="0">
              <a:prstClr val="black">
                <a:alpha val="20000"/>
              </a:prstClr>
            </a:outerShdw>
          </a:effectLst>
        </c:spPr>
      </c:pivotFmt>
      <c:pivotFmt>
        <c:idx val="1247"/>
        <c:spPr>
          <a:solidFill>
            <a:schemeClr val="accent1"/>
          </a:solidFill>
          <a:ln>
            <a:noFill/>
          </a:ln>
          <a:effectLst>
            <a:outerShdw blurRad="254000" sx="102000" sy="102000" algn="ctr" rotWithShape="0">
              <a:prstClr val="black">
                <a:alpha val="20000"/>
              </a:prstClr>
            </a:outerShdw>
          </a:effectLst>
        </c:spPr>
      </c:pivotFmt>
      <c:pivotFmt>
        <c:idx val="1248"/>
        <c:spPr>
          <a:solidFill>
            <a:schemeClr val="accent1"/>
          </a:solidFill>
          <a:ln>
            <a:noFill/>
          </a:ln>
          <a:effectLst>
            <a:outerShdw blurRad="254000" sx="102000" sy="102000" algn="ctr" rotWithShape="0">
              <a:prstClr val="black">
                <a:alpha val="20000"/>
              </a:prstClr>
            </a:outerShdw>
          </a:effectLst>
        </c:spPr>
      </c:pivotFmt>
      <c:pivotFmt>
        <c:idx val="1249"/>
        <c:spPr>
          <a:solidFill>
            <a:schemeClr val="accent1"/>
          </a:solidFill>
          <a:ln>
            <a:noFill/>
          </a:ln>
          <a:effectLst>
            <a:outerShdw blurRad="254000" sx="102000" sy="102000" algn="ctr" rotWithShape="0">
              <a:prstClr val="black">
                <a:alpha val="20000"/>
              </a:prstClr>
            </a:outerShdw>
          </a:effectLst>
        </c:spPr>
      </c:pivotFmt>
      <c:pivotFmt>
        <c:idx val="1250"/>
        <c:spPr>
          <a:solidFill>
            <a:schemeClr val="accent1"/>
          </a:solidFill>
          <a:ln>
            <a:noFill/>
          </a:ln>
          <a:effectLst>
            <a:outerShdw blurRad="254000" sx="102000" sy="102000" algn="ctr" rotWithShape="0">
              <a:prstClr val="black">
                <a:alpha val="20000"/>
              </a:prstClr>
            </a:outerShdw>
          </a:effectLst>
        </c:spPr>
      </c:pivotFmt>
      <c:pivotFmt>
        <c:idx val="1251"/>
        <c:spPr>
          <a:solidFill>
            <a:schemeClr val="accent1"/>
          </a:solidFill>
          <a:ln>
            <a:noFill/>
          </a:ln>
          <a:effectLst>
            <a:outerShdw blurRad="254000" sx="102000" sy="102000" algn="ctr" rotWithShape="0">
              <a:prstClr val="black">
                <a:alpha val="20000"/>
              </a:prstClr>
            </a:outerShdw>
          </a:effectLst>
        </c:spPr>
      </c:pivotFmt>
      <c:pivotFmt>
        <c:idx val="1252"/>
        <c:spPr>
          <a:solidFill>
            <a:schemeClr val="accent1"/>
          </a:solidFill>
          <a:ln>
            <a:noFill/>
          </a:ln>
          <a:effectLst>
            <a:outerShdw blurRad="254000" sx="102000" sy="102000" algn="ctr" rotWithShape="0">
              <a:prstClr val="black">
                <a:alpha val="20000"/>
              </a:prstClr>
            </a:outerShdw>
          </a:effectLst>
        </c:spPr>
      </c:pivotFmt>
      <c:pivotFmt>
        <c:idx val="1253"/>
        <c:spPr>
          <a:solidFill>
            <a:schemeClr val="accent1"/>
          </a:solidFill>
          <a:ln>
            <a:noFill/>
          </a:ln>
          <a:effectLst>
            <a:outerShdw blurRad="254000" sx="102000" sy="102000" algn="ctr" rotWithShape="0">
              <a:prstClr val="black">
                <a:alpha val="20000"/>
              </a:prstClr>
            </a:outerShdw>
          </a:effectLst>
        </c:spPr>
      </c:pivotFmt>
      <c:pivotFmt>
        <c:idx val="1254"/>
        <c:spPr>
          <a:solidFill>
            <a:schemeClr val="accent1"/>
          </a:solidFill>
          <a:ln>
            <a:noFill/>
          </a:ln>
          <a:effectLst>
            <a:outerShdw blurRad="254000" sx="102000" sy="102000" algn="ctr" rotWithShape="0">
              <a:prstClr val="black">
                <a:alpha val="20000"/>
              </a:prstClr>
            </a:outerShdw>
          </a:effectLst>
        </c:spPr>
      </c:pivotFmt>
      <c:pivotFmt>
        <c:idx val="1255"/>
        <c:spPr>
          <a:solidFill>
            <a:schemeClr val="accent1"/>
          </a:solidFill>
          <a:ln>
            <a:noFill/>
          </a:ln>
          <a:effectLst>
            <a:outerShdw blurRad="254000" sx="102000" sy="102000" algn="ctr" rotWithShape="0">
              <a:prstClr val="black">
                <a:alpha val="20000"/>
              </a:prstClr>
            </a:outerShdw>
          </a:effectLst>
        </c:spPr>
      </c:pivotFmt>
      <c:pivotFmt>
        <c:idx val="1256"/>
        <c:spPr>
          <a:solidFill>
            <a:schemeClr val="accent1"/>
          </a:solidFill>
          <a:ln>
            <a:noFill/>
          </a:ln>
          <a:effectLst>
            <a:outerShdw blurRad="254000" sx="102000" sy="102000" algn="ctr" rotWithShape="0">
              <a:prstClr val="black">
                <a:alpha val="20000"/>
              </a:prstClr>
            </a:outerShdw>
          </a:effectLst>
        </c:spPr>
      </c:pivotFmt>
      <c:pivotFmt>
        <c:idx val="1257"/>
        <c:spPr>
          <a:solidFill>
            <a:schemeClr val="accent1"/>
          </a:solidFill>
          <a:ln>
            <a:noFill/>
          </a:ln>
          <a:effectLst>
            <a:outerShdw blurRad="254000" sx="102000" sy="102000" algn="ctr" rotWithShape="0">
              <a:prstClr val="black">
                <a:alpha val="20000"/>
              </a:prstClr>
            </a:outerShdw>
          </a:effectLst>
        </c:spPr>
      </c:pivotFmt>
      <c:pivotFmt>
        <c:idx val="1258"/>
        <c:spPr>
          <a:solidFill>
            <a:schemeClr val="accent1"/>
          </a:solidFill>
          <a:ln>
            <a:noFill/>
          </a:ln>
          <a:effectLst>
            <a:outerShdw blurRad="254000" sx="102000" sy="102000" algn="ctr" rotWithShape="0">
              <a:prstClr val="black">
                <a:alpha val="20000"/>
              </a:prstClr>
            </a:outerShdw>
          </a:effectLst>
        </c:spPr>
      </c:pivotFmt>
      <c:pivotFmt>
        <c:idx val="1259"/>
        <c:spPr>
          <a:solidFill>
            <a:schemeClr val="accent1"/>
          </a:solidFill>
          <a:ln>
            <a:noFill/>
          </a:ln>
          <a:effectLst>
            <a:outerShdw blurRad="254000" sx="102000" sy="102000" algn="ctr" rotWithShape="0">
              <a:prstClr val="black">
                <a:alpha val="20000"/>
              </a:prstClr>
            </a:outerShdw>
          </a:effectLst>
        </c:spPr>
      </c:pivotFmt>
      <c:pivotFmt>
        <c:idx val="1260"/>
        <c:spPr>
          <a:solidFill>
            <a:schemeClr val="accent1"/>
          </a:solidFill>
          <a:ln>
            <a:noFill/>
          </a:ln>
          <a:effectLst>
            <a:outerShdw blurRad="254000" sx="102000" sy="102000" algn="ctr" rotWithShape="0">
              <a:prstClr val="black">
                <a:alpha val="20000"/>
              </a:prstClr>
            </a:outerShdw>
          </a:effectLst>
        </c:spPr>
      </c:pivotFmt>
      <c:pivotFmt>
        <c:idx val="1261"/>
        <c:spPr>
          <a:solidFill>
            <a:schemeClr val="accent1"/>
          </a:solidFill>
          <a:ln>
            <a:noFill/>
          </a:ln>
          <a:effectLst>
            <a:outerShdw blurRad="254000" sx="102000" sy="102000" algn="ctr" rotWithShape="0">
              <a:prstClr val="black">
                <a:alpha val="20000"/>
              </a:prstClr>
            </a:outerShdw>
          </a:effectLst>
        </c:spPr>
      </c:pivotFmt>
      <c:pivotFmt>
        <c:idx val="1262"/>
        <c:spPr>
          <a:solidFill>
            <a:schemeClr val="accent1"/>
          </a:solidFill>
          <a:ln>
            <a:noFill/>
          </a:ln>
          <a:effectLst>
            <a:outerShdw blurRad="254000" sx="102000" sy="102000" algn="ctr" rotWithShape="0">
              <a:prstClr val="black">
                <a:alpha val="20000"/>
              </a:prstClr>
            </a:outerShdw>
          </a:effectLst>
        </c:spPr>
      </c:pivotFmt>
      <c:pivotFmt>
        <c:idx val="1263"/>
        <c:spPr>
          <a:solidFill>
            <a:schemeClr val="accent1"/>
          </a:solidFill>
          <a:ln>
            <a:noFill/>
          </a:ln>
          <a:effectLst>
            <a:outerShdw blurRad="254000" sx="102000" sy="102000" algn="ctr" rotWithShape="0">
              <a:prstClr val="black">
                <a:alpha val="20000"/>
              </a:prstClr>
            </a:outerShdw>
          </a:effectLst>
        </c:spPr>
      </c:pivotFmt>
      <c:pivotFmt>
        <c:idx val="1264"/>
        <c:spPr>
          <a:solidFill>
            <a:schemeClr val="accent1"/>
          </a:solidFill>
          <a:ln>
            <a:noFill/>
          </a:ln>
          <a:effectLst>
            <a:outerShdw blurRad="254000" sx="102000" sy="102000" algn="ctr" rotWithShape="0">
              <a:prstClr val="black">
                <a:alpha val="20000"/>
              </a:prstClr>
            </a:outerShdw>
          </a:effectLst>
        </c:spPr>
      </c:pivotFmt>
      <c:pivotFmt>
        <c:idx val="1265"/>
        <c:spPr>
          <a:solidFill>
            <a:schemeClr val="accent1"/>
          </a:solidFill>
          <a:ln>
            <a:noFill/>
          </a:ln>
          <a:effectLst>
            <a:outerShdw blurRad="254000" sx="102000" sy="102000" algn="ctr" rotWithShape="0">
              <a:prstClr val="black">
                <a:alpha val="20000"/>
              </a:prstClr>
            </a:outerShdw>
          </a:effectLst>
        </c:spPr>
      </c:pivotFmt>
      <c:pivotFmt>
        <c:idx val="1266"/>
        <c:spPr>
          <a:solidFill>
            <a:schemeClr val="accent1"/>
          </a:solidFill>
          <a:ln>
            <a:noFill/>
          </a:ln>
          <a:effectLst>
            <a:outerShdw blurRad="254000" sx="102000" sy="102000" algn="ctr" rotWithShape="0">
              <a:prstClr val="black">
                <a:alpha val="20000"/>
              </a:prstClr>
            </a:outerShdw>
          </a:effectLst>
        </c:spPr>
      </c:pivotFmt>
      <c:pivotFmt>
        <c:idx val="1267"/>
        <c:spPr>
          <a:solidFill>
            <a:schemeClr val="accent1"/>
          </a:solidFill>
          <a:ln>
            <a:noFill/>
          </a:ln>
          <a:effectLst>
            <a:outerShdw blurRad="254000" sx="102000" sy="102000" algn="ctr" rotWithShape="0">
              <a:prstClr val="black">
                <a:alpha val="20000"/>
              </a:prstClr>
            </a:outerShdw>
          </a:effectLst>
        </c:spPr>
      </c:pivotFmt>
      <c:pivotFmt>
        <c:idx val="1268"/>
        <c:spPr>
          <a:solidFill>
            <a:schemeClr val="accent1"/>
          </a:solidFill>
          <a:ln>
            <a:noFill/>
          </a:ln>
          <a:effectLst>
            <a:outerShdw blurRad="254000" sx="102000" sy="102000" algn="ctr" rotWithShape="0">
              <a:prstClr val="black">
                <a:alpha val="20000"/>
              </a:prstClr>
            </a:outerShdw>
          </a:effectLst>
        </c:spPr>
      </c:pivotFmt>
      <c:pivotFmt>
        <c:idx val="1269"/>
        <c:spPr>
          <a:solidFill>
            <a:schemeClr val="accent1"/>
          </a:solidFill>
          <a:ln>
            <a:noFill/>
          </a:ln>
          <a:effectLst>
            <a:outerShdw blurRad="254000" sx="102000" sy="102000" algn="ctr" rotWithShape="0">
              <a:prstClr val="black">
                <a:alpha val="20000"/>
              </a:prstClr>
            </a:outerShdw>
          </a:effectLst>
        </c:spPr>
      </c:pivotFmt>
      <c:pivotFmt>
        <c:idx val="1270"/>
        <c:spPr>
          <a:solidFill>
            <a:schemeClr val="accent1"/>
          </a:solidFill>
          <a:ln>
            <a:noFill/>
          </a:ln>
          <a:effectLst>
            <a:outerShdw blurRad="254000" sx="102000" sy="102000" algn="ctr" rotWithShape="0">
              <a:prstClr val="black">
                <a:alpha val="20000"/>
              </a:prstClr>
            </a:outerShdw>
          </a:effectLst>
        </c:spPr>
      </c:pivotFmt>
      <c:pivotFmt>
        <c:idx val="1271"/>
        <c:spPr>
          <a:solidFill>
            <a:schemeClr val="accent1"/>
          </a:solidFill>
          <a:ln>
            <a:noFill/>
          </a:ln>
          <a:effectLst>
            <a:outerShdw blurRad="254000" sx="102000" sy="102000" algn="ctr" rotWithShape="0">
              <a:prstClr val="black">
                <a:alpha val="20000"/>
              </a:prstClr>
            </a:outerShdw>
          </a:effectLst>
        </c:spPr>
      </c:pivotFmt>
      <c:pivotFmt>
        <c:idx val="1272"/>
        <c:spPr>
          <a:solidFill>
            <a:schemeClr val="accent1"/>
          </a:solidFill>
          <a:ln>
            <a:noFill/>
          </a:ln>
          <a:effectLst>
            <a:outerShdw blurRad="254000" sx="102000" sy="102000" algn="ctr" rotWithShape="0">
              <a:prstClr val="black">
                <a:alpha val="20000"/>
              </a:prstClr>
            </a:outerShdw>
          </a:effectLst>
        </c:spPr>
      </c:pivotFmt>
      <c:pivotFmt>
        <c:idx val="1273"/>
        <c:spPr>
          <a:solidFill>
            <a:schemeClr val="accent1"/>
          </a:solidFill>
          <a:ln>
            <a:noFill/>
          </a:ln>
          <a:effectLst>
            <a:outerShdw blurRad="254000" sx="102000" sy="102000" algn="ctr" rotWithShape="0">
              <a:prstClr val="black">
                <a:alpha val="20000"/>
              </a:prstClr>
            </a:outerShdw>
          </a:effectLst>
        </c:spPr>
      </c:pivotFmt>
      <c:pivotFmt>
        <c:idx val="1274"/>
        <c:spPr>
          <a:solidFill>
            <a:schemeClr val="accent1"/>
          </a:solidFill>
          <a:ln>
            <a:noFill/>
          </a:ln>
          <a:effectLst>
            <a:outerShdw blurRad="254000" sx="102000" sy="102000" algn="ctr" rotWithShape="0">
              <a:prstClr val="black">
                <a:alpha val="20000"/>
              </a:prstClr>
            </a:outerShdw>
          </a:effectLst>
        </c:spPr>
      </c:pivotFmt>
      <c:pivotFmt>
        <c:idx val="1275"/>
        <c:spPr>
          <a:solidFill>
            <a:schemeClr val="accent1"/>
          </a:solidFill>
          <a:ln>
            <a:noFill/>
          </a:ln>
          <a:effectLst>
            <a:outerShdw blurRad="254000" sx="102000" sy="102000" algn="ctr" rotWithShape="0">
              <a:prstClr val="black">
                <a:alpha val="20000"/>
              </a:prstClr>
            </a:outerShdw>
          </a:effectLst>
        </c:spPr>
      </c:pivotFmt>
      <c:pivotFmt>
        <c:idx val="1276"/>
        <c:spPr>
          <a:solidFill>
            <a:schemeClr val="accent1"/>
          </a:solidFill>
          <a:ln>
            <a:noFill/>
          </a:ln>
          <a:effectLst>
            <a:outerShdw blurRad="254000" sx="102000" sy="102000" algn="ctr" rotWithShape="0">
              <a:prstClr val="black">
                <a:alpha val="20000"/>
              </a:prstClr>
            </a:outerShdw>
          </a:effectLst>
        </c:spPr>
      </c:pivotFmt>
      <c:pivotFmt>
        <c:idx val="1277"/>
        <c:spPr>
          <a:solidFill>
            <a:schemeClr val="accent1"/>
          </a:solidFill>
          <a:ln>
            <a:noFill/>
          </a:ln>
          <a:effectLst>
            <a:outerShdw blurRad="254000" sx="102000" sy="102000" algn="ctr" rotWithShape="0">
              <a:prstClr val="black">
                <a:alpha val="20000"/>
              </a:prstClr>
            </a:outerShdw>
          </a:effectLst>
        </c:spPr>
      </c:pivotFmt>
      <c:pivotFmt>
        <c:idx val="1278"/>
        <c:spPr>
          <a:solidFill>
            <a:schemeClr val="accent1"/>
          </a:solidFill>
          <a:ln>
            <a:noFill/>
          </a:ln>
          <a:effectLst>
            <a:outerShdw blurRad="254000" sx="102000" sy="102000" algn="ctr" rotWithShape="0">
              <a:prstClr val="black">
                <a:alpha val="20000"/>
              </a:prstClr>
            </a:outerShdw>
          </a:effectLst>
        </c:spPr>
      </c:pivotFmt>
      <c:pivotFmt>
        <c:idx val="1279"/>
        <c:spPr>
          <a:solidFill>
            <a:schemeClr val="accent1"/>
          </a:solidFill>
          <a:ln>
            <a:noFill/>
          </a:ln>
          <a:effectLst>
            <a:outerShdw blurRad="254000" sx="102000" sy="102000" algn="ctr" rotWithShape="0">
              <a:prstClr val="black">
                <a:alpha val="20000"/>
              </a:prstClr>
            </a:outerShdw>
          </a:effectLst>
        </c:spPr>
      </c:pivotFmt>
      <c:pivotFmt>
        <c:idx val="1280"/>
        <c:spPr>
          <a:solidFill>
            <a:schemeClr val="accent1"/>
          </a:solidFill>
          <a:ln>
            <a:noFill/>
          </a:ln>
          <a:effectLst>
            <a:outerShdw blurRad="254000" sx="102000" sy="102000" algn="ctr" rotWithShape="0">
              <a:prstClr val="black">
                <a:alpha val="20000"/>
              </a:prstClr>
            </a:outerShdw>
          </a:effectLst>
        </c:spPr>
      </c:pivotFmt>
      <c:pivotFmt>
        <c:idx val="1281"/>
        <c:spPr>
          <a:solidFill>
            <a:schemeClr val="accent1"/>
          </a:solidFill>
          <a:ln>
            <a:noFill/>
          </a:ln>
          <a:effectLst>
            <a:outerShdw blurRad="254000" sx="102000" sy="102000" algn="ctr" rotWithShape="0">
              <a:prstClr val="black">
                <a:alpha val="20000"/>
              </a:prstClr>
            </a:outerShdw>
          </a:effectLst>
        </c:spPr>
      </c:pivotFmt>
      <c:pivotFmt>
        <c:idx val="1282"/>
        <c:spPr>
          <a:solidFill>
            <a:schemeClr val="accent1"/>
          </a:solidFill>
          <a:ln>
            <a:noFill/>
          </a:ln>
          <a:effectLst>
            <a:outerShdw blurRad="254000" sx="102000" sy="102000" algn="ctr" rotWithShape="0">
              <a:prstClr val="black">
                <a:alpha val="20000"/>
              </a:prstClr>
            </a:outerShdw>
          </a:effectLst>
        </c:spPr>
      </c:pivotFmt>
      <c:pivotFmt>
        <c:idx val="1283"/>
        <c:spPr>
          <a:solidFill>
            <a:schemeClr val="accent1"/>
          </a:solidFill>
          <a:ln>
            <a:noFill/>
          </a:ln>
          <a:effectLst>
            <a:outerShdw blurRad="254000" sx="102000" sy="102000" algn="ctr" rotWithShape="0">
              <a:prstClr val="black">
                <a:alpha val="20000"/>
              </a:prstClr>
            </a:outerShdw>
          </a:effectLst>
        </c:spPr>
      </c:pivotFmt>
      <c:pivotFmt>
        <c:idx val="1284"/>
        <c:spPr>
          <a:solidFill>
            <a:schemeClr val="accent1"/>
          </a:solidFill>
          <a:ln>
            <a:noFill/>
          </a:ln>
          <a:effectLst>
            <a:outerShdw blurRad="254000" sx="102000" sy="102000" algn="ctr" rotWithShape="0">
              <a:prstClr val="black">
                <a:alpha val="20000"/>
              </a:prstClr>
            </a:outerShdw>
          </a:effectLst>
        </c:spPr>
      </c:pivotFmt>
      <c:pivotFmt>
        <c:idx val="1285"/>
        <c:spPr>
          <a:solidFill>
            <a:schemeClr val="accent1"/>
          </a:solidFill>
          <a:ln>
            <a:noFill/>
          </a:ln>
          <a:effectLst>
            <a:outerShdw blurRad="254000" sx="102000" sy="102000" algn="ctr" rotWithShape="0">
              <a:prstClr val="black">
                <a:alpha val="20000"/>
              </a:prstClr>
            </a:outerShdw>
          </a:effectLst>
        </c:spPr>
      </c:pivotFmt>
      <c:pivotFmt>
        <c:idx val="1286"/>
        <c:spPr>
          <a:solidFill>
            <a:schemeClr val="accent1"/>
          </a:solidFill>
          <a:ln>
            <a:noFill/>
          </a:ln>
          <a:effectLst>
            <a:outerShdw blurRad="254000" sx="102000" sy="102000" algn="ctr" rotWithShape="0">
              <a:prstClr val="black">
                <a:alpha val="20000"/>
              </a:prstClr>
            </a:outerShdw>
          </a:effectLst>
        </c:spPr>
      </c:pivotFmt>
      <c:pivotFmt>
        <c:idx val="1287"/>
        <c:spPr>
          <a:solidFill>
            <a:schemeClr val="accent1"/>
          </a:solidFill>
          <a:ln>
            <a:noFill/>
          </a:ln>
          <a:effectLst>
            <a:outerShdw blurRad="254000" sx="102000" sy="102000" algn="ctr" rotWithShape="0">
              <a:prstClr val="black">
                <a:alpha val="20000"/>
              </a:prstClr>
            </a:outerShdw>
          </a:effectLst>
        </c:spPr>
      </c:pivotFmt>
      <c:pivotFmt>
        <c:idx val="1288"/>
        <c:spPr>
          <a:solidFill>
            <a:schemeClr val="accent1"/>
          </a:solidFill>
          <a:ln>
            <a:noFill/>
          </a:ln>
          <a:effectLst>
            <a:outerShdw blurRad="254000" sx="102000" sy="102000" algn="ctr" rotWithShape="0">
              <a:prstClr val="black">
                <a:alpha val="20000"/>
              </a:prstClr>
            </a:outerShdw>
          </a:effectLst>
        </c:spPr>
      </c:pivotFmt>
      <c:pivotFmt>
        <c:idx val="1289"/>
        <c:spPr>
          <a:solidFill>
            <a:schemeClr val="accent1"/>
          </a:solidFill>
          <a:ln>
            <a:noFill/>
          </a:ln>
          <a:effectLst>
            <a:outerShdw blurRad="254000" sx="102000" sy="102000" algn="ctr" rotWithShape="0">
              <a:prstClr val="black">
                <a:alpha val="20000"/>
              </a:prstClr>
            </a:outerShdw>
          </a:effectLst>
        </c:spPr>
      </c:pivotFmt>
      <c:pivotFmt>
        <c:idx val="1290"/>
        <c:spPr>
          <a:solidFill>
            <a:schemeClr val="accent1"/>
          </a:solidFill>
          <a:ln>
            <a:noFill/>
          </a:ln>
          <a:effectLst>
            <a:outerShdw blurRad="254000" sx="102000" sy="102000" algn="ctr" rotWithShape="0">
              <a:prstClr val="black">
                <a:alpha val="20000"/>
              </a:prstClr>
            </a:outerShdw>
          </a:effectLst>
        </c:spPr>
      </c:pivotFmt>
      <c:pivotFmt>
        <c:idx val="1291"/>
        <c:spPr>
          <a:solidFill>
            <a:schemeClr val="accent1"/>
          </a:solidFill>
          <a:ln>
            <a:noFill/>
          </a:ln>
          <a:effectLst>
            <a:outerShdw blurRad="254000" sx="102000" sy="102000" algn="ctr" rotWithShape="0">
              <a:prstClr val="black">
                <a:alpha val="20000"/>
              </a:prstClr>
            </a:outerShdw>
          </a:effectLst>
        </c:spPr>
      </c:pivotFmt>
      <c:pivotFmt>
        <c:idx val="1292"/>
        <c:spPr>
          <a:solidFill>
            <a:schemeClr val="accent1"/>
          </a:solidFill>
          <a:ln>
            <a:noFill/>
          </a:ln>
          <a:effectLst>
            <a:outerShdw blurRad="254000" sx="102000" sy="102000" algn="ctr" rotWithShape="0">
              <a:prstClr val="black">
                <a:alpha val="20000"/>
              </a:prstClr>
            </a:outerShdw>
          </a:effectLst>
        </c:spPr>
      </c:pivotFmt>
      <c:pivotFmt>
        <c:idx val="1293"/>
        <c:spPr>
          <a:solidFill>
            <a:schemeClr val="accent1"/>
          </a:solidFill>
          <a:ln>
            <a:noFill/>
          </a:ln>
          <a:effectLst>
            <a:outerShdw blurRad="254000" sx="102000" sy="102000" algn="ctr" rotWithShape="0">
              <a:prstClr val="black">
                <a:alpha val="20000"/>
              </a:prstClr>
            </a:outerShdw>
          </a:effectLst>
        </c:spPr>
      </c:pivotFmt>
      <c:pivotFmt>
        <c:idx val="1294"/>
        <c:spPr>
          <a:solidFill>
            <a:schemeClr val="accent1"/>
          </a:solidFill>
          <a:ln>
            <a:noFill/>
          </a:ln>
          <a:effectLst>
            <a:outerShdw blurRad="254000" sx="102000" sy="102000" algn="ctr" rotWithShape="0">
              <a:prstClr val="black">
                <a:alpha val="20000"/>
              </a:prstClr>
            </a:outerShdw>
          </a:effectLst>
        </c:spPr>
      </c:pivotFmt>
      <c:pivotFmt>
        <c:idx val="1295"/>
        <c:spPr>
          <a:solidFill>
            <a:schemeClr val="accent1"/>
          </a:solidFill>
          <a:ln>
            <a:noFill/>
          </a:ln>
          <a:effectLst>
            <a:outerShdw blurRad="254000" sx="102000" sy="102000" algn="ctr" rotWithShape="0">
              <a:prstClr val="black">
                <a:alpha val="20000"/>
              </a:prstClr>
            </a:outerShdw>
          </a:effectLst>
        </c:spPr>
      </c:pivotFmt>
      <c:pivotFmt>
        <c:idx val="1296"/>
        <c:spPr>
          <a:solidFill>
            <a:schemeClr val="accent1"/>
          </a:solidFill>
          <a:ln>
            <a:noFill/>
          </a:ln>
          <a:effectLst>
            <a:outerShdw blurRad="254000" sx="102000" sy="102000" algn="ctr" rotWithShape="0">
              <a:prstClr val="black">
                <a:alpha val="20000"/>
              </a:prstClr>
            </a:outerShdw>
          </a:effectLst>
        </c:spPr>
      </c:pivotFmt>
      <c:pivotFmt>
        <c:idx val="1297"/>
        <c:spPr>
          <a:solidFill>
            <a:schemeClr val="accent1"/>
          </a:solidFill>
          <a:ln>
            <a:noFill/>
          </a:ln>
          <a:effectLst>
            <a:outerShdw blurRad="254000" sx="102000" sy="102000" algn="ctr" rotWithShape="0">
              <a:prstClr val="black">
                <a:alpha val="20000"/>
              </a:prstClr>
            </a:outerShdw>
          </a:effectLst>
        </c:spPr>
      </c:pivotFmt>
      <c:pivotFmt>
        <c:idx val="1298"/>
        <c:spPr>
          <a:solidFill>
            <a:schemeClr val="accent1"/>
          </a:solidFill>
          <a:ln>
            <a:noFill/>
          </a:ln>
          <a:effectLst>
            <a:outerShdw blurRad="254000" sx="102000" sy="102000" algn="ctr" rotWithShape="0">
              <a:prstClr val="black">
                <a:alpha val="20000"/>
              </a:prstClr>
            </a:outerShdw>
          </a:effectLst>
        </c:spPr>
      </c:pivotFmt>
      <c:pivotFmt>
        <c:idx val="1299"/>
        <c:spPr>
          <a:solidFill>
            <a:schemeClr val="accent1"/>
          </a:solidFill>
          <a:ln>
            <a:noFill/>
          </a:ln>
          <a:effectLst>
            <a:outerShdw blurRad="254000" sx="102000" sy="102000" algn="ctr" rotWithShape="0">
              <a:prstClr val="black">
                <a:alpha val="20000"/>
              </a:prstClr>
            </a:outerShdw>
          </a:effectLst>
        </c:spPr>
      </c:pivotFmt>
      <c:pivotFmt>
        <c:idx val="1300"/>
        <c:spPr>
          <a:solidFill>
            <a:schemeClr val="accent1"/>
          </a:solidFill>
          <a:ln>
            <a:noFill/>
          </a:ln>
          <a:effectLst>
            <a:outerShdw blurRad="254000" sx="102000" sy="102000" algn="ctr" rotWithShape="0">
              <a:prstClr val="black">
                <a:alpha val="20000"/>
              </a:prstClr>
            </a:outerShdw>
          </a:effectLst>
        </c:spPr>
      </c:pivotFmt>
      <c:pivotFmt>
        <c:idx val="1301"/>
        <c:spPr>
          <a:solidFill>
            <a:schemeClr val="accent1"/>
          </a:solidFill>
          <a:ln>
            <a:noFill/>
          </a:ln>
          <a:effectLst>
            <a:outerShdw blurRad="254000" sx="102000" sy="102000" algn="ctr" rotWithShape="0">
              <a:prstClr val="black">
                <a:alpha val="20000"/>
              </a:prstClr>
            </a:outerShdw>
          </a:effectLst>
        </c:spPr>
      </c:pivotFmt>
      <c:pivotFmt>
        <c:idx val="1302"/>
        <c:spPr>
          <a:solidFill>
            <a:schemeClr val="accent1"/>
          </a:solidFill>
          <a:ln>
            <a:noFill/>
          </a:ln>
          <a:effectLst>
            <a:outerShdw blurRad="254000" sx="102000" sy="102000" algn="ctr" rotWithShape="0">
              <a:prstClr val="black">
                <a:alpha val="20000"/>
              </a:prstClr>
            </a:outerShdw>
          </a:effectLst>
        </c:spPr>
      </c:pivotFmt>
      <c:pivotFmt>
        <c:idx val="1303"/>
        <c:spPr>
          <a:solidFill>
            <a:schemeClr val="accent1"/>
          </a:solidFill>
          <a:ln>
            <a:noFill/>
          </a:ln>
          <a:effectLst>
            <a:outerShdw blurRad="254000" sx="102000" sy="102000" algn="ctr" rotWithShape="0">
              <a:prstClr val="black">
                <a:alpha val="20000"/>
              </a:prstClr>
            </a:outerShdw>
          </a:effectLst>
        </c:spPr>
      </c:pivotFmt>
      <c:pivotFmt>
        <c:idx val="1304"/>
        <c:spPr>
          <a:solidFill>
            <a:schemeClr val="accent1"/>
          </a:solidFill>
          <a:ln>
            <a:noFill/>
          </a:ln>
          <a:effectLst>
            <a:outerShdw blurRad="254000" sx="102000" sy="102000" algn="ctr" rotWithShape="0">
              <a:prstClr val="black">
                <a:alpha val="20000"/>
              </a:prstClr>
            </a:outerShdw>
          </a:effectLst>
        </c:spPr>
      </c:pivotFmt>
      <c:pivotFmt>
        <c:idx val="1305"/>
        <c:spPr>
          <a:solidFill>
            <a:schemeClr val="accent1"/>
          </a:solidFill>
          <a:ln>
            <a:noFill/>
          </a:ln>
          <a:effectLst>
            <a:outerShdw blurRad="254000" sx="102000" sy="102000" algn="ctr" rotWithShape="0">
              <a:prstClr val="black">
                <a:alpha val="20000"/>
              </a:prstClr>
            </a:outerShdw>
          </a:effectLst>
        </c:spPr>
      </c:pivotFmt>
      <c:pivotFmt>
        <c:idx val="1306"/>
        <c:spPr>
          <a:solidFill>
            <a:schemeClr val="accent1"/>
          </a:solidFill>
          <a:ln>
            <a:noFill/>
          </a:ln>
          <a:effectLst>
            <a:outerShdw blurRad="254000" sx="102000" sy="102000" algn="ctr" rotWithShape="0">
              <a:prstClr val="black">
                <a:alpha val="20000"/>
              </a:prstClr>
            </a:outerShdw>
          </a:effectLst>
        </c:spPr>
      </c:pivotFmt>
      <c:pivotFmt>
        <c:idx val="1307"/>
        <c:spPr>
          <a:solidFill>
            <a:schemeClr val="accent1"/>
          </a:solidFill>
          <a:ln>
            <a:noFill/>
          </a:ln>
          <a:effectLst>
            <a:outerShdw blurRad="254000" sx="102000" sy="102000" algn="ctr" rotWithShape="0">
              <a:prstClr val="black">
                <a:alpha val="20000"/>
              </a:prstClr>
            </a:outerShdw>
          </a:effectLst>
        </c:spPr>
      </c:pivotFmt>
      <c:pivotFmt>
        <c:idx val="1308"/>
        <c:spPr>
          <a:solidFill>
            <a:schemeClr val="accent1"/>
          </a:solidFill>
          <a:ln>
            <a:noFill/>
          </a:ln>
          <a:effectLst>
            <a:outerShdw blurRad="254000" sx="102000" sy="102000" algn="ctr" rotWithShape="0">
              <a:prstClr val="black">
                <a:alpha val="20000"/>
              </a:prstClr>
            </a:outerShdw>
          </a:effectLst>
        </c:spPr>
      </c:pivotFmt>
      <c:pivotFmt>
        <c:idx val="1309"/>
        <c:spPr>
          <a:solidFill>
            <a:schemeClr val="accent1"/>
          </a:solidFill>
          <a:ln>
            <a:noFill/>
          </a:ln>
          <a:effectLst>
            <a:outerShdw blurRad="254000" sx="102000" sy="102000" algn="ctr" rotWithShape="0">
              <a:prstClr val="black">
                <a:alpha val="20000"/>
              </a:prstClr>
            </a:outerShdw>
          </a:effectLst>
        </c:spPr>
      </c:pivotFmt>
      <c:pivotFmt>
        <c:idx val="1310"/>
        <c:spPr>
          <a:solidFill>
            <a:schemeClr val="accent1"/>
          </a:solidFill>
          <a:ln>
            <a:noFill/>
          </a:ln>
          <a:effectLst>
            <a:outerShdw blurRad="254000" sx="102000" sy="102000" algn="ctr" rotWithShape="0">
              <a:prstClr val="black">
                <a:alpha val="20000"/>
              </a:prstClr>
            </a:outerShdw>
          </a:effectLst>
        </c:spPr>
      </c:pivotFmt>
      <c:pivotFmt>
        <c:idx val="1311"/>
        <c:spPr>
          <a:solidFill>
            <a:schemeClr val="accent1"/>
          </a:solidFill>
          <a:ln>
            <a:noFill/>
          </a:ln>
          <a:effectLst>
            <a:outerShdw blurRad="254000" sx="102000" sy="102000" algn="ctr" rotWithShape="0">
              <a:prstClr val="black">
                <a:alpha val="20000"/>
              </a:prstClr>
            </a:outerShdw>
          </a:effectLst>
        </c:spPr>
      </c:pivotFmt>
      <c:pivotFmt>
        <c:idx val="1312"/>
        <c:spPr>
          <a:solidFill>
            <a:schemeClr val="accent1"/>
          </a:solidFill>
          <a:ln>
            <a:noFill/>
          </a:ln>
          <a:effectLst>
            <a:outerShdw blurRad="254000" sx="102000" sy="102000" algn="ctr" rotWithShape="0">
              <a:prstClr val="black">
                <a:alpha val="20000"/>
              </a:prstClr>
            </a:outerShdw>
          </a:effectLst>
        </c:spPr>
      </c:pivotFmt>
      <c:pivotFmt>
        <c:idx val="1313"/>
        <c:spPr>
          <a:solidFill>
            <a:schemeClr val="accent1"/>
          </a:solidFill>
          <a:ln>
            <a:noFill/>
          </a:ln>
          <a:effectLst>
            <a:outerShdw blurRad="254000" sx="102000" sy="102000" algn="ctr" rotWithShape="0">
              <a:prstClr val="black">
                <a:alpha val="20000"/>
              </a:prstClr>
            </a:outerShdw>
          </a:effectLst>
        </c:spPr>
      </c:pivotFmt>
      <c:pivotFmt>
        <c:idx val="1314"/>
        <c:spPr>
          <a:solidFill>
            <a:schemeClr val="accent1"/>
          </a:solidFill>
          <a:ln>
            <a:noFill/>
          </a:ln>
          <a:effectLst>
            <a:outerShdw blurRad="254000" sx="102000" sy="102000" algn="ctr" rotWithShape="0">
              <a:prstClr val="black">
                <a:alpha val="20000"/>
              </a:prstClr>
            </a:outerShdw>
          </a:effectLst>
        </c:spPr>
      </c:pivotFmt>
      <c:pivotFmt>
        <c:idx val="1315"/>
        <c:spPr>
          <a:solidFill>
            <a:schemeClr val="accent1"/>
          </a:solidFill>
          <a:ln>
            <a:noFill/>
          </a:ln>
          <a:effectLst>
            <a:outerShdw blurRad="254000" sx="102000" sy="102000" algn="ctr" rotWithShape="0">
              <a:prstClr val="black">
                <a:alpha val="20000"/>
              </a:prstClr>
            </a:outerShdw>
          </a:effectLst>
        </c:spPr>
      </c:pivotFmt>
      <c:pivotFmt>
        <c:idx val="1316"/>
        <c:spPr>
          <a:solidFill>
            <a:schemeClr val="accent1"/>
          </a:solidFill>
          <a:ln>
            <a:noFill/>
          </a:ln>
          <a:effectLst>
            <a:outerShdw blurRad="254000" sx="102000" sy="102000" algn="ctr" rotWithShape="0">
              <a:prstClr val="black">
                <a:alpha val="20000"/>
              </a:prstClr>
            </a:outerShdw>
          </a:effectLst>
        </c:spPr>
      </c:pivotFmt>
      <c:pivotFmt>
        <c:idx val="1317"/>
        <c:spPr>
          <a:solidFill>
            <a:schemeClr val="accent1"/>
          </a:solidFill>
          <a:ln>
            <a:noFill/>
          </a:ln>
          <a:effectLst>
            <a:outerShdw blurRad="254000" sx="102000" sy="102000" algn="ctr" rotWithShape="0">
              <a:prstClr val="black">
                <a:alpha val="20000"/>
              </a:prstClr>
            </a:outerShdw>
          </a:effectLst>
        </c:spPr>
      </c:pivotFmt>
      <c:pivotFmt>
        <c:idx val="1318"/>
        <c:spPr>
          <a:solidFill>
            <a:schemeClr val="accent1"/>
          </a:solidFill>
          <a:ln>
            <a:noFill/>
          </a:ln>
          <a:effectLst>
            <a:outerShdw blurRad="254000" sx="102000" sy="102000" algn="ctr" rotWithShape="0">
              <a:prstClr val="black">
                <a:alpha val="20000"/>
              </a:prstClr>
            </a:outerShdw>
          </a:effectLst>
        </c:spPr>
      </c:pivotFmt>
      <c:pivotFmt>
        <c:idx val="1319"/>
        <c:spPr>
          <a:solidFill>
            <a:schemeClr val="accent1"/>
          </a:solidFill>
          <a:ln>
            <a:noFill/>
          </a:ln>
          <a:effectLst>
            <a:outerShdw blurRad="254000" sx="102000" sy="102000" algn="ctr" rotWithShape="0">
              <a:prstClr val="black">
                <a:alpha val="20000"/>
              </a:prstClr>
            </a:outerShdw>
          </a:effectLst>
        </c:spPr>
      </c:pivotFmt>
      <c:pivotFmt>
        <c:idx val="1320"/>
        <c:spPr>
          <a:solidFill>
            <a:schemeClr val="accent1"/>
          </a:solidFill>
          <a:ln>
            <a:noFill/>
          </a:ln>
          <a:effectLst>
            <a:outerShdw blurRad="254000" sx="102000" sy="102000" algn="ctr" rotWithShape="0">
              <a:prstClr val="black">
                <a:alpha val="20000"/>
              </a:prstClr>
            </a:outerShdw>
          </a:effectLst>
        </c:spPr>
      </c:pivotFmt>
      <c:pivotFmt>
        <c:idx val="1321"/>
        <c:spPr>
          <a:solidFill>
            <a:schemeClr val="accent1"/>
          </a:solidFill>
          <a:ln>
            <a:noFill/>
          </a:ln>
          <a:effectLst>
            <a:outerShdw blurRad="254000" sx="102000" sy="102000" algn="ctr" rotWithShape="0">
              <a:prstClr val="black">
                <a:alpha val="20000"/>
              </a:prstClr>
            </a:outerShdw>
          </a:effectLst>
        </c:spPr>
      </c:pivotFmt>
      <c:pivotFmt>
        <c:idx val="1322"/>
        <c:spPr>
          <a:solidFill>
            <a:schemeClr val="accent1"/>
          </a:solidFill>
          <a:ln>
            <a:noFill/>
          </a:ln>
          <a:effectLst>
            <a:outerShdw blurRad="254000" sx="102000" sy="102000" algn="ctr" rotWithShape="0">
              <a:prstClr val="black">
                <a:alpha val="20000"/>
              </a:prstClr>
            </a:outerShdw>
          </a:effectLst>
        </c:spPr>
      </c:pivotFmt>
      <c:pivotFmt>
        <c:idx val="1323"/>
        <c:spPr>
          <a:solidFill>
            <a:schemeClr val="accent1"/>
          </a:solidFill>
          <a:ln>
            <a:noFill/>
          </a:ln>
          <a:effectLst>
            <a:outerShdw blurRad="254000" sx="102000" sy="102000" algn="ctr" rotWithShape="0">
              <a:prstClr val="black">
                <a:alpha val="20000"/>
              </a:prstClr>
            </a:outerShdw>
          </a:effectLst>
        </c:spPr>
      </c:pivotFmt>
      <c:pivotFmt>
        <c:idx val="1324"/>
        <c:spPr>
          <a:solidFill>
            <a:schemeClr val="accent1"/>
          </a:solidFill>
          <a:ln>
            <a:noFill/>
          </a:ln>
          <a:effectLst>
            <a:outerShdw blurRad="254000" sx="102000" sy="102000" algn="ctr" rotWithShape="0">
              <a:prstClr val="black">
                <a:alpha val="20000"/>
              </a:prstClr>
            </a:outerShdw>
          </a:effectLst>
        </c:spPr>
      </c:pivotFmt>
      <c:pivotFmt>
        <c:idx val="1325"/>
        <c:spPr>
          <a:solidFill>
            <a:schemeClr val="accent1"/>
          </a:solidFill>
          <a:ln>
            <a:noFill/>
          </a:ln>
          <a:effectLst>
            <a:outerShdw blurRad="254000" sx="102000" sy="102000" algn="ctr" rotWithShape="0">
              <a:prstClr val="black">
                <a:alpha val="20000"/>
              </a:prstClr>
            </a:outerShdw>
          </a:effectLst>
        </c:spPr>
      </c:pivotFmt>
      <c:pivotFmt>
        <c:idx val="1326"/>
        <c:spPr>
          <a:solidFill>
            <a:schemeClr val="accent1"/>
          </a:solidFill>
          <a:ln>
            <a:noFill/>
          </a:ln>
          <a:effectLst>
            <a:outerShdw blurRad="254000" sx="102000" sy="102000" algn="ctr" rotWithShape="0">
              <a:prstClr val="black">
                <a:alpha val="20000"/>
              </a:prstClr>
            </a:outerShdw>
          </a:effectLst>
        </c:spPr>
      </c:pivotFmt>
      <c:pivotFmt>
        <c:idx val="1327"/>
        <c:spPr>
          <a:solidFill>
            <a:schemeClr val="accent1"/>
          </a:solidFill>
          <a:ln>
            <a:noFill/>
          </a:ln>
          <a:effectLst>
            <a:outerShdw blurRad="254000" sx="102000" sy="102000" algn="ctr" rotWithShape="0">
              <a:prstClr val="black">
                <a:alpha val="20000"/>
              </a:prstClr>
            </a:outerShdw>
          </a:effectLst>
        </c:spPr>
      </c:pivotFmt>
      <c:pivotFmt>
        <c:idx val="1328"/>
        <c:spPr>
          <a:solidFill>
            <a:schemeClr val="accent1"/>
          </a:solidFill>
          <a:ln>
            <a:noFill/>
          </a:ln>
          <a:effectLst>
            <a:outerShdw blurRad="254000" sx="102000" sy="102000" algn="ctr" rotWithShape="0">
              <a:prstClr val="black">
                <a:alpha val="20000"/>
              </a:prstClr>
            </a:outerShdw>
          </a:effectLst>
        </c:spPr>
      </c:pivotFmt>
      <c:pivotFmt>
        <c:idx val="1329"/>
        <c:spPr>
          <a:solidFill>
            <a:schemeClr val="accent1"/>
          </a:solidFill>
          <a:ln>
            <a:noFill/>
          </a:ln>
          <a:effectLst>
            <a:outerShdw blurRad="254000" sx="102000" sy="102000" algn="ctr" rotWithShape="0">
              <a:prstClr val="black">
                <a:alpha val="20000"/>
              </a:prstClr>
            </a:outerShdw>
          </a:effectLst>
        </c:spPr>
      </c:pivotFmt>
      <c:pivotFmt>
        <c:idx val="1330"/>
        <c:spPr>
          <a:solidFill>
            <a:schemeClr val="accent1"/>
          </a:solidFill>
          <a:ln>
            <a:noFill/>
          </a:ln>
          <a:effectLst>
            <a:outerShdw blurRad="254000" sx="102000" sy="102000" algn="ctr" rotWithShape="0">
              <a:prstClr val="black">
                <a:alpha val="20000"/>
              </a:prstClr>
            </a:outerShdw>
          </a:effectLst>
        </c:spPr>
      </c:pivotFmt>
      <c:pivotFmt>
        <c:idx val="1331"/>
        <c:spPr>
          <a:solidFill>
            <a:schemeClr val="accent1"/>
          </a:solidFill>
          <a:ln>
            <a:noFill/>
          </a:ln>
          <a:effectLst>
            <a:outerShdw blurRad="254000" sx="102000" sy="102000" algn="ctr" rotWithShape="0">
              <a:prstClr val="black">
                <a:alpha val="20000"/>
              </a:prstClr>
            </a:outerShdw>
          </a:effectLst>
        </c:spPr>
      </c:pivotFmt>
      <c:pivotFmt>
        <c:idx val="1332"/>
        <c:spPr>
          <a:solidFill>
            <a:schemeClr val="accent1"/>
          </a:solidFill>
          <a:ln>
            <a:noFill/>
          </a:ln>
          <a:effectLst>
            <a:outerShdw blurRad="254000" sx="102000" sy="102000" algn="ctr" rotWithShape="0">
              <a:prstClr val="black">
                <a:alpha val="20000"/>
              </a:prstClr>
            </a:outerShdw>
          </a:effectLst>
        </c:spPr>
      </c:pivotFmt>
      <c:pivotFmt>
        <c:idx val="1333"/>
        <c:spPr>
          <a:solidFill>
            <a:schemeClr val="accent1"/>
          </a:solidFill>
          <a:ln>
            <a:noFill/>
          </a:ln>
          <a:effectLst>
            <a:outerShdw blurRad="254000" sx="102000" sy="102000" algn="ctr" rotWithShape="0">
              <a:prstClr val="black">
                <a:alpha val="20000"/>
              </a:prstClr>
            </a:outerShdw>
          </a:effectLst>
        </c:spPr>
      </c:pivotFmt>
      <c:pivotFmt>
        <c:idx val="1334"/>
        <c:spPr>
          <a:solidFill>
            <a:schemeClr val="accent1"/>
          </a:solidFill>
          <a:ln>
            <a:noFill/>
          </a:ln>
          <a:effectLst>
            <a:outerShdw blurRad="254000" sx="102000" sy="102000" algn="ctr" rotWithShape="0">
              <a:prstClr val="black">
                <a:alpha val="20000"/>
              </a:prstClr>
            </a:outerShdw>
          </a:effectLst>
        </c:spPr>
      </c:pivotFmt>
      <c:pivotFmt>
        <c:idx val="1335"/>
        <c:spPr>
          <a:solidFill>
            <a:schemeClr val="accent1"/>
          </a:solidFill>
          <a:ln>
            <a:noFill/>
          </a:ln>
          <a:effectLst>
            <a:outerShdw blurRad="254000" sx="102000" sy="102000" algn="ctr" rotWithShape="0">
              <a:prstClr val="black">
                <a:alpha val="20000"/>
              </a:prstClr>
            </a:outerShdw>
          </a:effectLst>
        </c:spPr>
      </c:pivotFmt>
      <c:pivotFmt>
        <c:idx val="1336"/>
        <c:spPr>
          <a:solidFill>
            <a:schemeClr val="accent1"/>
          </a:solidFill>
          <a:ln>
            <a:noFill/>
          </a:ln>
          <a:effectLst>
            <a:outerShdw blurRad="254000" sx="102000" sy="102000" algn="ctr" rotWithShape="0">
              <a:prstClr val="black">
                <a:alpha val="20000"/>
              </a:prstClr>
            </a:outerShdw>
          </a:effectLst>
        </c:spPr>
      </c:pivotFmt>
      <c:pivotFmt>
        <c:idx val="1337"/>
        <c:spPr>
          <a:solidFill>
            <a:schemeClr val="accent1"/>
          </a:solidFill>
          <a:ln>
            <a:noFill/>
          </a:ln>
          <a:effectLst>
            <a:outerShdw blurRad="254000" sx="102000" sy="102000" algn="ctr" rotWithShape="0">
              <a:prstClr val="black">
                <a:alpha val="20000"/>
              </a:prstClr>
            </a:outerShdw>
          </a:effectLst>
        </c:spPr>
      </c:pivotFmt>
      <c:pivotFmt>
        <c:idx val="1338"/>
        <c:spPr>
          <a:solidFill>
            <a:schemeClr val="accent1"/>
          </a:solidFill>
          <a:ln>
            <a:noFill/>
          </a:ln>
          <a:effectLst>
            <a:outerShdw blurRad="254000" sx="102000" sy="102000" algn="ctr" rotWithShape="0">
              <a:prstClr val="black">
                <a:alpha val="20000"/>
              </a:prstClr>
            </a:outerShdw>
          </a:effectLst>
        </c:spPr>
      </c:pivotFmt>
      <c:pivotFmt>
        <c:idx val="1339"/>
        <c:spPr>
          <a:solidFill>
            <a:schemeClr val="accent1"/>
          </a:solidFill>
          <a:ln>
            <a:noFill/>
          </a:ln>
          <a:effectLst>
            <a:outerShdw blurRad="254000" sx="102000" sy="102000" algn="ctr" rotWithShape="0">
              <a:prstClr val="black">
                <a:alpha val="20000"/>
              </a:prstClr>
            </a:outerShdw>
          </a:effectLst>
        </c:spPr>
      </c:pivotFmt>
      <c:pivotFmt>
        <c:idx val="1340"/>
        <c:spPr>
          <a:solidFill>
            <a:schemeClr val="accent1"/>
          </a:solidFill>
          <a:ln>
            <a:noFill/>
          </a:ln>
          <a:effectLst>
            <a:outerShdw blurRad="254000" sx="102000" sy="102000" algn="ctr" rotWithShape="0">
              <a:prstClr val="black">
                <a:alpha val="20000"/>
              </a:prstClr>
            </a:outerShdw>
          </a:effectLst>
        </c:spPr>
      </c:pivotFmt>
      <c:pivotFmt>
        <c:idx val="1341"/>
        <c:spPr>
          <a:solidFill>
            <a:schemeClr val="accent1"/>
          </a:solidFill>
          <a:ln>
            <a:noFill/>
          </a:ln>
          <a:effectLst>
            <a:outerShdw blurRad="254000" sx="102000" sy="102000" algn="ctr" rotWithShape="0">
              <a:prstClr val="black">
                <a:alpha val="20000"/>
              </a:prstClr>
            </a:outerShdw>
          </a:effectLst>
        </c:spPr>
      </c:pivotFmt>
      <c:pivotFmt>
        <c:idx val="1342"/>
        <c:spPr>
          <a:solidFill>
            <a:schemeClr val="accent1"/>
          </a:solidFill>
          <a:ln>
            <a:noFill/>
          </a:ln>
          <a:effectLst>
            <a:outerShdw blurRad="254000" sx="102000" sy="102000" algn="ctr" rotWithShape="0">
              <a:prstClr val="black">
                <a:alpha val="20000"/>
              </a:prstClr>
            </a:outerShdw>
          </a:effectLst>
        </c:spPr>
      </c:pivotFmt>
      <c:pivotFmt>
        <c:idx val="1343"/>
        <c:spPr>
          <a:solidFill>
            <a:schemeClr val="accent1"/>
          </a:solidFill>
          <a:ln>
            <a:noFill/>
          </a:ln>
          <a:effectLst>
            <a:outerShdw blurRad="254000" sx="102000" sy="102000" algn="ctr" rotWithShape="0">
              <a:prstClr val="black">
                <a:alpha val="20000"/>
              </a:prstClr>
            </a:outerShdw>
          </a:effectLst>
        </c:spPr>
      </c:pivotFmt>
      <c:pivotFmt>
        <c:idx val="1344"/>
        <c:spPr>
          <a:solidFill>
            <a:schemeClr val="accent1"/>
          </a:solidFill>
          <a:ln>
            <a:noFill/>
          </a:ln>
          <a:effectLst>
            <a:outerShdw blurRad="254000" sx="102000" sy="102000" algn="ctr" rotWithShape="0">
              <a:prstClr val="black">
                <a:alpha val="20000"/>
              </a:prstClr>
            </a:outerShdw>
          </a:effectLst>
        </c:spPr>
      </c:pivotFmt>
      <c:pivotFmt>
        <c:idx val="1345"/>
        <c:spPr>
          <a:solidFill>
            <a:schemeClr val="accent1"/>
          </a:solidFill>
          <a:ln>
            <a:noFill/>
          </a:ln>
          <a:effectLst>
            <a:outerShdw blurRad="254000" sx="102000" sy="102000" algn="ctr" rotWithShape="0">
              <a:prstClr val="black">
                <a:alpha val="20000"/>
              </a:prstClr>
            </a:outerShdw>
          </a:effectLst>
        </c:spPr>
      </c:pivotFmt>
      <c:pivotFmt>
        <c:idx val="1346"/>
        <c:spPr>
          <a:solidFill>
            <a:schemeClr val="accent1"/>
          </a:solidFill>
          <a:ln>
            <a:noFill/>
          </a:ln>
          <a:effectLst>
            <a:outerShdw blurRad="254000" sx="102000" sy="102000" algn="ctr" rotWithShape="0">
              <a:prstClr val="black">
                <a:alpha val="20000"/>
              </a:prstClr>
            </a:outerShdw>
          </a:effectLst>
        </c:spPr>
      </c:pivotFmt>
      <c:pivotFmt>
        <c:idx val="1347"/>
        <c:spPr>
          <a:solidFill>
            <a:schemeClr val="accent1"/>
          </a:solidFill>
          <a:ln>
            <a:noFill/>
          </a:ln>
          <a:effectLst>
            <a:outerShdw blurRad="254000" sx="102000" sy="102000" algn="ctr" rotWithShape="0">
              <a:prstClr val="black">
                <a:alpha val="20000"/>
              </a:prstClr>
            </a:outerShdw>
          </a:effectLst>
        </c:spPr>
      </c:pivotFmt>
      <c:pivotFmt>
        <c:idx val="1348"/>
        <c:spPr>
          <a:solidFill>
            <a:schemeClr val="accent1"/>
          </a:solidFill>
          <a:ln>
            <a:noFill/>
          </a:ln>
          <a:effectLst>
            <a:outerShdw blurRad="254000" sx="102000" sy="102000" algn="ctr" rotWithShape="0">
              <a:prstClr val="black">
                <a:alpha val="20000"/>
              </a:prstClr>
            </a:outerShdw>
          </a:effectLst>
        </c:spPr>
      </c:pivotFmt>
      <c:pivotFmt>
        <c:idx val="1349"/>
        <c:spPr>
          <a:solidFill>
            <a:schemeClr val="accent1"/>
          </a:solidFill>
          <a:ln>
            <a:noFill/>
          </a:ln>
          <a:effectLst>
            <a:outerShdw blurRad="254000" sx="102000" sy="102000" algn="ctr" rotWithShape="0">
              <a:prstClr val="black">
                <a:alpha val="20000"/>
              </a:prstClr>
            </a:outerShdw>
          </a:effectLst>
        </c:spPr>
      </c:pivotFmt>
      <c:pivotFmt>
        <c:idx val="1350"/>
        <c:spPr>
          <a:solidFill>
            <a:schemeClr val="accent1"/>
          </a:solidFill>
          <a:ln>
            <a:noFill/>
          </a:ln>
          <a:effectLst>
            <a:outerShdw blurRad="254000" sx="102000" sy="102000" algn="ctr" rotWithShape="0">
              <a:prstClr val="black">
                <a:alpha val="20000"/>
              </a:prstClr>
            </a:outerShdw>
          </a:effectLst>
        </c:spPr>
      </c:pivotFmt>
      <c:pivotFmt>
        <c:idx val="1351"/>
        <c:spPr>
          <a:solidFill>
            <a:schemeClr val="accent1"/>
          </a:solidFill>
          <a:ln>
            <a:noFill/>
          </a:ln>
          <a:effectLst>
            <a:outerShdw blurRad="254000" sx="102000" sy="102000" algn="ctr" rotWithShape="0">
              <a:prstClr val="black">
                <a:alpha val="20000"/>
              </a:prstClr>
            </a:outerShdw>
          </a:effectLst>
        </c:spPr>
      </c:pivotFmt>
      <c:pivotFmt>
        <c:idx val="1352"/>
        <c:spPr>
          <a:solidFill>
            <a:schemeClr val="accent1"/>
          </a:solidFill>
          <a:ln>
            <a:noFill/>
          </a:ln>
          <a:effectLst>
            <a:outerShdw blurRad="254000" sx="102000" sy="102000" algn="ctr" rotWithShape="0">
              <a:prstClr val="black">
                <a:alpha val="20000"/>
              </a:prstClr>
            </a:outerShdw>
          </a:effectLst>
        </c:spPr>
      </c:pivotFmt>
      <c:pivotFmt>
        <c:idx val="1353"/>
        <c:spPr>
          <a:solidFill>
            <a:schemeClr val="accent1"/>
          </a:solidFill>
          <a:ln>
            <a:noFill/>
          </a:ln>
          <a:effectLst>
            <a:outerShdw blurRad="254000" sx="102000" sy="102000" algn="ctr" rotWithShape="0">
              <a:prstClr val="black">
                <a:alpha val="20000"/>
              </a:prstClr>
            </a:outerShdw>
          </a:effectLst>
        </c:spPr>
      </c:pivotFmt>
      <c:pivotFmt>
        <c:idx val="1354"/>
        <c:spPr>
          <a:solidFill>
            <a:schemeClr val="accent1"/>
          </a:solidFill>
          <a:ln>
            <a:noFill/>
          </a:ln>
          <a:effectLst>
            <a:outerShdw blurRad="254000" sx="102000" sy="102000" algn="ctr" rotWithShape="0">
              <a:prstClr val="black">
                <a:alpha val="20000"/>
              </a:prstClr>
            </a:outerShdw>
          </a:effectLst>
        </c:spPr>
      </c:pivotFmt>
      <c:pivotFmt>
        <c:idx val="1355"/>
        <c:spPr>
          <a:solidFill>
            <a:schemeClr val="accent1"/>
          </a:solidFill>
          <a:ln>
            <a:noFill/>
          </a:ln>
          <a:effectLst>
            <a:outerShdw blurRad="254000" sx="102000" sy="102000" algn="ctr" rotWithShape="0">
              <a:prstClr val="black">
                <a:alpha val="20000"/>
              </a:prstClr>
            </a:outerShdw>
          </a:effectLst>
        </c:spPr>
      </c:pivotFmt>
      <c:pivotFmt>
        <c:idx val="1356"/>
        <c:spPr>
          <a:solidFill>
            <a:schemeClr val="accent1"/>
          </a:solidFill>
          <a:ln>
            <a:noFill/>
          </a:ln>
          <a:effectLst>
            <a:outerShdw blurRad="254000" sx="102000" sy="102000" algn="ctr" rotWithShape="0">
              <a:prstClr val="black">
                <a:alpha val="20000"/>
              </a:prstClr>
            </a:outerShdw>
          </a:effectLst>
        </c:spPr>
      </c:pivotFmt>
      <c:pivotFmt>
        <c:idx val="1357"/>
        <c:spPr>
          <a:solidFill>
            <a:schemeClr val="accent1"/>
          </a:solidFill>
          <a:ln>
            <a:noFill/>
          </a:ln>
          <a:effectLst>
            <a:outerShdw blurRad="254000" sx="102000" sy="102000" algn="ctr" rotWithShape="0">
              <a:prstClr val="black">
                <a:alpha val="20000"/>
              </a:prstClr>
            </a:outerShdw>
          </a:effectLst>
        </c:spPr>
      </c:pivotFmt>
      <c:pivotFmt>
        <c:idx val="1358"/>
        <c:spPr>
          <a:solidFill>
            <a:schemeClr val="accent1"/>
          </a:solidFill>
          <a:ln>
            <a:noFill/>
          </a:ln>
          <a:effectLst>
            <a:outerShdw blurRad="254000" sx="102000" sy="102000" algn="ctr" rotWithShape="0">
              <a:prstClr val="black">
                <a:alpha val="20000"/>
              </a:prstClr>
            </a:outerShdw>
          </a:effectLst>
        </c:spPr>
      </c:pivotFmt>
      <c:pivotFmt>
        <c:idx val="1359"/>
        <c:spPr>
          <a:solidFill>
            <a:schemeClr val="accent1"/>
          </a:solidFill>
          <a:ln>
            <a:noFill/>
          </a:ln>
          <a:effectLst>
            <a:outerShdw blurRad="254000" sx="102000" sy="102000" algn="ctr" rotWithShape="0">
              <a:prstClr val="black">
                <a:alpha val="20000"/>
              </a:prstClr>
            </a:outerShdw>
          </a:effectLst>
        </c:spPr>
      </c:pivotFmt>
      <c:pivotFmt>
        <c:idx val="1360"/>
        <c:spPr>
          <a:solidFill>
            <a:schemeClr val="accent1"/>
          </a:solidFill>
          <a:ln>
            <a:noFill/>
          </a:ln>
          <a:effectLst>
            <a:outerShdw blurRad="254000" sx="102000" sy="102000" algn="ctr" rotWithShape="0">
              <a:prstClr val="black">
                <a:alpha val="20000"/>
              </a:prstClr>
            </a:outerShdw>
          </a:effectLst>
        </c:spPr>
      </c:pivotFmt>
      <c:pivotFmt>
        <c:idx val="1361"/>
        <c:spPr>
          <a:solidFill>
            <a:schemeClr val="accent1"/>
          </a:solidFill>
          <a:ln>
            <a:noFill/>
          </a:ln>
          <a:effectLst>
            <a:outerShdw blurRad="254000" sx="102000" sy="102000" algn="ctr" rotWithShape="0">
              <a:prstClr val="black">
                <a:alpha val="20000"/>
              </a:prstClr>
            </a:outerShdw>
          </a:effectLst>
        </c:spPr>
      </c:pivotFmt>
      <c:pivotFmt>
        <c:idx val="1362"/>
        <c:spPr>
          <a:solidFill>
            <a:schemeClr val="accent1"/>
          </a:solidFill>
          <a:ln>
            <a:noFill/>
          </a:ln>
          <a:effectLst>
            <a:outerShdw blurRad="254000" sx="102000" sy="102000" algn="ctr" rotWithShape="0">
              <a:prstClr val="black">
                <a:alpha val="20000"/>
              </a:prstClr>
            </a:outerShdw>
          </a:effectLst>
        </c:spPr>
      </c:pivotFmt>
      <c:pivotFmt>
        <c:idx val="1363"/>
        <c:spPr>
          <a:solidFill>
            <a:schemeClr val="accent1"/>
          </a:solidFill>
          <a:ln>
            <a:noFill/>
          </a:ln>
          <a:effectLst>
            <a:outerShdw blurRad="254000" sx="102000" sy="102000" algn="ctr" rotWithShape="0">
              <a:prstClr val="black">
                <a:alpha val="20000"/>
              </a:prstClr>
            </a:outerShdw>
          </a:effectLst>
        </c:spPr>
      </c:pivotFmt>
      <c:pivotFmt>
        <c:idx val="1364"/>
        <c:spPr>
          <a:solidFill>
            <a:schemeClr val="accent1"/>
          </a:solidFill>
          <a:ln>
            <a:noFill/>
          </a:ln>
          <a:effectLst>
            <a:outerShdw blurRad="254000" sx="102000" sy="102000" algn="ctr" rotWithShape="0">
              <a:prstClr val="black">
                <a:alpha val="20000"/>
              </a:prstClr>
            </a:outerShdw>
          </a:effectLst>
        </c:spPr>
      </c:pivotFmt>
      <c:pivotFmt>
        <c:idx val="1365"/>
        <c:spPr>
          <a:solidFill>
            <a:schemeClr val="accent1"/>
          </a:solidFill>
          <a:ln>
            <a:noFill/>
          </a:ln>
          <a:effectLst>
            <a:outerShdw blurRad="254000" sx="102000" sy="102000" algn="ctr" rotWithShape="0">
              <a:prstClr val="black">
                <a:alpha val="20000"/>
              </a:prstClr>
            </a:outerShdw>
          </a:effectLst>
        </c:spPr>
      </c:pivotFmt>
      <c:pivotFmt>
        <c:idx val="1366"/>
        <c:spPr>
          <a:solidFill>
            <a:schemeClr val="accent1"/>
          </a:solidFill>
          <a:ln>
            <a:noFill/>
          </a:ln>
          <a:effectLst>
            <a:outerShdw blurRad="254000" sx="102000" sy="102000" algn="ctr" rotWithShape="0">
              <a:prstClr val="black">
                <a:alpha val="20000"/>
              </a:prstClr>
            </a:outerShdw>
          </a:effectLst>
        </c:spPr>
      </c:pivotFmt>
      <c:pivotFmt>
        <c:idx val="1367"/>
        <c:spPr>
          <a:solidFill>
            <a:schemeClr val="accent1"/>
          </a:solidFill>
          <a:ln>
            <a:noFill/>
          </a:ln>
          <a:effectLst>
            <a:outerShdw blurRad="254000" sx="102000" sy="102000" algn="ctr" rotWithShape="0">
              <a:prstClr val="black">
                <a:alpha val="20000"/>
              </a:prstClr>
            </a:outerShdw>
          </a:effectLst>
        </c:spPr>
      </c:pivotFmt>
      <c:pivotFmt>
        <c:idx val="1368"/>
        <c:spPr>
          <a:solidFill>
            <a:schemeClr val="accent1"/>
          </a:solidFill>
          <a:ln>
            <a:noFill/>
          </a:ln>
          <a:effectLst>
            <a:outerShdw blurRad="254000" sx="102000" sy="102000" algn="ctr" rotWithShape="0">
              <a:prstClr val="black">
                <a:alpha val="20000"/>
              </a:prstClr>
            </a:outerShdw>
          </a:effectLst>
        </c:spPr>
      </c:pivotFmt>
      <c:pivotFmt>
        <c:idx val="1369"/>
        <c:spPr>
          <a:solidFill>
            <a:schemeClr val="accent1"/>
          </a:solidFill>
          <a:ln>
            <a:noFill/>
          </a:ln>
          <a:effectLst>
            <a:outerShdw blurRad="254000" sx="102000" sy="102000" algn="ctr" rotWithShape="0">
              <a:prstClr val="black">
                <a:alpha val="20000"/>
              </a:prstClr>
            </a:outerShdw>
          </a:effectLst>
        </c:spPr>
      </c:pivotFmt>
      <c:pivotFmt>
        <c:idx val="1370"/>
        <c:spPr>
          <a:solidFill>
            <a:schemeClr val="accent1"/>
          </a:solidFill>
          <a:ln>
            <a:noFill/>
          </a:ln>
          <a:effectLst>
            <a:outerShdw blurRad="254000" sx="102000" sy="102000" algn="ctr" rotWithShape="0">
              <a:prstClr val="black">
                <a:alpha val="20000"/>
              </a:prstClr>
            </a:outerShdw>
          </a:effectLst>
        </c:spPr>
      </c:pivotFmt>
      <c:pivotFmt>
        <c:idx val="1371"/>
        <c:spPr>
          <a:solidFill>
            <a:schemeClr val="accent1"/>
          </a:solidFill>
          <a:ln>
            <a:noFill/>
          </a:ln>
          <a:effectLst>
            <a:outerShdw blurRad="254000" sx="102000" sy="102000" algn="ctr" rotWithShape="0">
              <a:prstClr val="black">
                <a:alpha val="20000"/>
              </a:prstClr>
            </a:outerShdw>
          </a:effectLst>
        </c:spPr>
      </c:pivotFmt>
      <c:pivotFmt>
        <c:idx val="1372"/>
        <c:spPr>
          <a:solidFill>
            <a:schemeClr val="accent1"/>
          </a:solidFill>
          <a:ln>
            <a:noFill/>
          </a:ln>
          <a:effectLst>
            <a:outerShdw blurRad="254000" sx="102000" sy="102000" algn="ctr" rotWithShape="0">
              <a:prstClr val="black">
                <a:alpha val="20000"/>
              </a:prstClr>
            </a:outerShdw>
          </a:effectLst>
        </c:spPr>
      </c:pivotFmt>
      <c:pivotFmt>
        <c:idx val="1373"/>
        <c:spPr>
          <a:solidFill>
            <a:schemeClr val="accent1"/>
          </a:solidFill>
          <a:ln>
            <a:noFill/>
          </a:ln>
          <a:effectLst>
            <a:outerShdw blurRad="254000" sx="102000" sy="102000" algn="ctr" rotWithShape="0">
              <a:prstClr val="black">
                <a:alpha val="20000"/>
              </a:prstClr>
            </a:outerShdw>
          </a:effectLst>
        </c:spPr>
      </c:pivotFmt>
      <c:pivotFmt>
        <c:idx val="1374"/>
        <c:spPr>
          <a:solidFill>
            <a:schemeClr val="accent1"/>
          </a:solidFill>
          <a:ln>
            <a:noFill/>
          </a:ln>
          <a:effectLst>
            <a:outerShdw blurRad="254000" sx="102000" sy="102000" algn="ctr" rotWithShape="0">
              <a:prstClr val="black">
                <a:alpha val="20000"/>
              </a:prstClr>
            </a:outerShdw>
          </a:effectLst>
        </c:spPr>
      </c:pivotFmt>
      <c:pivotFmt>
        <c:idx val="1375"/>
        <c:spPr>
          <a:solidFill>
            <a:schemeClr val="accent1"/>
          </a:solidFill>
          <a:ln>
            <a:noFill/>
          </a:ln>
          <a:effectLst>
            <a:outerShdw blurRad="254000" sx="102000" sy="102000" algn="ctr" rotWithShape="0">
              <a:prstClr val="black">
                <a:alpha val="20000"/>
              </a:prstClr>
            </a:outerShdw>
          </a:effectLst>
        </c:spPr>
      </c:pivotFmt>
      <c:pivotFmt>
        <c:idx val="1376"/>
        <c:spPr>
          <a:solidFill>
            <a:schemeClr val="accent1"/>
          </a:solidFill>
          <a:ln>
            <a:noFill/>
          </a:ln>
          <a:effectLst>
            <a:outerShdw blurRad="254000" sx="102000" sy="102000" algn="ctr" rotWithShape="0">
              <a:prstClr val="black">
                <a:alpha val="20000"/>
              </a:prstClr>
            </a:outerShdw>
          </a:effectLst>
        </c:spPr>
      </c:pivotFmt>
      <c:pivotFmt>
        <c:idx val="1377"/>
        <c:spPr>
          <a:solidFill>
            <a:schemeClr val="accent1"/>
          </a:solidFill>
          <a:ln>
            <a:noFill/>
          </a:ln>
          <a:effectLst>
            <a:outerShdw blurRad="254000" sx="102000" sy="102000" algn="ctr" rotWithShape="0">
              <a:prstClr val="black">
                <a:alpha val="20000"/>
              </a:prstClr>
            </a:outerShdw>
          </a:effectLst>
        </c:spPr>
      </c:pivotFmt>
      <c:pivotFmt>
        <c:idx val="1378"/>
        <c:spPr>
          <a:solidFill>
            <a:schemeClr val="accent1"/>
          </a:solidFill>
          <a:ln>
            <a:noFill/>
          </a:ln>
          <a:effectLst>
            <a:outerShdw blurRad="254000" sx="102000" sy="102000" algn="ctr" rotWithShape="0">
              <a:prstClr val="black">
                <a:alpha val="20000"/>
              </a:prstClr>
            </a:outerShdw>
          </a:effectLst>
        </c:spPr>
      </c:pivotFmt>
      <c:pivotFmt>
        <c:idx val="1379"/>
        <c:spPr>
          <a:solidFill>
            <a:schemeClr val="accent1"/>
          </a:solidFill>
          <a:ln>
            <a:noFill/>
          </a:ln>
          <a:effectLst>
            <a:outerShdw blurRad="254000" sx="102000" sy="102000" algn="ctr" rotWithShape="0">
              <a:prstClr val="black">
                <a:alpha val="20000"/>
              </a:prstClr>
            </a:outerShdw>
          </a:effectLst>
        </c:spPr>
      </c:pivotFmt>
      <c:pivotFmt>
        <c:idx val="1380"/>
        <c:spPr>
          <a:solidFill>
            <a:schemeClr val="accent1"/>
          </a:solidFill>
          <a:ln>
            <a:noFill/>
          </a:ln>
          <a:effectLst>
            <a:outerShdw blurRad="254000" sx="102000" sy="102000" algn="ctr" rotWithShape="0">
              <a:prstClr val="black">
                <a:alpha val="20000"/>
              </a:prstClr>
            </a:outerShdw>
          </a:effectLst>
        </c:spPr>
      </c:pivotFmt>
      <c:pivotFmt>
        <c:idx val="1381"/>
        <c:spPr>
          <a:solidFill>
            <a:schemeClr val="accent1"/>
          </a:solidFill>
          <a:ln>
            <a:noFill/>
          </a:ln>
          <a:effectLst>
            <a:outerShdw blurRad="254000" sx="102000" sy="102000" algn="ctr" rotWithShape="0">
              <a:prstClr val="black">
                <a:alpha val="20000"/>
              </a:prstClr>
            </a:outerShdw>
          </a:effectLst>
        </c:spPr>
      </c:pivotFmt>
      <c:pivotFmt>
        <c:idx val="1382"/>
        <c:spPr>
          <a:solidFill>
            <a:schemeClr val="accent1"/>
          </a:solidFill>
          <a:ln>
            <a:noFill/>
          </a:ln>
          <a:effectLst>
            <a:outerShdw blurRad="254000" sx="102000" sy="102000" algn="ctr" rotWithShape="0">
              <a:prstClr val="black">
                <a:alpha val="20000"/>
              </a:prstClr>
            </a:outerShdw>
          </a:effectLst>
        </c:spPr>
      </c:pivotFmt>
      <c:pivotFmt>
        <c:idx val="1383"/>
        <c:spPr>
          <a:solidFill>
            <a:schemeClr val="accent1"/>
          </a:solidFill>
          <a:ln>
            <a:noFill/>
          </a:ln>
          <a:effectLst>
            <a:outerShdw blurRad="254000" sx="102000" sy="102000" algn="ctr" rotWithShape="0">
              <a:prstClr val="black">
                <a:alpha val="20000"/>
              </a:prstClr>
            </a:outerShdw>
          </a:effectLst>
        </c:spPr>
      </c:pivotFmt>
      <c:pivotFmt>
        <c:idx val="1384"/>
        <c:spPr>
          <a:solidFill>
            <a:schemeClr val="accent1"/>
          </a:solidFill>
          <a:ln>
            <a:noFill/>
          </a:ln>
          <a:effectLst>
            <a:outerShdw blurRad="254000" sx="102000" sy="102000" algn="ctr" rotWithShape="0">
              <a:prstClr val="black">
                <a:alpha val="20000"/>
              </a:prstClr>
            </a:outerShdw>
          </a:effectLst>
        </c:spPr>
      </c:pivotFmt>
      <c:pivotFmt>
        <c:idx val="1385"/>
        <c:spPr>
          <a:solidFill>
            <a:schemeClr val="accent1"/>
          </a:solidFill>
          <a:ln>
            <a:noFill/>
          </a:ln>
          <a:effectLst>
            <a:outerShdw blurRad="254000" sx="102000" sy="102000" algn="ctr" rotWithShape="0">
              <a:prstClr val="black">
                <a:alpha val="20000"/>
              </a:prstClr>
            </a:outerShdw>
          </a:effectLst>
        </c:spPr>
      </c:pivotFmt>
      <c:pivotFmt>
        <c:idx val="1386"/>
        <c:spPr>
          <a:solidFill>
            <a:schemeClr val="accent1"/>
          </a:solidFill>
          <a:ln>
            <a:noFill/>
          </a:ln>
          <a:effectLst>
            <a:outerShdw blurRad="254000" sx="102000" sy="102000" algn="ctr" rotWithShape="0">
              <a:prstClr val="black">
                <a:alpha val="20000"/>
              </a:prstClr>
            </a:outerShdw>
          </a:effectLst>
        </c:spPr>
      </c:pivotFmt>
      <c:pivotFmt>
        <c:idx val="1387"/>
        <c:spPr>
          <a:solidFill>
            <a:schemeClr val="accent1"/>
          </a:solidFill>
          <a:ln>
            <a:noFill/>
          </a:ln>
          <a:effectLst>
            <a:outerShdw blurRad="254000" sx="102000" sy="102000" algn="ctr" rotWithShape="0">
              <a:prstClr val="black">
                <a:alpha val="20000"/>
              </a:prstClr>
            </a:outerShdw>
          </a:effectLst>
        </c:spPr>
      </c:pivotFmt>
      <c:pivotFmt>
        <c:idx val="1388"/>
        <c:spPr>
          <a:solidFill>
            <a:schemeClr val="accent1"/>
          </a:solidFill>
          <a:ln>
            <a:noFill/>
          </a:ln>
          <a:effectLst>
            <a:outerShdw blurRad="254000" sx="102000" sy="102000" algn="ctr" rotWithShape="0">
              <a:prstClr val="black">
                <a:alpha val="20000"/>
              </a:prstClr>
            </a:outerShdw>
          </a:effectLst>
        </c:spPr>
      </c:pivotFmt>
      <c:pivotFmt>
        <c:idx val="1389"/>
        <c:spPr>
          <a:solidFill>
            <a:schemeClr val="accent1"/>
          </a:solidFill>
          <a:ln>
            <a:noFill/>
          </a:ln>
          <a:effectLst>
            <a:outerShdw blurRad="254000" sx="102000" sy="102000" algn="ctr" rotWithShape="0">
              <a:prstClr val="black">
                <a:alpha val="20000"/>
              </a:prstClr>
            </a:outerShdw>
          </a:effectLst>
        </c:spPr>
      </c:pivotFmt>
      <c:pivotFmt>
        <c:idx val="1390"/>
        <c:spPr>
          <a:solidFill>
            <a:schemeClr val="accent1"/>
          </a:solidFill>
          <a:ln>
            <a:noFill/>
          </a:ln>
          <a:effectLst>
            <a:outerShdw blurRad="254000" sx="102000" sy="102000" algn="ctr" rotWithShape="0">
              <a:prstClr val="black">
                <a:alpha val="20000"/>
              </a:prstClr>
            </a:outerShdw>
          </a:effectLst>
        </c:spPr>
      </c:pivotFmt>
      <c:pivotFmt>
        <c:idx val="1391"/>
        <c:spPr>
          <a:solidFill>
            <a:schemeClr val="accent1"/>
          </a:solidFill>
          <a:ln>
            <a:noFill/>
          </a:ln>
          <a:effectLst>
            <a:outerShdw blurRad="254000" sx="102000" sy="102000" algn="ctr" rotWithShape="0">
              <a:prstClr val="black">
                <a:alpha val="20000"/>
              </a:prstClr>
            </a:outerShdw>
          </a:effectLst>
        </c:spPr>
      </c:pivotFmt>
      <c:pivotFmt>
        <c:idx val="1392"/>
        <c:spPr>
          <a:solidFill>
            <a:schemeClr val="accent1"/>
          </a:solidFill>
          <a:ln>
            <a:noFill/>
          </a:ln>
          <a:effectLst>
            <a:outerShdw blurRad="254000" sx="102000" sy="102000" algn="ctr" rotWithShape="0">
              <a:prstClr val="black">
                <a:alpha val="20000"/>
              </a:prstClr>
            </a:outerShdw>
          </a:effectLst>
        </c:spPr>
      </c:pivotFmt>
      <c:pivotFmt>
        <c:idx val="1393"/>
        <c:spPr>
          <a:solidFill>
            <a:schemeClr val="accent1"/>
          </a:solidFill>
          <a:ln>
            <a:noFill/>
          </a:ln>
          <a:effectLst>
            <a:outerShdw blurRad="254000" sx="102000" sy="102000" algn="ctr" rotWithShape="0">
              <a:prstClr val="black">
                <a:alpha val="20000"/>
              </a:prstClr>
            </a:outerShdw>
          </a:effectLst>
        </c:spPr>
      </c:pivotFmt>
      <c:pivotFmt>
        <c:idx val="1394"/>
        <c:spPr>
          <a:solidFill>
            <a:schemeClr val="accent1"/>
          </a:solidFill>
          <a:ln>
            <a:noFill/>
          </a:ln>
          <a:effectLst>
            <a:outerShdw blurRad="254000" sx="102000" sy="102000" algn="ctr" rotWithShape="0">
              <a:prstClr val="black">
                <a:alpha val="20000"/>
              </a:prstClr>
            </a:outerShdw>
          </a:effectLst>
        </c:spPr>
      </c:pivotFmt>
      <c:pivotFmt>
        <c:idx val="1395"/>
        <c:spPr>
          <a:solidFill>
            <a:schemeClr val="accent1"/>
          </a:solidFill>
          <a:ln>
            <a:noFill/>
          </a:ln>
          <a:effectLst>
            <a:outerShdw blurRad="254000" sx="102000" sy="102000" algn="ctr" rotWithShape="0">
              <a:prstClr val="black">
                <a:alpha val="20000"/>
              </a:prstClr>
            </a:outerShdw>
          </a:effectLst>
        </c:spPr>
      </c:pivotFmt>
      <c:pivotFmt>
        <c:idx val="1396"/>
        <c:spPr>
          <a:solidFill>
            <a:schemeClr val="accent1"/>
          </a:solidFill>
          <a:ln>
            <a:noFill/>
          </a:ln>
          <a:effectLst>
            <a:outerShdw blurRad="254000" sx="102000" sy="102000" algn="ctr" rotWithShape="0">
              <a:prstClr val="black">
                <a:alpha val="20000"/>
              </a:prstClr>
            </a:outerShdw>
          </a:effectLst>
        </c:spPr>
      </c:pivotFmt>
      <c:pivotFmt>
        <c:idx val="1397"/>
        <c:spPr>
          <a:solidFill>
            <a:schemeClr val="accent1"/>
          </a:solidFill>
          <a:ln>
            <a:noFill/>
          </a:ln>
          <a:effectLst>
            <a:outerShdw blurRad="254000" sx="102000" sy="102000" algn="ctr" rotWithShape="0">
              <a:prstClr val="black">
                <a:alpha val="20000"/>
              </a:prstClr>
            </a:outerShdw>
          </a:effectLst>
        </c:spPr>
      </c:pivotFmt>
      <c:pivotFmt>
        <c:idx val="1398"/>
        <c:spPr>
          <a:solidFill>
            <a:schemeClr val="accent1"/>
          </a:solidFill>
          <a:ln>
            <a:noFill/>
          </a:ln>
          <a:effectLst>
            <a:outerShdw blurRad="254000" sx="102000" sy="102000" algn="ctr" rotWithShape="0">
              <a:prstClr val="black">
                <a:alpha val="20000"/>
              </a:prstClr>
            </a:outerShdw>
          </a:effectLst>
        </c:spPr>
      </c:pivotFmt>
      <c:pivotFmt>
        <c:idx val="1399"/>
        <c:spPr>
          <a:solidFill>
            <a:schemeClr val="accent1"/>
          </a:solidFill>
          <a:ln>
            <a:noFill/>
          </a:ln>
          <a:effectLst>
            <a:outerShdw blurRad="254000" sx="102000" sy="102000" algn="ctr" rotWithShape="0">
              <a:prstClr val="black">
                <a:alpha val="20000"/>
              </a:prstClr>
            </a:outerShdw>
          </a:effectLst>
        </c:spPr>
      </c:pivotFmt>
      <c:pivotFmt>
        <c:idx val="1400"/>
        <c:spPr>
          <a:solidFill>
            <a:schemeClr val="accent1"/>
          </a:solidFill>
          <a:ln>
            <a:noFill/>
          </a:ln>
          <a:effectLst>
            <a:outerShdw blurRad="254000" sx="102000" sy="102000" algn="ctr" rotWithShape="0">
              <a:prstClr val="black">
                <a:alpha val="20000"/>
              </a:prstClr>
            </a:outerShdw>
          </a:effectLst>
        </c:spPr>
      </c:pivotFmt>
      <c:pivotFmt>
        <c:idx val="1401"/>
        <c:spPr>
          <a:solidFill>
            <a:schemeClr val="accent1"/>
          </a:solidFill>
          <a:ln>
            <a:noFill/>
          </a:ln>
          <a:effectLst>
            <a:outerShdw blurRad="254000" sx="102000" sy="102000" algn="ctr" rotWithShape="0">
              <a:prstClr val="black">
                <a:alpha val="20000"/>
              </a:prstClr>
            </a:outerShdw>
          </a:effectLst>
        </c:spPr>
      </c:pivotFmt>
      <c:pivotFmt>
        <c:idx val="1402"/>
        <c:spPr>
          <a:solidFill>
            <a:schemeClr val="accent1"/>
          </a:solidFill>
          <a:ln>
            <a:noFill/>
          </a:ln>
          <a:effectLst>
            <a:outerShdw blurRad="254000" sx="102000" sy="102000" algn="ctr" rotWithShape="0">
              <a:prstClr val="black">
                <a:alpha val="20000"/>
              </a:prstClr>
            </a:outerShdw>
          </a:effectLst>
        </c:spPr>
      </c:pivotFmt>
      <c:pivotFmt>
        <c:idx val="1403"/>
        <c:spPr>
          <a:solidFill>
            <a:schemeClr val="accent1"/>
          </a:solidFill>
          <a:ln>
            <a:noFill/>
          </a:ln>
          <a:effectLst>
            <a:outerShdw blurRad="254000" sx="102000" sy="102000" algn="ctr" rotWithShape="0">
              <a:prstClr val="black">
                <a:alpha val="20000"/>
              </a:prstClr>
            </a:outerShdw>
          </a:effectLst>
        </c:spPr>
      </c:pivotFmt>
      <c:pivotFmt>
        <c:idx val="1404"/>
        <c:spPr>
          <a:solidFill>
            <a:schemeClr val="accent1"/>
          </a:solidFill>
          <a:ln>
            <a:noFill/>
          </a:ln>
          <a:effectLst>
            <a:outerShdw blurRad="254000" sx="102000" sy="102000" algn="ctr" rotWithShape="0">
              <a:prstClr val="black">
                <a:alpha val="20000"/>
              </a:prstClr>
            </a:outerShdw>
          </a:effectLst>
        </c:spPr>
      </c:pivotFmt>
      <c:pivotFmt>
        <c:idx val="1405"/>
        <c:spPr>
          <a:solidFill>
            <a:schemeClr val="accent1"/>
          </a:solidFill>
          <a:ln>
            <a:noFill/>
          </a:ln>
          <a:effectLst>
            <a:outerShdw blurRad="254000" sx="102000" sy="102000" algn="ctr" rotWithShape="0">
              <a:prstClr val="black">
                <a:alpha val="20000"/>
              </a:prstClr>
            </a:outerShdw>
          </a:effectLst>
        </c:spPr>
      </c:pivotFmt>
      <c:pivotFmt>
        <c:idx val="1406"/>
        <c:spPr>
          <a:solidFill>
            <a:schemeClr val="accent1"/>
          </a:solidFill>
          <a:ln>
            <a:noFill/>
          </a:ln>
          <a:effectLst>
            <a:outerShdw blurRad="254000" sx="102000" sy="102000" algn="ctr" rotWithShape="0">
              <a:prstClr val="black">
                <a:alpha val="20000"/>
              </a:prstClr>
            </a:outerShdw>
          </a:effectLst>
        </c:spPr>
      </c:pivotFmt>
      <c:pivotFmt>
        <c:idx val="1407"/>
        <c:spPr>
          <a:solidFill>
            <a:schemeClr val="accent1"/>
          </a:solidFill>
          <a:ln>
            <a:noFill/>
          </a:ln>
          <a:effectLst>
            <a:outerShdw blurRad="254000" sx="102000" sy="102000" algn="ctr" rotWithShape="0">
              <a:prstClr val="black">
                <a:alpha val="20000"/>
              </a:prstClr>
            </a:outerShdw>
          </a:effectLst>
        </c:spPr>
      </c:pivotFmt>
      <c:pivotFmt>
        <c:idx val="1408"/>
        <c:spPr>
          <a:solidFill>
            <a:schemeClr val="accent1"/>
          </a:solidFill>
          <a:ln>
            <a:noFill/>
          </a:ln>
          <a:effectLst>
            <a:outerShdw blurRad="254000" sx="102000" sy="102000" algn="ctr" rotWithShape="0">
              <a:prstClr val="black">
                <a:alpha val="20000"/>
              </a:prstClr>
            </a:outerShdw>
          </a:effectLst>
        </c:spPr>
      </c:pivotFmt>
      <c:pivotFmt>
        <c:idx val="1409"/>
        <c:spPr>
          <a:solidFill>
            <a:schemeClr val="accent1"/>
          </a:solidFill>
          <a:ln>
            <a:noFill/>
          </a:ln>
          <a:effectLst>
            <a:outerShdw blurRad="254000" sx="102000" sy="102000" algn="ctr" rotWithShape="0">
              <a:prstClr val="black">
                <a:alpha val="20000"/>
              </a:prstClr>
            </a:outerShdw>
          </a:effectLst>
        </c:spPr>
      </c:pivotFmt>
      <c:pivotFmt>
        <c:idx val="1410"/>
        <c:spPr>
          <a:solidFill>
            <a:schemeClr val="accent1"/>
          </a:solidFill>
          <a:ln>
            <a:noFill/>
          </a:ln>
          <a:effectLst>
            <a:outerShdw blurRad="254000" sx="102000" sy="102000" algn="ctr" rotWithShape="0">
              <a:prstClr val="black">
                <a:alpha val="20000"/>
              </a:prstClr>
            </a:outerShdw>
          </a:effectLst>
        </c:spPr>
      </c:pivotFmt>
      <c:pivotFmt>
        <c:idx val="1411"/>
        <c:spPr>
          <a:solidFill>
            <a:schemeClr val="accent1"/>
          </a:solidFill>
          <a:ln>
            <a:noFill/>
          </a:ln>
          <a:effectLst>
            <a:outerShdw blurRad="254000" sx="102000" sy="102000" algn="ctr" rotWithShape="0">
              <a:prstClr val="black">
                <a:alpha val="20000"/>
              </a:prstClr>
            </a:outerShdw>
          </a:effectLst>
        </c:spPr>
      </c:pivotFmt>
      <c:pivotFmt>
        <c:idx val="1412"/>
        <c:spPr>
          <a:solidFill>
            <a:schemeClr val="accent1"/>
          </a:solidFill>
          <a:ln>
            <a:noFill/>
          </a:ln>
          <a:effectLst>
            <a:outerShdw blurRad="254000" sx="102000" sy="102000" algn="ctr" rotWithShape="0">
              <a:prstClr val="black">
                <a:alpha val="20000"/>
              </a:prstClr>
            </a:outerShdw>
          </a:effectLst>
        </c:spPr>
      </c:pivotFmt>
      <c:pivotFmt>
        <c:idx val="1413"/>
        <c:spPr>
          <a:solidFill>
            <a:schemeClr val="accent1"/>
          </a:solidFill>
          <a:ln>
            <a:noFill/>
          </a:ln>
          <a:effectLst>
            <a:outerShdw blurRad="254000" sx="102000" sy="102000" algn="ctr" rotWithShape="0">
              <a:prstClr val="black">
                <a:alpha val="20000"/>
              </a:prstClr>
            </a:outerShdw>
          </a:effectLst>
        </c:spPr>
      </c:pivotFmt>
      <c:pivotFmt>
        <c:idx val="1414"/>
        <c:spPr>
          <a:solidFill>
            <a:schemeClr val="accent1"/>
          </a:solidFill>
          <a:ln>
            <a:noFill/>
          </a:ln>
          <a:effectLst>
            <a:outerShdw blurRad="254000" sx="102000" sy="102000" algn="ctr" rotWithShape="0">
              <a:prstClr val="black">
                <a:alpha val="20000"/>
              </a:prstClr>
            </a:outerShdw>
          </a:effectLst>
        </c:spPr>
      </c:pivotFmt>
      <c:pivotFmt>
        <c:idx val="1415"/>
        <c:spPr>
          <a:solidFill>
            <a:schemeClr val="accent1"/>
          </a:solidFill>
          <a:ln>
            <a:noFill/>
          </a:ln>
          <a:effectLst>
            <a:outerShdw blurRad="254000" sx="102000" sy="102000" algn="ctr" rotWithShape="0">
              <a:prstClr val="black">
                <a:alpha val="20000"/>
              </a:prstClr>
            </a:outerShdw>
          </a:effectLst>
        </c:spPr>
      </c:pivotFmt>
      <c:pivotFmt>
        <c:idx val="1416"/>
        <c:spPr>
          <a:solidFill>
            <a:schemeClr val="accent1"/>
          </a:solidFill>
          <a:ln>
            <a:noFill/>
          </a:ln>
          <a:effectLst>
            <a:outerShdw blurRad="254000" sx="102000" sy="102000" algn="ctr" rotWithShape="0">
              <a:prstClr val="black">
                <a:alpha val="20000"/>
              </a:prstClr>
            </a:outerShdw>
          </a:effectLst>
        </c:spPr>
      </c:pivotFmt>
      <c:pivotFmt>
        <c:idx val="1417"/>
        <c:spPr>
          <a:solidFill>
            <a:schemeClr val="accent1"/>
          </a:solidFill>
          <a:ln>
            <a:noFill/>
          </a:ln>
          <a:effectLst>
            <a:outerShdw blurRad="254000" sx="102000" sy="102000" algn="ctr" rotWithShape="0">
              <a:prstClr val="black">
                <a:alpha val="20000"/>
              </a:prstClr>
            </a:outerShdw>
          </a:effectLst>
        </c:spPr>
      </c:pivotFmt>
      <c:pivotFmt>
        <c:idx val="1418"/>
        <c:spPr>
          <a:solidFill>
            <a:schemeClr val="accent1"/>
          </a:solidFill>
          <a:ln>
            <a:noFill/>
          </a:ln>
          <a:effectLst>
            <a:outerShdw blurRad="254000" sx="102000" sy="102000" algn="ctr" rotWithShape="0">
              <a:prstClr val="black">
                <a:alpha val="20000"/>
              </a:prstClr>
            </a:outerShdw>
          </a:effectLst>
        </c:spPr>
      </c:pivotFmt>
      <c:pivotFmt>
        <c:idx val="1419"/>
        <c:spPr>
          <a:solidFill>
            <a:schemeClr val="accent1"/>
          </a:solidFill>
          <a:ln>
            <a:noFill/>
          </a:ln>
          <a:effectLst>
            <a:outerShdw blurRad="254000" sx="102000" sy="102000" algn="ctr" rotWithShape="0">
              <a:prstClr val="black">
                <a:alpha val="20000"/>
              </a:prstClr>
            </a:outerShdw>
          </a:effectLst>
        </c:spPr>
      </c:pivotFmt>
      <c:pivotFmt>
        <c:idx val="1420"/>
        <c:spPr>
          <a:solidFill>
            <a:schemeClr val="accent1"/>
          </a:solidFill>
          <a:ln>
            <a:noFill/>
          </a:ln>
          <a:effectLst>
            <a:outerShdw blurRad="254000" sx="102000" sy="102000" algn="ctr" rotWithShape="0">
              <a:prstClr val="black">
                <a:alpha val="20000"/>
              </a:prstClr>
            </a:outerShdw>
          </a:effectLst>
        </c:spPr>
      </c:pivotFmt>
      <c:pivotFmt>
        <c:idx val="1421"/>
        <c:spPr>
          <a:solidFill>
            <a:schemeClr val="accent1"/>
          </a:solidFill>
          <a:ln>
            <a:noFill/>
          </a:ln>
          <a:effectLst>
            <a:outerShdw blurRad="254000" sx="102000" sy="102000" algn="ctr" rotWithShape="0">
              <a:prstClr val="black">
                <a:alpha val="20000"/>
              </a:prstClr>
            </a:outerShdw>
          </a:effectLst>
        </c:spPr>
      </c:pivotFmt>
      <c:pivotFmt>
        <c:idx val="1422"/>
        <c:spPr>
          <a:solidFill>
            <a:schemeClr val="accent1"/>
          </a:solidFill>
          <a:ln>
            <a:noFill/>
          </a:ln>
          <a:effectLst>
            <a:outerShdw blurRad="254000" sx="102000" sy="102000" algn="ctr" rotWithShape="0">
              <a:prstClr val="black">
                <a:alpha val="20000"/>
              </a:prstClr>
            </a:outerShdw>
          </a:effectLst>
        </c:spPr>
      </c:pivotFmt>
      <c:pivotFmt>
        <c:idx val="1423"/>
        <c:spPr>
          <a:solidFill>
            <a:schemeClr val="accent1"/>
          </a:solidFill>
          <a:ln>
            <a:noFill/>
          </a:ln>
          <a:effectLst>
            <a:outerShdw blurRad="254000" sx="102000" sy="102000" algn="ctr" rotWithShape="0">
              <a:prstClr val="black">
                <a:alpha val="20000"/>
              </a:prstClr>
            </a:outerShdw>
          </a:effectLst>
        </c:spPr>
      </c:pivotFmt>
      <c:pivotFmt>
        <c:idx val="1424"/>
        <c:spPr>
          <a:solidFill>
            <a:schemeClr val="accent1"/>
          </a:solidFill>
          <a:ln>
            <a:noFill/>
          </a:ln>
          <a:effectLst>
            <a:outerShdw blurRad="254000" sx="102000" sy="102000" algn="ctr" rotWithShape="0">
              <a:prstClr val="black">
                <a:alpha val="20000"/>
              </a:prstClr>
            </a:outerShdw>
          </a:effectLst>
        </c:spPr>
      </c:pivotFmt>
      <c:pivotFmt>
        <c:idx val="1425"/>
        <c:spPr>
          <a:solidFill>
            <a:schemeClr val="accent1"/>
          </a:solidFill>
          <a:ln>
            <a:noFill/>
          </a:ln>
          <a:effectLst>
            <a:outerShdw blurRad="254000" sx="102000" sy="102000" algn="ctr" rotWithShape="0">
              <a:prstClr val="black">
                <a:alpha val="20000"/>
              </a:prstClr>
            </a:outerShdw>
          </a:effectLst>
        </c:spPr>
      </c:pivotFmt>
      <c:pivotFmt>
        <c:idx val="1426"/>
        <c:spPr>
          <a:solidFill>
            <a:schemeClr val="accent1"/>
          </a:solidFill>
          <a:ln>
            <a:noFill/>
          </a:ln>
          <a:effectLst>
            <a:outerShdw blurRad="254000" sx="102000" sy="102000" algn="ctr" rotWithShape="0">
              <a:prstClr val="black">
                <a:alpha val="20000"/>
              </a:prstClr>
            </a:outerShdw>
          </a:effectLst>
        </c:spPr>
      </c:pivotFmt>
      <c:pivotFmt>
        <c:idx val="1427"/>
        <c:spPr>
          <a:solidFill>
            <a:schemeClr val="accent1"/>
          </a:solidFill>
          <a:ln>
            <a:noFill/>
          </a:ln>
          <a:effectLst>
            <a:outerShdw blurRad="254000" sx="102000" sy="102000" algn="ctr" rotWithShape="0">
              <a:prstClr val="black">
                <a:alpha val="20000"/>
              </a:prstClr>
            </a:outerShdw>
          </a:effectLst>
        </c:spPr>
      </c:pivotFmt>
      <c:pivotFmt>
        <c:idx val="1428"/>
        <c:spPr>
          <a:solidFill>
            <a:schemeClr val="accent1"/>
          </a:solidFill>
          <a:ln>
            <a:noFill/>
          </a:ln>
          <a:effectLst>
            <a:outerShdw blurRad="254000" sx="102000" sy="102000" algn="ctr" rotWithShape="0">
              <a:prstClr val="black">
                <a:alpha val="20000"/>
              </a:prstClr>
            </a:outerShdw>
          </a:effectLst>
        </c:spPr>
      </c:pivotFmt>
      <c:pivotFmt>
        <c:idx val="1429"/>
        <c:spPr>
          <a:solidFill>
            <a:schemeClr val="accent1"/>
          </a:solidFill>
          <a:ln>
            <a:noFill/>
          </a:ln>
          <a:effectLst>
            <a:outerShdw blurRad="254000" sx="102000" sy="102000" algn="ctr" rotWithShape="0">
              <a:prstClr val="black">
                <a:alpha val="20000"/>
              </a:prstClr>
            </a:outerShdw>
          </a:effectLst>
        </c:spPr>
      </c:pivotFmt>
      <c:pivotFmt>
        <c:idx val="1430"/>
        <c:spPr>
          <a:solidFill>
            <a:schemeClr val="accent1"/>
          </a:solidFill>
          <a:ln>
            <a:noFill/>
          </a:ln>
          <a:effectLst>
            <a:outerShdw blurRad="254000" sx="102000" sy="102000" algn="ctr" rotWithShape="0">
              <a:prstClr val="black">
                <a:alpha val="20000"/>
              </a:prstClr>
            </a:outerShdw>
          </a:effectLst>
        </c:spPr>
      </c:pivotFmt>
      <c:pivotFmt>
        <c:idx val="1431"/>
        <c:spPr>
          <a:solidFill>
            <a:schemeClr val="accent1"/>
          </a:solidFill>
          <a:ln>
            <a:noFill/>
          </a:ln>
          <a:effectLst>
            <a:outerShdw blurRad="254000" sx="102000" sy="102000" algn="ctr" rotWithShape="0">
              <a:prstClr val="black">
                <a:alpha val="20000"/>
              </a:prstClr>
            </a:outerShdw>
          </a:effectLst>
        </c:spPr>
      </c:pivotFmt>
      <c:pivotFmt>
        <c:idx val="1432"/>
        <c:spPr>
          <a:solidFill>
            <a:schemeClr val="accent1"/>
          </a:solidFill>
          <a:ln>
            <a:noFill/>
          </a:ln>
          <a:effectLst>
            <a:outerShdw blurRad="254000" sx="102000" sy="102000" algn="ctr" rotWithShape="0">
              <a:prstClr val="black">
                <a:alpha val="20000"/>
              </a:prstClr>
            </a:outerShdw>
          </a:effectLst>
        </c:spPr>
      </c:pivotFmt>
      <c:pivotFmt>
        <c:idx val="1433"/>
        <c:spPr>
          <a:solidFill>
            <a:schemeClr val="accent1"/>
          </a:solidFill>
          <a:ln>
            <a:noFill/>
          </a:ln>
          <a:effectLst>
            <a:outerShdw blurRad="254000" sx="102000" sy="102000" algn="ctr" rotWithShape="0">
              <a:prstClr val="black">
                <a:alpha val="20000"/>
              </a:prstClr>
            </a:outerShdw>
          </a:effectLst>
        </c:spPr>
      </c:pivotFmt>
      <c:pivotFmt>
        <c:idx val="1434"/>
        <c:spPr>
          <a:solidFill>
            <a:schemeClr val="accent1"/>
          </a:solidFill>
          <a:ln>
            <a:noFill/>
          </a:ln>
          <a:effectLst>
            <a:outerShdw blurRad="254000" sx="102000" sy="102000" algn="ctr" rotWithShape="0">
              <a:prstClr val="black">
                <a:alpha val="20000"/>
              </a:prstClr>
            </a:outerShdw>
          </a:effectLst>
        </c:spPr>
      </c:pivotFmt>
      <c:pivotFmt>
        <c:idx val="1435"/>
        <c:spPr>
          <a:solidFill>
            <a:schemeClr val="accent1"/>
          </a:solidFill>
          <a:ln>
            <a:noFill/>
          </a:ln>
          <a:effectLst>
            <a:outerShdw blurRad="254000" sx="102000" sy="102000" algn="ctr" rotWithShape="0">
              <a:prstClr val="black">
                <a:alpha val="20000"/>
              </a:prstClr>
            </a:outerShdw>
          </a:effectLst>
        </c:spPr>
      </c:pivotFmt>
      <c:pivotFmt>
        <c:idx val="1436"/>
        <c:spPr>
          <a:solidFill>
            <a:schemeClr val="accent1"/>
          </a:solidFill>
          <a:ln>
            <a:noFill/>
          </a:ln>
          <a:effectLst>
            <a:outerShdw blurRad="254000" sx="102000" sy="102000" algn="ctr" rotWithShape="0">
              <a:prstClr val="black">
                <a:alpha val="20000"/>
              </a:prstClr>
            </a:outerShdw>
          </a:effectLst>
        </c:spPr>
      </c:pivotFmt>
      <c:pivotFmt>
        <c:idx val="1437"/>
        <c:spPr>
          <a:solidFill>
            <a:schemeClr val="accent1"/>
          </a:solidFill>
          <a:ln>
            <a:noFill/>
          </a:ln>
          <a:effectLst>
            <a:outerShdw blurRad="254000" sx="102000" sy="102000" algn="ctr" rotWithShape="0">
              <a:prstClr val="black">
                <a:alpha val="20000"/>
              </a:prstClr>
            </a:outerShdw>
          </a:effectLst>
        </c:spPr>
      </c:pivotFmt>
      <c:pivotFmt>
        <c:idx val="1438"/>
        <c:spPr>
          <a:solidFill>
            <a:schemeClr val="accent1"/>
          </a:solidFill>
          <a:ln>
            <a:noFill/>
          </a:ln>
          <a:effectLst>
            <a:outerShdw blurRad="254000" sx="102000" sy="102000" algn="ctr" rotWithShape="0">
              <a:prstClr val="black">
                <a:alpha val="20000"/>
              </a:prstClr>
            </a:outerShdw>
          </a:effectLst>
        </c:spPr>
      </c:pivotFmt>
      <c:pivotFmt>
        <c:idx val="1439"/>
        <c:spPr>
          <a:solidFill>
            <a:schemeClr val="accent1"/>
          </a:solidFill>
          <a:ln>
            <a:noFill/>
          </a:ln>
          <a:effectLst>
            <a:outerShdw blurRad="254000" sx="102000" sy="102000" algn="ctr" rotWithShape="0">
              <a:prstClr val="black">
                <a:alpha val="20000"/>
              </a:prstClr>
            </a:outerShdw>
          </a:effectLst>
        </c:spPr>
      </c:pivotFmt>
      <c:pivotFmt>
        <c:idx val="1440"/>
        <c:spPr>
          <a:solidFill>
            <a:schemeClr val="accent1"/>
          </a:solidFill>
          <a:ln>
            <a:noFill/>
          </a:ln>
          <a:effectLst>
            <a:outerShdw blurRad="254000" sx="102000" sy="102000" algn="ctr" rotWithShape="0">
              <a:prstClr val="black">
                <a:alpha val="20000"/>
              </a:prstClr>
            </a:outerShdw>
          </a:effectLst>
        </c:spPr>
      </c:pivotFmt>
      <c:pivotFmt>
        <c:idx val="1441"/>
        <c:spPr>
          <a:solidFill>
            <a:schemeClr val="accent1"/>
          </a:solidFill>
          <a:ln>
            <a:noFill/>
          </a:ln>
          <a:effectLst>
            <a:outerShdw blurRad="254000" sx="102000" sy="102000" algn="ctr" rotWithShape="0">
              <a:prstClr val="black">
                <a:alpha val="20000"/>
              </a:prstClr>
            </a:outerShdw>
          </a:effectLst>
        </c:spPr>
      </c:pivotFmt>
      <c:pivotFmt>
        <c:idx val="1442"/>
        <c:spPr>
          <a:solidFill>
            <a:schemeClr val="accent1"/>
          </a:solidFill>
          <a:ln>
            <a:noFill/>
          </a:ln>
          <a:effectLst>
            <a:outerShdw blurRad="254000" sx="102000" sy="102000" algn="ctr" rotWithShape="0">
              <a:prstClr val="black">
                <a:alpha val="20000"/>
              </a:prstClr>
            </a:outerShdw>
          </a:effectLst>
        </c:spPr>
      </c:pivotFmt>
      <c:pivotFmt>
        <c:idx val="1443"/>
        <c:spPr>
          <a:solidFill>
            <a:schemeClr val="accent1"/>
          </a:solidFill>
          <a:ln>
            <a:noFill/>
          </a:ln>
          <a:effectLst>
            <a:outerShdw blurRad="254000" sx="102000" sy="102000" algn="ctr" rotWithShape="0">
              <a:prstClr val="black">
                <a:alpha val="20000"/>
              </a:prstClr>
            </a:outerShdw>
          </a:effectLst>
        </c:spPr>
      </c:pivotFmt>
      <c:pivotFmt>
        <c:idx val="1444"/>
        <c:spPr>
          <a:solidFill>
            <a:schemeClr val="accent1"/>
          </a:solidFill>
          <a:ln>
            <a:noFill/>
          </a:ln>
          <a:effectLst>
            <a:outerShdw blurRad="254000" sx="102000" sy="102000" algn="ctr" rotWithShape="0">
              <a:prstClr val="black">
                <a:alpha val="20000"/>
              </a:prstClr>
            </a:outerShdw>
          </a:effectLst>
        </c:spPr>
      </c:pivotFmt>
      <c:pivotFmt>
        <c:idx val="1445"/>
        <c:spPr>
          <a:solidFill>
            <a:schemeClr val="accent1"/>
          </a:solidFill>
          <a:ln>
            <a:noFill/>
          </a:ln>
          <a:effectLst>
            <a:outerShdw blurRad="254000" sx="102000" sy="102000" algn="ctr" rotWithShape="0">
              <a:prstClr val="black">
                <a:alpha val="20000"/>
              </a:prstClr>
            </a:outerShdw>
          </a:effectLst>
        </c:spPr>
      </c:pivotFmt>
      <c:pivotFmt>
        <c:idx val="1446"/>
        <c:spPr>
          <a:solidFill>
            <a:schemeClr val="accent1"/>
          </a:solidFill>
          <a:ln>
            <a:noFill/>
          </a:ln>
          <a:effectLst>
            <a:outerShdw blurRad="254000" sx="102000" sy="102000" algn="ctr" rotWithShape="0">
              <a:prstClr val="black">
                <a:alpha val="20000"/>
              </a:prstClr>
            </a:outerShdw>
          </a:effectLst>
        </c:spPr>
      </c:pivotFmt>
      <c:pivotFmt>
        <c:idx val="1447"/>
        <c:spPr>
          <a:solidFill>
            <a:schemeClr val="accent1"/>
          </a:solidFill>
          <a:ln>
            <a:noFill/>
          </a:ln>
          <a:effectLst>
            <a:outerShdw blurRad="254000" sx="102000" sy="102000" algn="ctr" rotWithShape="0">
              <a:prstClr val="black">
                <a:alpha val="20000"/>
              </a:prstClr>
            </a:outerShdw>
          </a:effectLst>
        </c:spPr>
      </c:pivotFmt>
      <c:pivotFmt>
        <c:idx val="1448"/>
        <c:spPr>
          <a:solidFill>
            <a:schemeClr val="accent1"/>
          </a:solidFill>
          <a:ln>
            <a:noFill/>
          </a:ln>
          <a:effectLst>
            <a:outerShdw blurRad="254000" sx="102000" sy="102000" algn="ctr" rotWithShape="0">
              <a:prstClr val="black">
                <a:alpha val="20000"/>
              </a:prstClr>
            </a:outerShdw>
          </a:effectLst>
        </c:spPr>
      </c:pivotFmt>
      <c:pivotFmt>
        <c:idx val="1449"/>
        <c:spPr>
          <a:solidFill>
            <a:schemeClr val="accent1"/>
          </a:solidFill>
          <a:ln>
            <a:noFill/>
          </a:ln>
          <a:effectLst>
            <a:outerShdw blurRad="254000" sx="102000" sy="102000" algn="ctr" rotWithShape="0">
              <a:prstClr val="black">
                <a:alpha val="20000"/>
              </a:prstClr>
            </a:outerShdw>
          </a:effectLst>
        </c:spPr>
      </c:pivotFmt>
      <c:pivotFmt>
        <c:idx val="1450"/>
        <c:spPr>
          <a:solidFill>
            <a:schemeClr val="accent1"/>
          </a:solidFill>
          <a:ln>
            <a:noFill/>
          </a:ln>
          <a:effectLst>
            <a:outerShdw blurRad="254000" sx="102000" sy="102000" algn="ctr" rotWithShape="0">
              <a:prstClr val="black">
                <a:alpha val="20000"/>
              </a:prstClr>
            </a:outerShdw>
          </a:effectLst>
        </c:spPr>
      </c:pivotFmt>
      <c:pivotFmt>
        <c:idx val="1451"/>
        <c:spPr>
          <a:solidFill>
            <a:schemeClr val="accent1"/>
          </a:solidFill>
          <a:ln>
            <a:noFill/>
          </a:ln>
          <a:effectLst>
            <a:outerShdw blurRad="254000" sx="102000" sy="102000" algn="ctr" rotWithShape="0">
              <a:prstClr val="black">
                <a:alpha val="20000"/>
              </a:prstClr>
            </a:outerShdw>
          </a:effectLst>
        </c:spPr>
      </c:pivotFmt>
      <c:pivotFmt>
        <c:idx val="1452"/>
        <c:spPr>
          <a:solidFill>
            <a:schemeClr val="accent1"/>
          </a:solidFill>
          <a:ln>
            <a:noFill/>
          </a:ln>
          <a:effectLst>
            <a:outerShdw blurRad="254000" sx="102000" sy="102000" algn="ctr" rotWithShape="0">
              <a:prstClr val="black">
                <a:alpha val="20000"/>
              </a:prstClr>
            </a:outerShdw>
          </a:effectLst>
        </c:spPr>
      </c:pivotFmt>
      <c:pivotFmt>
        <c:idx val="1453"/>
        <c:spPr>
          <a:solidFill>
            <a:schemeClr val="accent1"/>
          </a:solidFill>
          <a:ln>
            <a:noFill/>
          </a:ln>
          <a:effectLst>
            <a:outerShdw blurRad="254000" sx="102000" sy="102000" algn="ctr" rotWithShape="0">
              <a:prstClr val="black">
                <a:alpha val="20000"/>
              </a:prstClr>
            </a:outerShdw>
          </a:effectLst>
        </c:spPr>
      </c:pivotFmt>
      <c:pivotFmt>
        <c:idx val="1454"/>
        <c:spPr>
          <a:solidFill>
            <a:schemeClr val="accent1"/>
          </a:solidFill>
          <a:ln>
            <a:noFill/>
          </a:ln>
          <a:effectLst>
            <a:outerShdw blurRad="254000" sx="102000" sy="102000" algn="ctr" rotWithShape="0">
              <a:prstClr val="black">
                <a:alpha val="20000"/>
              </a:prstClr>
            </a:outerShdw>
          </a:effectLst>
        </c:spPr>
      </c:pivotFmt>
      <c:pivotFmt>
        <c:idx val="1455"/>
        <c:spPr>
          <a:solidFill>
            <a:schemeClr val="accent1"/>
          </a:solidFill>
          <a:ln>
            <a:noFill/>
          </a:ln>
          <a:effectLst>
            <a:outerShdw blurRad="254000" sx="102000" sy="102000" algn="ctr" rotWithShape="0">
              <a:prstClr val="black">
                <a:alpha val="20000"/>
              </a:prstClr>
            </a:outerShdw>
          </a:effectLst>
        </c:spPr>
      </c:pivotFmt>
      <c:pivotFmt>
        <c:idx val="1456"/>
        <c:spPr>
          <a:solidFill>
            <a:schemeClr val="accent1"/>
          </a:solidFill>
          <a:ln>
            <a:noFill/>
          </a:ln>
          <a:effectLst>
            <a:outerShdw blurRad="254000" sx="102000" sy="102000" algn="ctr" rotWithShape="0">
              <a:prstClr val="black">
                <a:alpha val="20000"/>
              </a:prstClr>
            </a:outerShdw>
          </a:effectLst>
        </c:spPr>
      </c:pivotFmt>
      <c:pivotFmt>
        <c:idx val="1457"/>
        <c:spPr>
          <a:solidFill>
            <a:schemeClr val="accent1"/>
          </a:solidFill>
          <a:ln>
            <a:noFill/>
          </a:ln>
          <a:effectLst>
            <a:outerShdw blurRad="254000" sx="102000" sy="102000" algn="ctr" rotWithShape="0">
              <a:prstClr val="black">
                <a:alpha val="20000"/>
              </a:prstClr>
            </a:outerShdw>
          </a:effectLst>
        </c:spPr>
      </c:pivotFmt>
      <c:pivotFmt>
        <c:idx val="1458"/>
        <c:spPr>
          <a:solidFill>
            <a:schemeClr val="accent1"/>
          </a:solidFill>
          <a:ln>
            <a:noFill/>
          </a:ln>
          <a:effectLst>
            <a:outerShdw blurRad="254000" sx="102000" sy="102000" algn="ctr" rotWithShape="0">
              <a:prstClr val="black">
                <a:alpha val="20000"/>
              </a:prstClr>
            </a:outerShdw>
          </a:effectLst>
        </c:spPr>
      </c:pivotFmt>
      <c:pivotFmt>
        <c:idx val="1459"/>
        <c:spPr>
          <a:solidFill>
            <a:schemeClr val="accent1"/>
          </a:solidFill>
          <a:ln>
            <a:noFill/>
          </a:ln>
          <a:effectLst>
            <a:outerShdw blurRad="254000" sx="102000" sy="102000" algn="ctr" rotWithShape="0">
              <a:prstClr val="black">
                <a:alpha val="20000"/>
              </a:prstClr>
            </a:outerShdw>
          </a:effectLst>
        </c:spPr>
      </c:pivotFmt>
      <c:pivotFmt>
        <c:idx val="1460"/>
        <c:spPr>
          <a:solidFill>
            <a:schemeClr val="accent1"/>
          </a:solidFill>
          <a:ln>
            <a:noFill/>
          </a:ln>
          <a:effectLst>
            <a:outerShdw blurRad="254000" sx="102000" sy="102000" algn="ctr" rotWithShape="0">
              <a:prstClr val="black">
                <a:alpha val="20000"/>
              </a:prstClr>
            </a:outerShdw>
          </a:effectLst>
        </c:spPr>
      </c:pivotFmt>
      <c:pivotFmt>
        <c:idx val="1461"/>
        <c:spPr>
          <a:solidFill>
            <a:schemeClr val="accent1"/>
          </a:solidFill>
          <a:ln>
            <a:noFill/>
          </a:ln>
          <a:effectLst>
            <a:outerShdw blurRad="254000" sx="102000" sy="102000" algn="ctr" rotWithShape="0">
              <a:prstClr val="black">
                <a:alpha val="20000"/>
              </a:prstClr>
            </a:outerShdw>
          </a:effectLst>
        </c:spPr>
      </c:pivotFmt>
      <c:pivotFmt>
        <c:idx val="1462"/>
        <c:spPr>
          <a:solidFill>
            <a:schemeClr val="accent1"/>
          </a:solidFill>
          <a:ln>
            <a:noFill/>
          </a:ln>
          <a:effectLst>
            <a:outerShdw blurRad="254000" sx="102000" sy="102000" algn="ctr" rotWithShape="0">
              <a:prstClr val="black">
                <a:alpha val="20000"/>
              </a:prstClr>
            </a:outerShdw>
          </a:effectLst>
        </c:spPr>
      </c:pivotFmt>
      <c:pivotFmt>
        <c:idx val="1463"/>
        <c:spPr>
          <a:solidFill>
            <a:schemeClr val="accent1"/>
          </a:solidFill>
          <a:ln>
            <a:noFill/>
          </a:ln>
          <a:effectLst>
            <a:outerShdw blurRad="254000" sx="102000" sy="102000" algn="ctr" rotWithShape="0">
              <a:prstClr val="black">
                <a:alpha val="20000"/>
              </a:prstClr>
            </a:outerShdw>
          </a:effectLst>
        </c:spPr>
      </c:pivotFmt>
      <c:pivotFmt>
        <c:idx val="1464"/>
        <c:spPr>
          <a:solidFill>
            <a:schemeClr val="accent1"/>
          </a:solidFill>
          <a:ln>
            <a:noFill/>
          </a:ln>
          <a:effectLst>
            <a:outerShdw blurRad="254000" sx="102000" sy="102000" algn="ctr" rotWithShape="0">
              <a:prstClr val="black">
                <a:alpha val="20000"/>
              </a:prstClr>
            </a:outerShdw>
          </a:effectLst>
        </c:spPr>
      </c:pivotFmt>
      <c:pivotFmt>
        <c:idx val="1465"/>
        <c:spPr>
          <a:solidFill>
            <a:schemeClr val="accent1"/>
          </a:solidFill>
          <a:ln>
            <a:noFill/>
          </a:ln>
          <a:effectLst>
            <a:outerShdw blurRad="254000" sx="102000" sy="102000" algn="ctr" rotWithShape="0">
              <a:prstClr val="black">
                <a:alpha val="20000"/>
              </a:prstClr>
            </a:outerShdw>
          </a:effectLst>
        </c:spPr>
      </c:pivotFmt>
      <c:pivotFmt>
        <c:idx val="1466"/>
        <c:spPr>
          <a:solidFill>
            <a:schemeClr val="accent1"/>
          </a:solidFill>
          <a:ln>
            <a:noFill/>
          </a:ln>
          <a:effectLst>
            <a:outerShdw blurRad="254000" sx="102000" sy="102000" algn="ctr" rotWithShape="0">
              <a:prstClr val="black">
                <a:alpha val="20000"/>
              </a:prstClr>
            </a:outerShdw>
          </a:effectLst>
        </c:spPr>
      </c:pivotFmt>
      <c:pivotFmt>
        <c:idx val="1467"/>
        <c:spPr>
          <a:solidFill>
            <a:schemeClr val="accent1"/>
          </a:solidFill>
          <a:ln>
            <a:noFill/>
          </a:ln>
          <a:effectLst>
            <a:outerShdw blurRad="254000" sx="102000" sy="102000" algn="ctr" rotWithShape="0">
              <a:prstClr val="black">
                <a:alpha val="20000"/>
              </a:prstClr>
            </a:outerShdw>
          </a:effectLst>
        </c:spPr>
      </c:pivotFmt>
      <c:pivotFmt>
        <c:idx val="1468"/>
        <c:spPr>
          <a:solidFill>
            <a:schemeClr val="accent1"/>
          </a:solidFill>
          <a:ln>
            <a:noFill/>
          </a:ln>
          <a:effectLst>
            <a:outerShdw blurRad="254000" sx="102000" sy="102000" algn="ctr" rotWithShape="0">
              <a:prstClr val="black">
                <a:alpha val="20000"/>
              </a:prstClr>
            </a:outerShdw>
          </a:effectLst>
        </c:spPr>
      </c:pivotFmt>
      <c:pivotFmt>
        <c:idx val="1469"/>
        <c:spPr>
          <a:solidFill>
            <a:schemeClr val="accent1"/>
          </a:solidFill>
          <a:ln>
            <a:noFill/>
          </a:ln>
          <a:effectLst>
            <a:outerShdw blurRad="254000" sx="102000" sy="102000" algn="ctr" rotWithShape="0">
              <a:prstClr val="black">
                <a:alpha val="20000"/>
              </a:prstClr>
            </a:outerShdw>
          </a:effectLst>
        </c:spPr>
      </c:pivotFmt>
      <c:pivotFmt>
        <c:idx val="1470"/>
        <c:spPr>
          <a:solidFill>
            <a:schemeClr val="accent1"/>
          </a:solidFill>
          <a:ln>
            <a:noFill/>
          </a:ln>
          <a:effectLst>
            <a:outerShdw blurRad="254000" sx="102000" sy="102000" algn="ctr" rotWithShape="0">
              <a:prstClr val="black">
                <a:alpha val="20000"/>
              </a:prstClr>
            </a:outerShdw>
          </a:effectLst>
        </c:spPr>
      </c:pivotFmt>
      <c:pivotFmt>
        <c:idx val="1471"/>
        <c:spPr>
          <a:solidFill>
            <a:schemeClr val="accent1"/>
          </a:solidFill>
          <a:ln>
            <a:noFill/>
          </a:ln>
          <a:effectLst>
            <a:outerShdw blurRad="254000" sx="102000" sy="102000" algn="ctr" rotWithShape="0">
              <a:prstClr val="black">
                <a:alpha val="20000"/>
              </a:prstClr>
            </a:outerShdw>
          </a:effectLst>
        </c:spPr>
      </c:pivotFmt>
      <c:pivotFmt>
        <c:idx val="1472"/>
        <c:spPr>
          <a:solidFill>
            <a:schemeClr val="accent1"/>
          </a:solidFill>
          <a:ln>
            <a:noFill/>
          </a:ln>
          <a:effectLst>
            <a:outerShdw blurRad="254000" sx="102000" sy="102000" algn="ctr" rotWithShape="0">
              <a:prstClr val="black">
                <a:alpha val="20000"/>
              </a:prstClr>
            </a:outerShdw>
          </a:effectLst>
        </c:spPr>
      </c:pivotFmt>
      <c:pivotFmt>
        <c:idx val="1473"/>
        <c:spPr>
          <a:solidFill>
            <a:schemeClr val="accent1"/>
          </a:solidFill>
          <a:ln>
            <a:noFill/>
          </a:ln>
          <a:effectLst>
            <a:outerShdw blurRad="254000" sx="102000" sy="102000" algn="ctr" rotWithShape="0">
              <a:prstClr val="black">
                <a:alpha val="20000"/>
              </a:prstClr>
            </a:outerShdw>
          </a:effectLst>
        </c:spPr>
      </c:pivotFmt>
      <c:pivotFmt>
        <c:idx val="1474"/>
        <c:spPr>
          <a:solidFill>
            <a:schemeClr val="accent1"/>
          </a:solidFill>
          <a:ln>
            <a:noFill/>
          </a:ln>
          <a:effectLst>
            <a:outerShdw blurRad="254000" sx="102000" sy="102000" algn="ctr" rotWithShape="0">
              <a:prstClr val="black">
                <a:alpha val="20000"/>
              </a:prstClr>
            </a:outerShdw>
          </a:effectLst>
        </c:spPr>
      </c:pivotFmt>
      <c:pivotFmt>
        <c:idx val="1475"/>
        <c:spPr>
          <a:solidFill>
            <a:schemeClr val="accent1"/>
          </a:solidFill>
          <a:ln>
            <a:noFill/>
          </a:ln>
          <a:effectLst>
            <a:outerShdw blurRad="254000" sx="102000" sy="102000" algn="ctr" rotWithShape="0">
              <a:prstClr val="black">
                <a:alpha val="20000"/>
              </a:prstClr>
            </a:outerShdw>
          </a:effectLst>
        </c:spPr>
      </c:pivotFmt>
      <c:pivotFmt>
        <c:idx val="1476"/>
        <c:spPr>
          <a:solidFill>
            <a:schemeClr val="accent1"/>
          </a:solidFill>
          <a:ln>
            <a:noFill/>
          </a:ln>
          <a:effectLst>
            <a:outerShdw blurRad="254000" sx="102000" sy="102000" algn="ctr" rotWithShape="0">
              <a:prstClr val="black">
                <a:alpha val="20000"/>
              </a:prstClr>
            </a:outerShdw>
          </a:effectLst>
        </c:spPr>
      </c:pivotFmt>
      <c:pivotFmt>
        <c:idx val="1477"/>
        <c:spPr>
          <a:solidFill>
            <a:schemeClr val="accent1"/>
          </a:solidFill>
          <a:ln>
            <a:noFill/>
          </a:ln>
          <a:effectLst>
            <a:outerShdw blurRad="254000" sx="102000" sy="102000" algn="ctr" rotWithShape="0">
              <a:prstClr val="black">
                <a:alpha val="20000"/>
              </a:prstClr>
            </a:outerShdw>
          </a:effectLst>
        </c:spPr>
      </c:pivotFmt>
      <c:pivotFmt>
        <c:idx val="1478"/>
        <c:spPr>
          <a:solidFill>
            <a:schemeClr val="accent1"/>
          </a:solidFill>
          <a:ln>
            <a:noFill/>
          </a:ln>
          <a:effectLst>
            <a:outerShdw blurRad="254000" sx="102000" sy="102000" algn="ctr" rotWithShape="0">
              <a:prstClr val="black">
                <a:alpha val="20000"/>
              </a:prstClr>
            </a:outerShdw>
          </a:effectLst>
        </c:spPr>
      </c:pivotFmt>
      <c:pivotFmt>
        <c:idx val="1479"/>
        <c:spPr>
          <a:solidFill>
            <a:schemeClr val="accent1"/>
          </a:solidFill>
          <a:ln>
            <a:noFill/>
          </a:ln>
          <a:effectLst>
            <a:outerShdw blurRad="254000" sx="102000" sy="102000" algn="ctr" rotWithShape="0">
              <a:prstClr val="black">
                <a:alpha val="20000"/>
              </a:prstClr>
            </a:outerShdw>
          </a:effectLst>
        </c:spPr>
      </c:pivotFmt>
      <c:pivotFmt>
        <c:idx val="1480"/>
        <c:spPr>
          <a:solidFill>
            <a:schemeClr val="accent1"/>
          </a:solidFill>
          <a:ln>
            <a:noFill/>
          </a:ln>
          <a:effectLst>
            <a:outerShdw blurRad="254000" sx="102000" sy="102000" algn="ctr" rotWithShape="0">
              <a:prstClr val="black">
                <a:alpha val="20000"/>
              </a:prstClr>
            </a:outerShdw>
          </a:effectLst>
        </c:spPr>
      </c:pivotFmt>
      <c:pivotFmt>
        <c:idx val="1481"/>
        <c:spPr>
          <a:solidFill>
            <a:schemeClr val="accent1"/>
          </a:solidFill>
          <a:ln>
            <a:noFill/>
          </a:ln>
          <a:effectLst>
            <a:outerShdw blurRad="254000" sx="102000" sy="102000" algn="ctr" rotWithShape="0">
              <a:prstClr val="black">
                <a:alpha val="20000"/>
              </a:prstClr>
            </a:outerShdw>
          </a:effectLst>
        </c:spPr>
      </c:pivotFmt>
      <c:pivotFmt>
        <c:idx val="1482"/>
        <c:spPr>
          <a:solidFill>
            <a:schemeClr val="accent1"/>
          </a:solidFill>
          <a:ln>
            <a:noFill/>
          </a:ln>
          <a:effectLst>
            <a:outerShdw blurRad="254000" sx="102000" sy="102000" algn="ctr" rotWithShape="0">
              <a:prstClr val="black">
                <a:alpha val="20000"/>
              </a:prstClr>
            </a:outerShdw>
          </a:effectLst>
        </c:spPr>
      </c:pivotFmt>
      <c:pivotFmt>
        <c:idx val="1483"/>
        <c:spPr>
          <a:solidFill>
            <a:schemeClr val="accent1"/>
          </a:solidFill>
          <a:ln>
            <a:noFill/>
          </a:ln>
          <a:effectLst>
            <a:outerShdw blurRad="254000" sx="102000" sy="102000" algn="ctr" rotWithShape="0">
              <a:prstClr val="black">
                <a:alpha val="20000"/>
              </a:prstClr>
            </a:outerShdw>
          </a:effectLst>
        </c:spPr>
      </c:pivotFmt>
      <c:pivotFmt>
        <c:idx val="1484"/>
        <c:spPr>
          <a:solidFill>
            <a:schemeClr val="accent1"/>
          </a:solidFill>
          <a:ln>
            <a:noFill/>
          </a:ln>
          <a:effectLst>
            <a:outerShdw blurRad="254000" sx="102000" sy="102000" algn="ctr" rotWithShape="0">
              <a:prstClr val="black">
                <a:alpha val="20000"/>
              </a:prstClr>
            </a:outerShdw>
          </a:effectLst>
        </c:spPr>
      </c:pivotFmt>
      <c:pivotFmt>
        <c:idx val="1485"/>
        <c:spPr>
          <a:solidFill>
            <a:schemeClr val="accent1"/>
          </a:solidFill>
          <a:ln>
            <a:noFill/>
          </a:ln>
          <a:effectLst>
            <a:outerShdw blurRad="254000" sx="102000" sy="102000" algn="ctr" rotWithShape="0">
              <a:prstClr val="black">
                <a:alpha val="20000"/>
              </a:prstClr>
            </a:outerShdw>
          </a:effectLst>
        </c:spPr>
      </c:pivotFmt>
      <c:pivotFmt>
        <c:idx val="1486"/>
        <c:spPr>
          <a:solidFill>
            <a:schemeClr val="accent1"/>
          </a:solidFill>
          <a:ln>
            <a:noFill/>
          </a:ln>
          <a:effectLst>
            <a:outerShdw blurRad="254000" sx="102000" sy="102000" algn="ctr" rotWithShape="0">
              <a:prstClr val="black">
                <a:alpha val="20000"/>
              </a:prstClr>
            </a:outerShdw>
          </a:effectLst>
        </c:spPr>
      </c:pivotFmt>
      <c:pivotFmt>
        <c:idx val="1487"/>
        <c:spPr>
          <a:solidFill>
            <a:schemeClr val="accent1"/>
          </a:solidFill>
          <a:ln>
            <a:noFill/>
          </a:ln>
          <a:effectLst>
            <a:outerShdw blurRad="254000" sx="102000" sy="102000" algn="ctr" rotWithShape="0">
              <a:prstClr val="black">
                <a:alpha val="20000"/>
              </a:prstClr>
            </a:outerShdw>
          </a:effectLst>
        </c:spPr>
      </c:pivotFmt>
      <c:pivotFmt>
        <c:idx val="1488"/>
        <c:spPr>
          <a:solidFill>
            <a:schemeClr val="accent1"/>
          </a:solidFill>
          <a:ln>
            <a:noFill/>
          </a:ln>
          <a:effectLst>
            <a:outerShdw blurRad="254000" sx="102000" sy="102000" algn="ctr" rotWithShape="0">
              <a:prstClr val="black">
                <a:alpha val="20000"/>
              </a:prstClr>
            </a:outerShdw>
          </a:effectLst>
        </c:spPr>
      </c:pivotFmt>
      <c:pivotFmt>
        <c:idx val="1489"/>
        <c:spPr>
          <a:solidFill>
            <a:schemeClr val="accent1"/>
          </a:solidFill>
          <a:ln>
            <a:noFill/>
          </a:ln>
          <a:effectLst>
            <a:outerShdw blurRad="254000" sx="102000" sy="102000" algn="ctr" rotWithShape="0">
              <a:prstClr val="black">
                <a:alpha val="20000"/>
              </a:prstClr>
            </a:outerShdw>
          </a:effectLst>
        </c:spPr>
      </c:pivotFmt>
      <c:pivotFmt>
        <c:idx val="1490"/>
        <c:spPr>
          <a:solidFill>
            <a:schemeClr val="accent1"/>
          </a:solidFill>
          <a:ln>
            <a:noFill/>
          </a:ln>
          <a:effectLst>
            <a:outerShdw blurRad="254000" sx="102000" sy="102000" algn="ctr" rotWithShape="0">
              <a:prstClr val="black">
                <a:alpha val="20000"/>
              </a:prstClr>
            </a:outerShdw>
          </a:effectLst>
        </c:spPr>
      </c:pivotFmt>
      <c:pivotFmt>
        <c:idx val="1491"/>
        <c:spPr>
          <a:solidFill>
            <a:schemeClr val="accent1"/>
          </a:solidFill>
          <a:ln>
            <a:noFill/>
          </a:ln>
          <a:effectLst>
            <a:outerShdw blurRad="254000" sx="102000" sy="102000" algn="ctr" rotWithShape="0">
              <a:prstClr val="black">
                <a:alpha val="20000"/>
              </a:prstClr>
            </a:outerShdw>
          </a:effectLst>
        </c:spPr>
      </c:pivotFmt>
      <c:pivotFmt>
        <c:idx val="1492"/>
        <c:spPr>
          <a:solidFill>
            <a:schemeClr val="accent1"/>
          </a:solidFill>
          <a:ln>
            <a:noFill/>
          </a:ln>
          <a:effectLst>
            <a:outerShdw blurRad="254000" sx="102000" sy="102000" algn="ctr" rotWithShape="0">
              <a:prstClr val="black">
                <a:alpha val="20000"/>
              </a:prstClr>
            </a:outerShdw>
          </a:effectLst>
        </c:spPr>
      </c:pivotFmt>
      <c:pivotFmt>
        <c:idx val="1493"/>
        <c:spPr>
          <a:solidFill>
            <a:schemeClr val="accent1"/>
          </a:solidFill>
          <a:ln>
            <a:noFill/>
          </a:ln>
          <a:effectLst>
            <a:outerShdw blurRad="254000" sx="102000" sy="102000" algn="ctr" rotWithShape="0">
              <a:prstClr val="black">
                <a:alpha val="20000"/>
              </a:prstClr>
            </a:outerShdw>
          </a:effectLst>
        </c:spPr>
      </c:pivotFmt>
      <c:pivotFmt>
        <c:idx val="1494"/>
        <c:spPr>
          <a:solidFill>
            <a:schemeClr val="accent1"/>
          </a:solidFill>
          <a:ln>
            <a:noFill/>
          </a:ln>
          <a:effectLst>
            <a:outerShdw blurRad="254000" sx="102000" sy="102000" algn="ctr" rotWithShape="0">
              <a:prstClr val="black">
                <a:alpha val="20000"/>
              </a:prstClr>
            </a:outerShdw>
          </a:effectLst>
        </c:spPr>
      </c:pivotFmt>
      <c:pivotFmt>
        <c:idx val="1495"/>
        <c:spPr>
          <a:solidFill>
            <a:schemeClr val="accent1"/>
          </a:solidFill>
          <a:ln>
            <a:noFill/>
          </a:ln>
          <a:effectLst>
            <a:outerShdw blurRad="254000" sx="102000" sy="102000" algn="ctr" rotWithShape="0">
              <a:prstClr val="black">
                <a:alpha val="20000"/>
              </a:prstClr>
            </a:outerShdw>
          </a:effectLst>
        </c:spPr>
      </c:pivotFmt>
      <c:pivotFmt>
        <c:idx val="1496"/>
        <c:spPr>
          <a:solidFill>
            <a:schemeClr val="accent1"/>
          </a:solidFill>
          <a:ln>
            <a:noFill/>
          </a:ln>
          <a:effectLst>
            <a:outerShdw blurRad="254000" sx="102000" sy="102000" algn="ctr" rotWithShape="0">
              <a:prstClr val="black">
                <a:alpha val="20000"/>
              </a:prstClr>
            </a:outerShdw>
          </a:effectLst>
        </c:spPr>
      </c:pivotFmt>
      <c:pivotFmt>
        <c:idx val="1497"/>
        <c:spPr>
          <a:solidFill>
            <a:schemeClr val="accent1"/>
          </a:solidFill>
          <a:ln>
            <a:noFill/>
          </a:ln>
          <a:effectLst>
            <a:outerShdw blurRad="254000" sx="102000" sy="102000" algn="ctr" rotWithShape="0">
              <a:prstClr val="black">
                <a:alpha val="20000"/>
              </a:prstClr>
            </a:outerShdw>
          </a:effectLst>
        </c:spPr>
      </c:pivotFmt>
      <c:pivotFmt>
        <c:idx val="1498"/>
        <c:spPr>
          <a:solidFill>
            <a:schemeClr val="accent1"/>
          </a:solidFill>
          <a:ln>
            <a:noFill/>
          </a:ln>
          <a:effectLst>
            <a:outerShdw blurRad="254000" sx="102000" sy="102000" algn="ctr" rotWithShape="0">
              <a:prstClr val="black">
                <a:alpha val="20000"/>
              </a:prstClr>
            </a:outerShdw>
          </a:effectLst>
        </c:spPr>
      </c:pivotFmt>
      <c:pivotFmt>
        <c:idx val="1499"/>
        <c:spPr>
          <a:solidFill>
            <a:schemeClr val="accent1"/>
          </a:solidFill>
          <a:ln>
            <a:noFill/>
          </a:ln>
          <a:effectLst>
            <a:outerShdw blurRad="254000" sx="102000" sy="102000" algn="ctr" rotWithShape="0">
              <a:prstClr val="black">
                <a:alpha val="20000"/>
              </a:prstClr>
            </a:outerShdw>
          </a:effectLst>
        </c:spPr>
      </c:pivotFmt>
      <c:pivotFmt>
        <c:idx val="1500"/>
        <c:spPr>
          <a:solidFill>
            <a:schemeClr val="accent1"/>
          </a:solidFill>
          <a:ln>
            <a:noFill/>
          </a:ln>
          <a:effectLst>
            <a:outerShdw blurRad="254000" sx="102000" sy="102000" algn="ctr" rotWithShape="0">
              <a:prstClr val="black">
                <a:alpha val="20000"/>
              </a:prstClr>
            </a:outerShdw>
          </a:effectLst>
        </c:spPr>
      </c:pivotFmt>
      <c:pivotFmt>
        <c:idx val="1501"/>
        <c:spPr>
          <a:solidFill>
            <a:schemeClr val="accent1"/>
          </a:solidFill>
          <a:ln>
            <a:noFill/>
          </a:ln>
          <a:effectLst>
            <a:outerShdw blurRad="254000" sx="102000" sy="102000" algn="ctr" rotWithShape="0">
              <a:prstClr val="black">
                <a:alpha val="20000"/>
              </a:prstClr>
            </a:outerShdw>
          </a:effectLst>
        </c:spPr>
      </c:pivotFmt>
      <c:pivotFmt>
        <c:idx val="1502"/>
        <c:spPr>
          <a:solidFill>
            <a:schemeClr val="accent1"/>
          </a:solidFill>
          <a:ln>
            <a:noFill/>
          </a:ln>
          <a:effectLst>
            <a:outerShdw blurRad="254000" sx="102000" sy="102000" algn="ctr" rotWithShape="0">
              <a:prstClr val="black">
                <a:alpha val="20000"/>
              </a:prstClr>
            </a:outerShdw>
          </a:effectLst>
        </c:spPr>
      </c:pivotFmt>
      <c:pivotFmt>
        <c:idx val="1503"/>
        <c:spPr>
          <a:solidFill>
            <a:schemeClr val="accent1"/>
          </a:solidFill>
          <a:ln>
            <a:noFill/>
          </a:ln>
          <a:effectLst>
            <a:outerShdw blurRad="254000" sx="102000" sy="102000" algn="ctr" rotWithShape="0">
              <a:prstClr val="black">
                <a:alpha val="20000"/>
              </a:prstClr>
            </a:outerShdw>
          </a:effectLst>
        </c:spPr>
      </c:pivotFmt>
      <c:pivotFmt>
        <c:idx val="1504"/>
        <c:spPr>
          <a:solidFill>
            <a:schemeClr val="accent1"/>
          </a:solidFill>
          <a:ln>
            <a:noFill/>
          </a:ln>
          <a:effectLst>
            <a:outerShdw blurRad="254000" sx="102000" sy="102000" algn="ctr" rotWithShape="0">
              <a:prstClr val="black">
                <a:alpha val="20000"/>
              </a:prstClr>
            </a:outerShdw>
          </a:effectLst>
        </c:spPr>
      </c:pivotFmt>
      <c:pivotFmt>
        <c:idx val="1505"/>
        <c:spPr>
          <a:solidFill>
            <a:schemeClr val="accent1"/>
          </a:solidFill>
          <a:ln>
            <a:noFill/>
          </a:ln>
          <a:effectLst>
            <a:outerShdw blurRad="254000" sx="102000" sy="102000" algn="ctr" rotWithShape="0">
              <a:prstClr val="black">
                <a:alpha val="20000"/>
              </a:prstClr>
            </a:outerShdw>
          </a:effectLst>
        </c:spPr>
      </c:pivotFmt>
      <c:pivotFmt>
        <c:idx val="1506"/>
        <c:spPr>
          <a:solidFill>
            <a:schemeClr val="accent1"/>
          </a:solidFill>
          <a:ln>
            <a:noFill/>
          </a:ln>
          <a:effectLst>
            <a:outerShdw blurRad="254000" sx="102000" sy="102000" algn="ctr" rotWithShape="0">
              <a:prstClr val="black">
                <a:alpha val="20000"/>
              </a:prstClr>
            </a:outerShdw>
          </a:effectLst>
        </c:spPr>
      </c:pivotFmt>
      <c:pivotFmt>
        <c:idx val="1507"/>
        <c:spPr>
          <a:solidFill>
            <a:schemeClr val="accent1"/>
          </a:solidFill>
          <a:ln>
            <a:noFill/>
          </a:ln>
          <a:effectLst>
            <a:outerShdw blurRad="254000" sx="102000" sy="102000" algn="ctr" rotWithShape="0">
              <a:prstClr val="black">
                <a:alpha val="20000"/>
              </a:prstClr>
            </a:outerShdw>
          </a:effectLst>
        </c:spPr>
      </c:pivotFmt>
      <c:pivotFmt>
        <c:idx val="1508"/>
        <c:spPr>
          <a:solidFill>
            <a:schemeClr val="accent1"/>
          </a:solidFill>
          <a:ln>
            <a:noFill/>
          </a:ln>
          <a:effectLst>
            <a:outerShdw blurRad="254000" sx="102000" sy="102000" algn="ctr" rotWithShape="0">
              <a:prstClr val="black">
                <a:alpha val="20000"/>
              </a:prstClr>
            </a:outerShdw>
          </a:effectLst>
        </c:spPr>
      </c:pivotFmt>
      <c:pivotFmt>
        <c:idx val="1509"/>
        <c:spPr>
          <a:solidFill>
            <a:schemeClr val="accent1"/>
          </a:solidFill>
          <a:ln>
            <a:noFill/>
          </a:ln>
          <a:effectLst>
            <a:outerShdw blurRad="254000" sx="102000" sy="102000" algn="ctr" rotWithShape="0">
              <a:prstClr val="black">
                <a:alpha val="20000"/>
              </a:prstClr>
            </a:outerShdw>
          </a:effectLst>
        </c:spPr>
      </c:pivotFmt>
      <c:pivotFmt>
        <c:idx val="1510"/>
        <c:spPr>
          <a:solidFill>
            <a:schemeClr val="accent1"/>
          </a:solidFill>
          <a:ln>
            <a:noFill/>
          </a:ln>
          <a:effectLst>
            <a:outerShdw blurRad="254000" sx="102000" sy="102000" algn="ctr" rotWithShape="0">
              <a:prstClr val="black">
                <a:alpha val="20000"/>
              </a:prstClr>
            </a:outerShdw>
          </a:effectLst>
        </c:spPr>
      </c:pivotFmt>
      <c:pivotFmt>
        <c:idx val="1511"/>
        <c:spPr>
          <a:solidFill>
            <a:schemeClr val="accent1"/>
          </a:solidFill>
          <a:ln>
            <a:noFill/>
          </a:ln>
          <a:effectLst>
            <a:outerShdw blurRad="254000" sx="102000" sy="102000" algn="ctr" rotWithShape="0">
              <a:prstClr val="black">
                <a:alpha val="20000"/>
              </a:prstClr>
            </a:outerShdw>
          </a:effectLst>
        </c:spPr>
      </c:pivotFmt>
      <c:pivotFmt>
        <c:idx val="1512"/>
        <c:spPr>
          <a:solidFill>
            <a:schemeClr val="accent1"/>
          </a:solidFill>
          <a:ln>
            <a:noFill/>
          </a:ln>
          <a:effectLst>
            <a:outerShdw blurRad="254000" sx="102000" sy="102000" algn="ctr" rotWithShape="0">
              <a:prstClr val="black">
                <a:alpha val="20000"/>
              </a:prstClr>
            </a:outerShdw>
          </a:effectLst>
        </c:spPr>
      </c:pivotFmt>
      <c:pivotFmt>
        <c:idx val="1513"/>
        <c:spPr>
          <a:solidFill>
            <a:schemeClr val="accent1"/>
          </a:solidFill>
          <a:ln>
            <a:noFill/>
          </a:ln>
          <a:effectLst>
            <a:outerShdw blurRad="254000" sx="102000" sy="102000" algn="ctr" rotWithShape="0">
              <a:prstClr val="black">
                <a:alpha val="20000"/>
              </a:prstClr>
            </a:outerShdw>
          </a:effectLst>
        </c:spPr>
      </c:pivotFmt>
      <c:pivotFmt>
        <c:idx val="1514"/>
        <c:spPr>
          <a:solidFill>
            <a:schemeClr val="accent1"/>
          </a:solidFill>
          <a:ln>
            <a:noFill/>
          </a:ln>
          <a:effectLst>
            <a:outerShdw blurRad="254000" sx="102000" sy="102000" algn="ctr" rotWithShape="0">
              <a:prstClr val="black">
                <a:alpha val="20000"/>
              </a:prstClr>
            </a:outerShdw>
          </a:effectLst>
        </c:spPr>
      </c:pivotFmt>
      <c:pivotFmt>
        <c:idx val="1515"/>
        <c:spPr>
          <a:solidFill>
            <a:schemeClr val="accent1"/>
          </a:solidFill>
          <a:ln>
            <a:noFill/>
          </a:ln>
          <a:effectLst>
            <a:outerShdw blurRad="254000" sx="102000" sy="102000" algn="ctr" rotWithShape="0">
              <a:prstClr val="black">
                <a:alpha val="20000"/>
              </a:prstClr>
            </a:outerShdw>
          </a:effectLst>
        </c:spPr>
      </c:pivotFmt>
      <c:pivotFmt>
        <c:idx val="1516"/>
        <c:spPr>
          <a:solidFill>
            <a:schemeClr val="accent1"/>
          </a:solidFill>
          <a:ln>
            <a:noFill/>
          </a:ln>
          <a:effectLst>
            <a:outerShdw blurRad="254000" sx="102000" sy="102000" algn="ctr" rotWithShape="0">
              <a:prstClr val="black">
                <a:alpha val="20000"/>
              </a:prstClr>
            </a:outerShdw>
          </a:effectLst>
        </c:spPr>
      </c:pivotFmt>
      <c:pivotFmt>
        <c:idx val="1517"/>
        <c:spPr>
          <a:solidFill>
            <a:schemeClr val="accent1"/>
          </a:solidFill>
          <a:ln>
            <a:noFill/>
          </a:ln>
          <a:effectLst>
            <a:outerShdw blurRad="254000" sx="102000" sy="102000" algn="ctr" rotWithShape="0">
              <a:prstClr val="black">
                <a:alpha val="20000"/>
              </a:prstClr>
            </a:outerShdw>
          </a:effectLst>
        </c:spPr>
      </c:pivotFmt>
      <c:pivotFmt>
        <c:idx val="1518"/>
        <c:spPr>
          <a:solidFill>
            <a:schemeClr val="accent1"/>
          </a:solidFill>
          <a:ln>
            <a:noFill/>
          </a:ln>
          <a:effectLst>
            <a:outerShdw blurRad="254000" sx="102000" sy="102000" algn="ctr" rotWithShape="0">
              <a:prstClr val="black">
                <a:alpha val="20000"/>
              </a:prstClr>
            </a:outerShdw>
          </a:effectLst>
        </c:spPr>
      </c:pivotFmt>
      <c:pivotFmt>
        <c:idx val="1519"/>
        <c:spPr>
          <a:solidFill>
            <a:schemeClr val="accent1"/>
          </a:solidFill>
          <a:ln>
            <a:noFill/>
          </a:ln>
          <a:effectLst>
            <a:outerShdw blurRad="254000" sx="102000" sy="102000" algn="ctr" rotWithShape="0">
              <a:prstClr val="black">
                <a:alpha val="20000"/>
              </a:prstClr>
            </a:outerShdw>
          </a:effectLst>
        </c:spPr>
      </c:pivotFmt>
      <c:pivotFmt>
        <c:idx val="1520"/>
        <c:spPr>
          <a:solidFill>
            <a:schemeClr val="accent1"/>
          </a:solidFill>
          <a:ln>
            <a:noFill/>
          </a:ln>
          <a:effectLst>
            <a:outerShdw blurRad="254000" sx="102000" sy="102000" algn="ctr" rotWithShape="0">
              <a:prstClr val="black">
                <a:alpha val="20000"/>
              </a:prstClr>
            </a:outerShdw>
          </a:effectLst>
        </c:spPr>
      </c:pivotFmt>
      <c:pivotFmt>
        <c:idx val="1521"/>
        <c:spPr>
          <a:solidFill>
            <a:schemeClr val="accent1"/>
          </a:solidFill>
          <a:ln>
            <a:noFill/>
          </a:ln>
          <a:effectLst>
            <a:outerShdw blurRad="254000" sx="102000" sy="102000" algn="ctr" rotWithShape="0">
              <a:prstClr val="black">
                <a:alpha val="20000"/>
              </a:prstClr>
            </a:outerShdw>
          </a:effectLst>
        </c:spPr>
      </c:pivotFmt>
      <c:pivotFmt>
        <c:idx val="1522"/>
        <c:spPr>
          <a:solidFill>
            <a:schemeClr val="accent1"/>
          </a:solidFill>
          <a:ln>
            <a:noFill/>
          </a:ln>
          <a:effectLst>
            <a:outerShdw blurRad="254000" sx="102000" sy="102000" algn="ctr" rotWithShape="0">
              <a:prstClr val="black">
                <a:alpha val="20000"/>
              </a:prstClr>
            </a:outerShdw>
          </a:effectLst>
        </c:spPr>
      </c:pivotFmt>
      <c:pivotFmt>
        <c:idx val="1523"/>
        <c:spPr>
          <a:solidFill>
            <a:schemeClr val="accent1"/>
          </a:solidFill>
          <a:ln>
            <a:noFill/>
          </a:ln>
          <a:effectLst>
            <a:outerShdw blurRad="254000" sx="102000" sy="102000" algn="ctr" rotWithShape="0">
              <a:prstClr val="black">
                <a:alpha val="20000"/>
              </a:prstClr>
            </a:outerShdw>
          </a:effectLst>
        </c:spPr>
      </c:pivotFmt>
      <c:pivotFmt>
        <c:idx val="1524"/>
        <c:spPr>
          <a:solidFill>
            <a:schemeClr val="accent1"/>
          </a:solidFill>
          <a:ln>
            <a:noFill/>
          </a:ln>
          <a:effectLst>
            <a:outerShdw blurRad="254000" sx="102000" sy="102000" algn="ctr" rotWithShape="0">
              <a:prstClr val="black">
                <a:alpha val="20000"/>
              </a:prstClr>
            </a:outerShdw>
          </a:effectLst>
        </c:spPr>
      </c:pivotFmt>
      <c:pivotFmt>
        <c:idx val="1525"/>
        <c:spPr>
          <a:solidFill>
            <a:schemeClr val="accent1"/>
          </a:solidFill>
          <a:ln>
            <a:noFill/>
          </a:ln>
          <a:effectLst>
            <a:outerShdw blurRad="254000" sx="102000" sy="102000" algn="ctr" rotWithShape="0">
              <a:prstClr val="black">
                <a:alpha val="20000"/>
              </a:prstClr>
            </a:outerShdw>
          </a:effectLst>
        </c:spPr>
      </c:pivotFmt>
      <c:pivotFmt>
        <c:idx val="1526"/>
        <c:spPr>
          <a:solidFill>
            <a:schemeClr val="accent1"/>
          </a:solidFill>
          <a:ln>
            <a:noFill/>
          </a:ln>
          <a:effectLst>
            <a:outerShdw blurRad="254000" sx="102000" sy="102000" algn="ctr" rotWithShape="0">
              <a:prstClr val="black">
                <a:alpha val="20000"/>
              </a:prstClr>
            </a:outerShdw>
          </a:effectLst>
        </c:spPr>
      </c:pivotFmt>
      <c:pivotFmt>
        <c:idx val="1527"/>
        <c:spPr>
          <a:solidFill>
            <a:schemeClr val="accent1"/>
          </a:solidFill>
          <a:ln>
            <a:noFill/>
          </a:ln>
          <a:effectLst>
            <a:outerShdw blurRad="254000" sx="102000" sy="102000" algn="ctr" rotWithShape="0">
              <a:prstClr val="black">
                <a:alpha val="20000"/>
              </a:prstClr>
            </a:outerShdw>
          </a:effectLst>
        </c:spPr>
      </c:pivotFmt>
      <c:pivotFmt>
        <c:idx val="1528"/>
        <c:spPr>
          <a:solidFill>
            <a:schemeClr val="accent1"/>
          </a:solidFill>
          <a:ln>
            <a:noFill/>
          </a:ln>
          <a:effectLst>
            <a:outerShdw blurRad="254000" sx="102000" sy="102000" algn="ctr" rotWithShape="0">
              <a:prstClr val="black">
                <a:alpha val="20000"/>
              </a:prstClr>
            </a:outerShdw>
          </a:effectLst>
        </c:spPr>
      </c:pivotFmt>
      <c:pivotFmt>
        <c:idx val="1529"/>
        <c:spPr>
          <a:solidFill>
            <a:schemeClr val="accent1"/>
          </a:solidFill>
          <a:ln>
            <a:noFill/>
          </a:ln>
          <a:effectLst>
            <a:outerShdw blurRad="254000" sx="102000" sy="102000" algn="ctr" rotWithShape="0">
              <a:prstClr val="black">
                <a:alpha val="20000"/>
              </a:prstClr>
            </a:outerShdw>
          </a:effectLst>
        </c:spPr>
      </c:pivotFmt>
      <c:pivotFmt>
        <c:idx val="1530"/>
        <c:spPr>
          <a:solidFill>
            <a:schemeClr val="accent1"/>
          </a:solidFill>
          <a:ln>
            <a:noFill/>
          </a:ln>
          <a:effectLst>
            <a:outerShdw blurRad="254000" sx="102000" sy="102000" algn="ctr" rotWithShape="0">
              <a:prstClr val="black">
                <a:alpha val="20000"/>
              </a:prstClr>
            </a:outerShdw>
          </a:effectLst>
        </c:spPr>
      </c:pivotFmt>
      <c:pivotFmt>
        <c:idx val="1531"/>
        <c:spPr>
          <a:solidFill>
            <a:schemeClr val="accent1"/>
          </a:solidFill>
          <a:ln>
            <a:noFill/>
          </a:ln>
          <a:effectLst>
            <a:outerShdw blurRad="254000" sx="102000" sy="102000" algn="ctr" rotWithShape="0">
              <a:prstClr val="black">
                <a:alpha val="20000"/>
              </a:prstClr>
            </a:outerShdw>
          </a:effectLst>
        </c:spPr>
      </c:pivotFmt>
      <c:pivotFmt>
        <c:idx val="1532"/>
        <c:spPr>
          <a:solidFill>
            <a:schemeClr val="accent1"/>
          </a:solidFill>
          <a:ln>
            <a:noFill/>
          </a:ln>
          <a:effectLst>
            <a:outerShdw blurRad="254000" sx="102000" sy="102000" algn="ctr" rotWithShape="0">
              <a:prstClr val="black">
                <a:alpha val="20000"/>
              </a:prstClr>
            </a:outerShdw>
          </a:effectLst>
        </c:spPr>
      </c:pivotFmt>
      <c:pivotFmt>
        <c:idx val="1533"/>
        <c:spPr>
          <a:solidFill>
            <a:schemeClr val="accent1"/>
          </a:solidFill>
          <a:ln>
            <a:noFill/>
          </a:ln>
          <a:effectLst>
            <a:outerShdw blurRad="254000" sx="102000" sy="102000" algn="ctr" rotWithShape="0">
              <a:prstClr val="black">
                <a:alpha val="20000"/>
              </a:prstClr>
            </a:outerShdw>
          </a:effectLst>
        </c:spPr>
      </c:pivotFmt>
      <c:pivotFmt>
        <c:idx val="1534"/>
        <c:spPr>
          <a:solidFill>
            <a:schemeClr val="accent1"/>
          </a:solidFill>
          <a:ln>
            <a:noFill/>
          </a:ln>
          <a:effectLst>
            <a:outerShdw blurRad="254000" sx="102000" sy="102000" algn="ctr" rotWithShape="0">
              <a:prstClr val="black">
                <a:alpha val="20000"/>
              </a:prstClr>
            </a:outerShdw>
          </a:effectLst>
        </c:spPr>
      </c:pivotFmt>
      <c:pivotFmt>
        <c:idx val="1535"/>
        <c:spPr>
          <a:solidFill>
            <a:schemeClr val="accent1"/>
          </a:solidFill>
          <a:ln>
            <a:noFill/>
          </a:ln>
          <a:effectLst>
            <a:outerShdw blurRad="254000" sx="102000" sy="102000" algn="ctr" rotWithShape="0">
              <a:prstClr val="black">
                <a:alpha val="20000"/>
              </a:prstClr>
            </a:outerShdw>
          </a:effectLst>
        </c:spPr>
      </c:pivotFmt>
      <c:pivotFmt>
        <c:idx val="1536"/>
        <c:spPr>
          <a:solidFill>
            <a:schemeClr val="accent1"/>
          </a:solidFill>
          <a:ln>
            <a:noFill/>
          </a:ln>
          <a:effectLst>
            <a:outerShdw blurRad="254000" sx="102000" sy="102000" algn="ctr" rotWithShape="0">
              <a:prstClr val="black">
                <a:alpha val="20000"/>
              </a:prstClr>
            </a:outerShdw>
          </a:effectLst>
        </c:spPr>
      </c:pivotFmt>
      <c:pivotFmt>
        <c:idx val="1537"/>
        <c:spPr>
          <a:solidFill>
            <a:schemeClr val="accent1"/>
          </a:solidFill>
          <a:ln>
            <a:noFill/>
          </a:ln>
          <a:effectLst>
            <a:outerShdw blurRad="254000" sx="102000" sy="102000" algn="ctr" rotWithShape="0">
              <a:prstClr val="black">
                <a:alpha val="20000"/>
              </a:prstClr>
            </a:outerShdw>
          </a:effectLst>
        </c:spPr>
      </c:pivotFmt>
      <c:pivotFmt>
        <c:idx val="1538"/>
        <c:spPr>
          <a:solidFill>
            <a:schemeClr val="accent1"/>
          </a:solidFill>
          <a:ln>
            <a:noFill/>
          </a:ln>
          <a:effectLst>
            <a:outerShdw blurRad="254000" sx="102000" sy="102000" algn="ctr" rotWithShape="0">
              <a:prstClr val="black">
                <a:alpha val="20000"/>
              </a:prstClr>
            </a:outerShdw>
          </a:effectLst>
        </c:spPr>
      </c:pivotFmt>
      <c:pivotFmt>
        <c:idx val="1539"/>
        <c:spPr>
          <a:solidFill>
            <a:schemeClr val="accent1"/>
          </a:solidFill>
          <a:ln>
            <a:noFill/>
          </a:ln>
          <a:effectLst>
            <a:outerShdw blurRad="254000" sx="102000" sy="102000" algn="ctr" rotWithShape="0">
              <a:prstClr val="black">
                <a:alpha val="20000"/>
              </a:prstClr>
            </a:outerShdw>
          </a:effectLst>
        </c:spPr>
      </c:pivotFmt>
      <c:pivotFmt>
        <c:idx val="1540"/>
        <c:spPr>
          <a:solidFill>
            <a:schemeClr val="accent1"/>
          </a:solidFill>
          <a:ln>
            <a:noFill/>
          </a:ln>
          <a:effectLst>
            <a:outerShdw blurRad="254000" sx="102000" sy="102000" algn="ctr" rotWithShape="0">
              <a:prstClr val="black">
                <a:alpha val="20000"/>
              </a:prstClr>
            </a:outerShdw>
          </a:effectLst>
        </c:spPr>
      </c:pivotFmt>
      <c:pivotFmt>
        <c:idx val="1541"/>
        <c:spPr>
          <a:solidFill>
            <a:schemeClr val="accent1"/>
          </a:solidFill>
          <a:ln>
            <a:noFill/>
          </a:ln>
          <a:effectLst>
            <a:outerShdw blurRad="254000" sx="102000" sy="102000" algn="ctr" rotWithShape="0">
              <a:prstClr val="black">
                <a:alpha val="20000"/>
              </a:prstClr>
            </a:outerShdw>
          </a:effectLst>
        </c:spPr>
      </c:pivotFmt>
      <c:pivotFmt>
        <c:idx val="1542"/>
        <c:spPr>
          <a:solidFill>
            <a:schemeClr val="accent1"/>
          </a:solidFill>
          <a:ln>
            <a:noFill/>
          </a:ln>
          <a:effectLst>
            <a:outerShdw blurRad="254000" sx="102000" sy="102000" algn="ctr" rotWithShape="0">
              <a:prstClr val="black">
                <a:alpha val="20000"/>
              </a:prstClr>
            </a:outerShdw>
          </a:effectLst>
        </c:spPr>
      </c:pivotFmt>
      <c:pivotFmt>
        <c:idx val="1543"/>
        <c:spPr>
          <a:solidFill>
            <a:schemeClr val="accent1"/>
          </a:solidFill>
          <a:ln>
            <a:noFill/>
          </a:ln>
          <a:effectLst>
            <a:outerShdw blurRad="254000" sx="102000" sy="102000" algn="ctr" rotWithShape="0">
              <a:prstClr val="black">
                <a:alpha val="20000"/>
              </a:prstClr>
            </a:outerShdw>
          </a:effectLst>
        </c:spPr>
      </c:pivotFmt>
      <c:pivotFmt>
        <c:idx val="1544"/>
        <c:spPr>
          <a:solidFill>
            <a:schemeClr val="accent1"/>
          </a:solidFill>
          <a:ln>
            <a:noFill/>
          </a:ln>
          <a:effectLst>
            <a:outerShdw blurRad="254000" sx="102000" sy="102000" algn="ctr" rotWithShape="0">
              <a:prstClr val="black">
                <a:alpha val="20000"/>
              </a:prstClr>
            </a:outerShdw>
          </a:effectLst>
        </c:spPr>
      </c:pivotFmt>
      <c:pivotFmt>
        <c:idx val="1545"/>
        <c:spPr>
          <a:solidFill>
            <a:schemeClr val="accent1"/>
          </a:solidFill>
          <a:ln>
            <a:noFill/>
          </a:ln>
          <a:effectLst>
            <a:outerShdw blurRad="254000" sx="102000" sy="102000" algn="ctr" rotWithShape="0">
              <a:prstClr val="black">
                <a:alpha val="20000"/>
              </a:prstClr>
            </a:outerShdw>
          </a:effectLst>
        </c:spPr>
      </c:pivotFmt>
      <c:pivotFmt>
        <c:idx val="1546"/>
        <c:spPr>
          <a:solidFill>
            <a:schemeClr val="accent1"/>
          </a:solidFill>
          <a:ln>
            <a:noFill/>
          </a:ln>
          <a:effectLst>
            <a:outerShdw blurRad="254000" sx="102000" sy="102000" algn="ctr" rotWithShape="0">
              <a:prstClr val="black">
                <a:alpha val="20000"/>
              </a:prstClr>
            </a:outerShdw>
          </a:effectLst>
        </c:spPr>
      </c:pivotFmt>
      <c:pivotFmt>
        <c:idx val="1547"/>
        <c:spPr>
          <a:solidFill>
            <a:schemeClr val="accent1"/>
          </a:solidFill>
          <a:ln>
            <a:noFill/>
          </a:ln>
          <a:effectLst>
            <a:outerShdw blurRad="254000" sx="102000" sy="102000" algn="ctr" rotWithShape="0">
              <a:prstClr val="black">
                <a:alpha val="20000"/>
              </a:prstClr>
            </a:outerShdw>
          </a:effectLst>
        </c:spPr>
      </c:pivotFmt>
      <c:pivotFmt>
        <c:idx val="1548"/>
        <c:spPr>
          <a:solidFill>
            <a:schemeClr val="accent1"/>
          </a:solidFill>
          <a:ln>
            <a:noFill/>
          </a:ln>
          <a:effectLst>
            <a:outerShdw blurRad="254000" sx="102000" sy="102000" algn="ctr" rotWithShape="0">
              <a:prstClr val="black">
                <a:alpha val="20000"/>
              </a:prstClr>
            </a:outerShdw>
          </a:effectLst>
        </c:spPr>
      </c:pivotFmt>
      <c:pivotFmt>
        <c:idx val="1549"/>
        <c:spPr>
          <a:solidFill>
            <a:schemeClr val="accent1"/>
          </a:solidFill>
          <a:ln>
            <a:noFill/>
          </a:ln>
          <a:effectLst>
            <a:outerShdw blurRad="254000" sx="102000" sy="102000" algn="ctr" rotWithShape="0">
              <a:prstClr val="black">
                <a:alpha val="20000"/>
              </a:prstClr>
            </a:outerShdw>
          </a:effectLst>
        </c:spPr>
      </c:pivotFmt>
      <c:pivotFmt>
        <c:idx val="1550"/>
        <c:spPr>
          <a:solidFill>
            <a:schemeClr val="accent1"/>
          </a:solidFill>
          <a:ln>
            <a:noFill/>
          </a:ln>
          <a:effectLst>
            <a:outerShdw blurRad="254000" sx="102000" sy="102000" algn="ctr" rotWithShape="0">
              <a:prstClr val="black">
                <a:alpha val="20000"/>
              </a:prstClr>
            </a:outerShdw>
          </a:effectLst>
        </c:spPr>
      </c:pivotFmt>
      <c:pivotFmt>
        <c:idx val="1551"/>
        <c:spPr>
          <a:solidFill>
            <a:schemeClr val="accent1"/>
          </a:solidFill>
          <a:ln>
            <a:noFill/>
          </a:ln>
          <a:effectLst>
            <a:outerShdw blurRad="254000" sx="102000" sy="102000" algn="ctr" rotWithShape="0">
              <a:prstClr val="black">
                <a:alpha val="20000"/>
              </a:prstClr>
            </a:outerShdw>
          </a:effectLst>
        </c:spPr>
      </c:pivotFmt>
      <c:pivotFmt>
        <c:idx val="1552"/>
        <c:spPr>
          <a:solidFill>
            <a:schemeClr val="accent1"/>
          </a:solidFill>
          <a:ln>
            <a:noFill/>
          </a:ln>
          <a:effectLst>
            <a:outerShdw blurRad="254000" sx="102000" sy="102000" algn="ctr" rotWithShape="0">
              <a:prstClr val="black">
                <a:alpha val="20000"/>
              </a:prstClr>
            </a:outerShdw>
          </a:effectLst>
        </c:spPr>
      </c:pivotFmt>
      <c:pivotFmt>
        <c:idx val="1553"/>
        <c:spPr>
          <a:solidFill>
            <a:schemeClr val="accent1"/>
          </a:solidFill>
          <a:ln>
            <a:noFill/>
          </a:ln>
          <a:effectLst>
            <a:outerShdw blurRad="254000" sx="102000" sy="102000" algn="ctr" rotWithShape="0">
              <a:prstClr val="black">
                <a:alpha val="20000"/>
              </a:prstClr>
            </a:outerShdw>
          </a:effectLst>
        </c:spPr>
      </c:pivotFmt>
      <c:pivotFmt>
        <c:idx val="1554"/>
        <c:spPr>
          <a:solidFill>
            <a:schemeClr val="accent1"/>
          </a:solidFill>
          <a:ln>
            <a:noFill/>
          </a:ln>
          <a:effectLst>
            <a:outerShdw blurRad="254000" sx="102000" sy="102000" algn="ctr" rotWithShape="0">
              <a:prstClr val="black">
                <a:alpha val="20000"/>
              </a:prstClr>
            </a:outerShdw>
          </a:effectLst>
        </c:spPr>
      </c:pivotFmt>
      <c:pivotFmt>
        <c:idx val="1555"/>
        <c:spPr>
          <a:solidFill>
            <a:schemeClr val="accent1"/>
          </a:solidFill>
          <a:ln>
            <a:noFill/>
          </a:ln>
          <a:effectLst>
            <a:outerShdw blurRad="254000" sx="102000" sy="102000" algn="ctr" rotWithShape="0">
              <a:prstClr val="black">
                <a:alpha val="20000"/>
              </a:prstClr>
            </a:outerShdw>
          </a:effectLst>
        </c:spPr>
      </c:pivotFmt>
      <c:pivotFmt>
        <c:idx val="1556"/>
        <c:spPr>
          <a:solidFill>
            <a:schemeClr val="accent1"/>
          </a:solidFill>
          <a:ln>
            <a:noFill/>
          </a:ln>
          <a:effectLst>
            <a:outerShdw blurRad="254000" sx="102000" sy="102000" algn="ctr" rotWithShape="0">
              <a:prstClr val="black">
                <a:alpha val="20000"/>
              </a:prstClr>
            </a:outerShdw>
          </a:effectLst>
        </c:spPr>
      </c:pivotFmt>
      <c:pivotFmt>
        <c:idx val="1557"/>
        <c:spPr>
          <a:solidFill>
            <a:schemeClr val="accent1"/>
          </a:solidFill>
          <a:ln>
            <a:noFill/>
          </a:ln>
          <a:effectLst>
            <a:outerShdw blurRad="254000" sx="102000" sy="102000" algn="ctr" rotWithShape="0">
              <a:prstClr val="black">
                <a:alpha val="20000"/>
              </a:prstClr>
            </a:outerShdw>
          </a:effectLst>
        </c:spPr>
      </c:pivotFmt>
      <c:pivotFmt>
        <c:idx val="1558"/>
        <c:spPr>
          <a:solidFill>
            <a:schemeClr val="accent1"/>
          </a:solidFill>
          <a:ln>
            <a:noFill/>
          </a:ln>
          <a:effectLst>
            <a:outerShdw blurRad="254000" sx="102000" sy="102000" algn="ctr" rotWithShape="0">
              <a:prstClr val="black">
                <a:alpha val="20000"/>
              </a:prstClr>
            </a:outerShdw>
          </a:effectLst>
        </c:spPr>
      </c:pivotFmt>
      <c:pivotFmt>
        <c:idx val="1559"/>
        <c:spPr>
          <a:solidFill>
            <a:schemeClr val="accent1"/>
          </a:solidFill>
          <a:ln>
            <a:noFill/>
          </a:ln>
          <a:effectLst>
            <a:outerShdw blurRad="254000" sx="102000" sy="102000" algn="ctr" rotWithShape="0">
              <a:prstClr val="black">
                <a:alpha val="20000"/>
              </a:prstClr>
            </a:outerShdw>
          </a:effectLst>
        </c:spPr>
      </c:pivotFmt>
      <c:pivotFmt>
        <c:idx val="1560"/>
        <c:spPr>
          <a:solidFill>
            <a:schemeClr val="accent1"/>
          </a:solidFill>
          <a:ln>
            <a:noFill/>
          </a:ln>
          <a:effectLst>
            <a:outerShdw blurRad="254000" sx="102000" sy="102000" algn="ctr" rotWithShape="0">
              <a:prstClr val="black">
                <a:alpha val="20000"/>
              </a:prstClr>
            </a:outerShdw>
          </a:effectLst>
        </c:spPr>
      </c:pivotFmt>
      <c:pivotFmt>
        <c:idx val="1561"/>
        <c:spPr>
          <a:solidFill>
            <a:schemeClr val="accent1"/>
          </a:solidFill>
          <a:ln>
            <a:noFill/>
          </a:ln>
          <a:effectLst>
            <a:outerShdw blurRad="254000" sx="102000" sy="102000" algn="ctr" rotWithShape="0">
              <a:prstClr val="black">
                <a:alpha val="20000"/>
              </a:prstClr>
            </a:outerShdw>
          </a:effectLst>
        </c:spPr>
      </c:pivotFmt>
      <c:pivotFmt>
        <c:idx val="1562"/>
        <c:spPr>
          <a:solidFill>
            <a:schemeClr val="accent1"/>
          </a:solidFill>
          <a:ln>
            <a:noFill/>
          </a:ln>
          <a:effectLst>
            <a:outerShdw blurRad="254000" sx="102000" sy="102000" algn="ctr" rotWithShape="0">
              <a:prstClr val="black">
                <a:alpha val="20000"/>
              </a:prstClr>
            </a:outerShdw>
          </a:effectLst>
        </c:spPr>
      </c:pivotFmt>
      <c:pivotFmt>
        <c:idx val="1563"/>
        <c:spPr>
          <a:solidFill>
            <a:schemeClr val="accent1"/>
          </a:solidFill>
          <a:ln>
            <a:noFill/>
          </a:ln>
          <a:effectLst>
            <a:outerShdw blurRad="254000" sx="102000" sy="102000" algn="ctr" rotWithShape="0">
              <a:prstClr val="black">
                <a:alpha val="20000"/>
              </a:prstClr>
            </a:outerShdw>
          </a:effectLst>
        </c:spPr>
      </c:pivotFmt>
      <c:pivotFmt>
        <c:idx val="1564"/>
        <c:spPr>
          <a:solidFill>
            <a:schemeClr val="accent1"/>
          </a:solidFill>
          <a:ln>
            <a:noFill/>
          </a:ln>
          <a:effectLst>
            <a:outerShdw blurRad="254000" sx="102000" sy="102000" algn="ctr" rotWithShape="0">
              <a:prstClr val="black">
                <a:alpha val="20000"/>
              </a:prstClr>
            </a:outerShdw>
          </a:effectLst>
        </c:spPr>
      </c:pivotFmt>
      <c:pivotFmt>
        <c:idx val="1565"/>
        <c:spPr>
          <a:solidFill>
            <a:schemeClr val="accent1"/>
          </a:solidFill>
          <a:ln>
            <a:noFill/>
          </a:ln>
          <a:effectLst>
            <a:outerShdw blurRad="254000" sx="102000" sy="102000" algn="ctr" rotWithShape="0">
              <a:prstClr val="black">
                <a:alpha val="20000"/>
              </a:prstClr>
            </a:outerShdw>
          </a:effectLst>
        </c:spPr>
      </c:pivotFmt>
      <c:pivotFmt>
        <c:idx val="1566"/>
        <c:spPr>
          <a:solidFill>
            <a:schemeClr val="accent1"/>
          </a:solidFill>
          <a:ln>
            <a:noFill/>
          </a:ln>
          <a:effectLst>
            <a:outerShdw blurRad="254000" sx="102000" sy="102000" algn="ctr" rotWithShape="0">
              <a:prstClr val="black">
                <a:alpha val="20000"/>
              </a:prstClr>
            </a:outerShdw>
          </a:effectLst>
        </c:spPr>
      </c:pivotFmt>
      <c:pivotFmt>
        <c:idx val="1567"/>
        <c:spPr>
          <a:solidFill>
            <a:schemeClr val="accent1"/>
          </a:solidFill>
          <a:ln>
            <a:noFill/>
          </a:ln>
          <a:effectLst>
            <a:outerShdw blurRad="254000" sx="102000" sy="102000" algn="ctr" rotWithShape="0">
              <a:prstClr val="black">
                <a:alpha val="20000"/>
              </a:prstClr>
            </a:outerShdw>
          </a:effectLst>
        </c:spPr>
      </c:pivotFmt>
      <c:pivotFmt>
        <c:idx val="1568"/>
        <c:spPr>
          <a:solidFill>
            <a:schemeClr val="accent1"/>
          </a:solidFill>
          <a:ln>
            <a:noFill/>
          </a:ln>
          <a:effectLst>
            <a:outerShdw blurRad="254000" sx="102000" sy="102000" algn="ctr" rotWithShape="0">
              <a:prstClr val="black">
                <a:alpha val="20000"/>
              </a:prstClr>
            </a:outerShdw>
          </a:effectLst>
        </c:spPr>
      </c:pivotFmt>
      <c:pivotFmt>
        <c:idx val="1569"/>
        <c:spPr>
          <a:solidFill>
            <a:schemeClr val="accent1"/>
          </a:solidFill>
          <a:ln>
            <a:noFill/>
          </a:ln>
          <a:effectLst>
            <a:outerShdw blurRad="254000" sx="102000" sy="102000" algn="ctr" rotWithShape="0">
              <a:prstClr val="black">
                <a:alpha val="20000"/>
              </a:prstClr>
            </a:outerShdw>
          </a:effectLst>
        </c:spPr>
      </c:pivotFmt>
      <c:pivotFmt>
        <c:idx val="1570"/>
        <c:spPr>
          <a:solidFill>
            <a:schemeClr val="accent1"/>
          </a:solidFill>
          <a:ln>
            <a:noFill/>
          </a:ln>
          <a:effectLst>
            <a:outerShdw blurRad="254000" sx="102000" sy="102000" algn="ctr" rotWithShape="0">
              <a:prstClr val="black">
                <a:alpha val="20000"/>
              </a:prstClr>
            </a:outerShdw>
          </a:effectLst>
        </c:spPr>
      </c:pivotFmt>
      <c:pivotFmt>
        <c:idx val="1571"/>
        <c:spPr>
          <a:solidFill>
            <a:schemeClr val="accent1"/>
          </a:solidFill>
          <a:ln>
            <a:noFill/>
          </a:ln>
          <a:effectLst>
            <a:outerShdw blurRad="254000" sx="102000" sy="102000" algn="ctr" rotWithShape="0">
              <a:prstClr val="black">
                <a:alpha val="20000"/>
              </a:prstClr>
            </a:outerShdw>
          </a:effectLst>
        </c:spPr>
      </c:pivotFmt>
      <c:pivotFmt>
        <c:idx val="1572"/>
        <c:spPr>
          <a:solidFill>
            <a:schemeClr val="accent1"/>
          </a:solidFill>
          <a:ln>
            <a:noFill/>
          </a:ln>
          <a:effectLst>
            <a:outerShdw blurRad="254000" sx="102000" sy="102000" algn="ctr" rotWithShape="0">
              <a:prstClr val="black">
                <a:alpha val="20000"/>
              </a:prstClr>
            </a:outerShdw>
          </a:effectLst>
        </c:spPr>
      </c:pivotFmt>
      <c:pivotFmt>
        <c:idx val="1573"/>
        <c:spPr>
          <a:solidFill>
            <a:schemeClr val="accent1"/>
          </a:solidFill>
          <a:ln>
            <a:noFill/>
          </a:ln>
          <a:effectLst>
            <a:outerShdw blurRad="254000" sx="102000" sy="102000" algn="ctr" rotWithShape="0">
              <a:prstClr val="black">
                <a:alpha val="20000"/>
              </a:prstClr>
            </a:outerShdw>
          </a:effectLst>
        </c:spPr>
      </c:pivotFmt>
      <c:pivotFmt>
        <c:idx val="1574"/>
        <c:spPr>
          <a:solidFill>
            <a:schemeClr val="accent1"/>
          </a:solidFill>
          <a:ln>
            <a:noFill/>
          </a:ln>
          <a:effectLst>
            <a:outerShdw blurRad="254000" sx="102000" sy="102000" algn="ctr" rotWithShape="0">
              <a:prstClr val="black">
                <a:alpha val="20000"/>
              </a:prstClr>
            </a:outerShdw>
          </a:effectLst>
        </c:spPr>
      </c:pivotFmt>
      <c:pivotFmt>
        <c:idx val="1575"/>
        <c:spPr>
          <a:solidFill>
            <a:schemeClr val="accent1"/>
          </a:solidFill>
          <a:ln>
            <a:noFill/>
          </a:ln>
          <a:effectLst>
            <a:outerShdw blurRad="254000" sx="102000" sy="102000" algn="ctr" rotWithShape="0">
              <a:prstClr val="black">
                <a:alpha val="20000"/>
              </a:prstClr>
            </a:outerShdw>
          </a:effectLst>
        </c:spPr>
      </c:pivotFmt>
      <c:pivotFmt>
        <c:idx val="1576"/>
        <c:spPr>
          <a:solidFill>
            <a:schemeClr val="accent1"/>
          </a:solidFill>
          <a:ln>
            <a:noFill/>
          </a:ln>
          <a:effectLst>
            <a:outerShdw blurRad="254000" sx="102000" sy="102000" algn="ctr" rotWithShape="0">
              <a:prstClr val="black">
                <a:alpha val="20000"/>
              </a:prstClr>
            </a:outerShdw>
          </a:effectLst>
        </c:spPr>
      </c:pivotFmt>
      <c:pivotFmt>
        <c:idx val="1577"/>
        <c:spPr>
          <a:solidFill>
            <a:schemeClr val="accent1"/>
          </a:solidFill>
          <a:ln>
            <a:noFill/>
          </a:ln>
          <a:effectLst>
            <a:outerShdw blurRad="254000" sx="102000" sy="102000" algn="ctr" rotWithShape="0">
              <a:prstClr val="black">
                <a:alpha val="20000"/>
              </a:prstClr>
            </a:outerShdw>
          </a:effectLst>
        </c:spPr>
      </c:pivotFmt>
      <c:pivotFmt>
        <c:idx val="1578"/>
        <c:spPr>
          <a:solidFill>
            <a:schemeClr val="accent1"/>
          </a:solidFill>
          <a:ln>
            <a:noFill/>
          </a:ln>
          <a:effectLst>
            <a:outerShdw blurRad="254000" sx="102000" sy="102000" algn="ctr" rotWithShape="0">
              <a:prstClr val="black">
                <a:alpha val="20000"/>
              </a:prstClr>
            </a:outerShdw>
          </a:effectLst>
        </c:spPr>
      </c:pivotFmt>
      <c:pivotFmt>
        <c:idx val="1579"/>
        <c:spPr>
          <a:solidFill>
            <a:schemeClr val="accent1"/>
          </a:solidFill>
          <a:ln>
            <a:noFill/>
          </a:ln>
          <a:effectLst>
            <a:outerShdw blurRad="254000" sx="102000" sy="102000" algn="ctr" rotWithShape="0">
              <a:prstClr val="black">
                <a:alpha val="20000"/>
              </a:prstClr>
            </a:outerShdw>
          </a:effectLst>
        </c:spPr>
      </c:pivotFmt>
      <c:pivotFmt>
        <c:idx val="1580"/>
        <c:spPr>
          <a:solidFill>
            <a:schemeClr val="accent1"/>
          </a:solidFill>
          <a:ln>
            <a:noFill/>
          </a:ln>
          <a:effectLst>
            <a:outerShdw blurRad="254000" sx="102000" sy="102000" algn="ctr" rotWithShape="0">
              <a:prstClr val="black">
                <a:alpha val="20000"/>
              </a:prstClr>
            </a:outerShdw>
          </a:effectLst>
        </c:spPr>
      </c:pivotFmt>
      <c:pivotFmt>
        <c:idx val="1581"/>
        <c:spPr>
          <a:solidFill>
            <a:schemeClr val="accent1"/>
          </a:solidFill>
          <a:ln>
            <a:noFill/>
          </a:ln>
          <a:effectLst>
            <a:outerShdw blurRad="254000" sx="102000" sy="102000" algn="ctr" rotWithShape="0">
              <a:prstClr val="black">
                <a:alpha val="20000"/>
              </a:prstClr>
            </a:outerShdw>
          </a:effectLst>
        </c:spPr>
      </c:pivotFmt>
      <c:pivotFmt>
        <c:idx val="1582"/>
        <c:spPr>
          <a:solidFill>
            <a:schemeClr val="accent1"/>
          </a:solidFill>
          <a:ln>
            <a:noFill/>
          </a:ln>
          <a:effectLst>
            <a:outerShdw blurRad="254000" sx="102000" sy="102000" algn="ctr" rotWithShape="0">
              <a:prstClr val="black">
                <a:alpha val="20000"/>
              </a:prstClr>
            </a:outerShdw>
          </a:effectLst>
        </c:spPr>
      </c:pivotFmt>
      <c:pivotFmt>
        <c:idx val="1583"/>
        <c:spPr>
          <a:solidFill>
            <a:schemeClr val="accent1"/>
          </a:solidFill>
          <a:ln>
            <a:noFill/>
          </a:ln>
          <a:effectLst>
            <a:outerShdw blurRad="254000" sx="102000" sy="102000" algn="ctr" rotWithShape="0">
              <a:prstClr val="black">
                <a:alpha val="20000"/>
              </a:prstClr>
            </a:outerShdw>
          </a:effectLst>
        </c:spPr>
      </c:pivotFmt>
      <c:pivotFmt>
        <c:idx val="1584"/>
        <c:spPr>
          <a:solidFill>
            <a:schemeClr val="accent1"/>
          </a:solidFill>
          <a:ln>
            <a:noFill/>
          </a:ln>
          <a:effectLst>
            <a:outerShdw blurRad="254000" sx="102000" sy="102000" algn="ctr" rotWithShape="0">
              <a:prstClr val="black">
                <a:alpha val="20000"/>
              </a:prstClr>
            </a:outerShdw>
          </a:effectLst>
        </c:spPr>
      </c:pivotFmt>
      <c:pivotFmt>
        <c:idx val="1585"/>
        <c:spPr>
          <a:solidFill>
            <a:schemeClr val="accent1"/>
          </a:solidFill>
          <a:ln>
            <a:noFill/>
          </a:ln>
          <a:effectLst>
            <a:outerShdw blurRad="254000" sx="102000" sy="102000" algn="ctr" rotWithShape="0">
              <a:prstClr val="black">
                <a:alpha val="20000"/>
              </a:prstClr>
            </a:outerShdw>
          </a:effectLst>
        </c:spPr>
      </c:pivotFmt>
      <c:pivotFmt>
        <c:idx val="1586"/>
        <c:spPr>
          <a:solidFill>
            <a:schemeClr val="accent1"/>
          </a:solidFill>
          <a:ln>
            <a:noFill/>
          </a:ln>
          <a:effectLst>
            <a:outerShdw blurRad="254000" sx="102000" sy="102000" algn="ctr" rotWithShape="0">
              <a:prstClr val="black">
                <a:alpha val="20000"/>
              </a:prstClr>
            </a:outerShdw>
          </a:effectLst>
        </c:spPr>
      </c:pivotFmt>
      <c:pivotFmt>
        <c:idx val="1587"/>
        <c:spPr>
          <a:solidFill>
            <a:schemeClr val="accent1"/>
          </a:solidFill>
          <a:ln>
            <a:noFill/>
          </a:ln>
          <a:effectLst>
            <a:outerShdw blurRad="254000" sx="102000" sy="102000" algn="ctr" rotWithShape="0">
              <a:prstClr val="black">
                <a:alpha val="20000"/>
              </a:prstClr>
            </a:outerShdw>
          </a:effectLst>
        </c:spPr>
      </c:pivotFmt>
      <c:pivotFmt>
        <c:idx val="1588"/>
        <c:spPr>
          <a:solidFill>
            <a:schemeClr val="accent1"/>
          </a:solidFill>
          <a:ln>
            <a:noFill/>
          </a:ln>
          <a:effectLst>
            <a:outerShdw blurRad="254000" sx="102000" sy="102000" algn="ctr" rotWithShape="0">
              <a:prstClr val="black">
                <a:alpha val="20000"/>
              </a:prstClr>
            </a:outerShdw>
          </a:effectLst>
        </c:spPr>
      </c:pivotFmt>
      <c:pivotFmt>
        <c:idx val="1589"/>
        <c:spPr>
          <a:solidFill>
            <a:schemeClr val="accent1"/>
          </a:solidFill>
          <a:ln>
            <a:noFill/>
          </a:ln>
          <a:effectLst>
            <a:outerShdw blurRad="254000" sx="102000" sy="102000" algn="ctr" rotWithShape="0">
              <a:prstClr val="black">
                <a:alpha val="20000"/>
              </a:prstClr>
            </a:outerShdw>
          </a:effectLst>
        </c:spPr>
      </c:pivotFmt>
      <c:pivotFmt>
        <c:idx val="1590"/>
        <c:spPr>
          <a:solidFill>
            <a:schemeClr val="accent1"/>
          </a:solidFill>
          <a:ln>
            <a:noFill/>
          </a:ln>
          <a:effectLst>
            <a:outerShdw blurRad="254000" sx="102000" sy="102000" algn="ctr" rotWithShape="0">
              <a:prstClr val="black">
                <a:alpha val="20000"/>
              </a:prstClr>
            </a:outerShdw>
          </a:effectLst>
        </c:spPr>
      </c:pivotFmt>
      <c:pivotFmt>
        <c:idx val="1591"/>
        <c:spPr>
          <a:solidFill>
            <a:schemeClr val="accent1"/>
          </a:solidFill>
          <a:ln>
            <a:noFill/>
          </a:ln>
          <a:effectLst>
            <a:outerShdw blurRad="254000" sx="102000" sy="102000" algn="ctr" rotWithShape="0">
              <a:prstClr val="black">
                <a:alpha val="20000"/>
              </a:prstClr>
            </a:outerShdw>
          </a:effectLst>
        </c:spPr>
      </c:pivotFmt>
      <c:pivotFmt>
        <c:idx val="1592"/>
        <c:spPr>
          <a:solidFill>
            <a:schemeClr val="accent1"/>
          </a:solidFill>
          <a:ln>
            <a:noFill/>
          </a:ln>
          <a:effectLst>
            <a:outerShdw blurRad="254000" sx="102000" sy="102000" algn="ctr" rotWithShape="0">
              <a:prstClr val="black">
                <a:alpha val="20000"/>
              </a:prstClr>
            </a:outerShdw>
          </a:effectLst>
        </c:spPr>
      </c:pivotFmt>
      <c:pivotFmt>
        <c:idx val="1593"/>
        <c:spPr>
          <a:solidFill>
            <a:schemeClr val="accent1"/>
          </a:solidFill>
          <a:ln>
            <a:noFill/>
          </a:ln>
          <a:effectLst>
            <a:outerShdw blurRad="254000" sx="102000" sy="102000" algn="ctr" rotWithShape="0">
              <a:prstClr val="black">
                <a:alpha val="20000"/>
              </a:prstClr>
            </a:outerShdw>
          </a:effectLst>
        </c:spPr>
      </c:pivotFmt>
      <c:pivotFmt>
        <c:idx val="1594"/>
        <c:spPr>
          <a:solidFill>
            <a:schemeClr val="accent1"/>
          </a:solidFill>
          <a:ln>
            <a:noFill/>
          </a:ln>
          <a:effectLst>
            <a:outerShdw blurRad="254000" sx="102000" sy="102000" algn="ctr" rotWithShape="0">
              <a:prstClr val="black">
                <a:alpha val="20000"/>
              </a:prstClr>
            </a:outerShdw>
          </a:effectLst>
        </c:spPr>
      </c:pivotFmt>
      <c:pivotFmt>
        <c:idx val="1595"/>
        <c:spPr>
          <a:solidFill>
            <a:schemeClr val="accent1"/>
          </a:solidFill>
          <a:ln>
            <a:noFill/>
          </a:ln>
          <a:effectLst>
            <a:outerShdw blurRad="254000" sx="102000" sy="102000" algn="ctr" rotWithShape="0">
              <a:prstClr val="black">
                <a:alpha val="20000"/>
              </a:prstClr>
            </a:outerShdw>
          </a:effectLst>
        </c:spPr>
      </c:pivotFmt>
      <c:pivotFmt>
        <c:idx val="1596"/>
        <c:spPr>
          <a:solidFill>
            <a:schemeClr val="accent1"/>
          </a:solidFill>
          <a:ln>
            <a:noFill/>
          </a:ln>
          <a:effectLst>
            <a:outerShdw blurRad="254000" sx="102000" sy="102000" algn="ctr" rotWithShape="0">
              <a:prstClr val="black">
                <a:alpha val="20000"/>
              </a:prstClr>
            </a:outerShdw>
          </a:effectLst>
        </c:spPr>
      </c:pivotFmt>
      <c:pivotFmt>
        <c:idx val="1597"/>
        <c:spPr>
          <a:solidFill>
            <a:schemeClr val="accent1"/>
          </a:solidFill>
          <a:ln>
            <a:noFill/>
          </a:ln>
          <a:effectLst>
            <a:outerShdw blurRad="254000" sx="102000" sy="102000" algn="ctr" rotWithShape="0">
              <a:prstClr val="black">
                <a:alpha val="20000"/>
              </a:prstClr>
            </a:outerShdw>
          </a:effectLst>
        </c:spPr>
      </c:pivotFmt>
      <c:pivotFmt>
        <c:idx val="1598"/>
        <c:spPr>
          <a:solidFill>
            <a:schemeClr val="accent1"/>
          </a:solidFill>
          <a:ln>
            <a:noFill/>
          </a:ln>
          <a:effectLst>
            <a:outerShdw blurRad="254000" sx="102000" sy="102000" algn="ctr" rotWithShape="0">
              <a:prstClr val="black">
                <a:alpha val="20000"/>
              </a:prstClr>
            </a:outerShdw>
          </a:effectLst>
        </c:spPr>
      </c:pivotFmt>
      <c:pivotFmt>
        <c:idx val="1599"/>
        <c:spPr>
          <a:solidFill>
            <a:schemeClr val="accent1"/>
          </a:solidFill>
          <a:ln>
            <a:noFill/>
          </a:ln>
          <a:effectLst>
            <a:outerShdw blurRad="254000" sx="102000" sy="102000" algn="ctr" rotWithShape="0">
              <a:prstClr val="black">
                <a:alpha val="20000"/>
              </a:prstClr>
            </a:outerShdw>
          </a:effectLst>
        </c:spPr>
      </c:pivotFmt>
      <c:pivotFmt>
        <c:idx val="1600"/>
        <c:spPr>
          <a:solidFill>
            <a:schemeClr val="accent1"/>
          </a:solidFill>
          <a:ln>
            <a:noFill/>
          </a:ln>
          <a:effectLst>
            <a:outerShdw blurRad="254000" sx="102000" sy="102000" algn="ctr" rotWithShape="0">
              <a:prstClr val="black">
                <a:alpha val="20000"/>
              </a:prstClr>
            </a:outerShdw>
          </a:effectLst>
        </c:spPr>
      </c:pivotFmt>
      <c:pivotFmt>
        <c:idx val="1601"/>
        <c:spPr>
          <a:solidFill>
            <a:schemeClr val="accent1"/>
          </a:solidFill>
          <a:ln>
            <a:noFill/>
          </a:ln>
          <a:effectLst>
            <a:outerShdw blurRad="254000" sx="102000" sy="102000" algn="ctr" rotWithShape="0">
              <a:prstClr val="black">
                <a:alpha val="20000"/>
              </a:prstClr>
            </a:outerShdw>
          </a:effectLst>
        </c:spPr>
      </c:pivotFmt>
      <c:pivotFmt>
        <c:idx val="1602"/>
        <c:spPr>
          <a:solidFill>
            <a:schemeClr val="accent1"/>
          </a:solidFill>
          <a:ln>
            <a:noFill/>
          </a:ln>
          <a:effectLst>
            <a:outerShdw blurRad="254000" sx="102000" sy="102000" algn="ctr" rotWithShape="0">
              <a:prstClr val="black">
                <a:alpha val="20000"/>
              </a:prstClr>
            </a:outerShdw>
          </a:effectLst>
        </c:spPr>
      </c:pivotFmt>
      <c:pivotFmt>
        <c:idx val="1603"/>
        <c:spPr>
          <a:solidFill>
            <a:schemeClr val="accent1"/>
          </a:solidFill>
          <a:ln>
            <a:noFill/>
          </a:ln>
          <a:effectLst>
            <a:outerShdw blurRad="254000" sx="102000" sy="102000" algn="ctr" rotWithShape="0">
              <a:prstClr val="black">
                <a:alpha val="20000"/>
              </a:prstClr>
            </a:outerShdw>
          </a:effectLst>
        </c:spPr>
      </c:pivotFmt>
      <c:pivotFmt>
        <c:idx val="1604"/>
        <c:spPr>
          <a:solidFill>
            <a:schemeClr val="accent1"/>
          </a:solidFill>
          <a:ln>
            <a:noFill/>
          </a:ln>
          <a:effectLst>
            <a:outerShdw blurRad="254000" sx="102000" sy="102000" algn="ctr" rotWithShape="0">
              <a:prstClr val="black">
                <a:alpha val="20000"/>
              </a:prstClr>
            </a:outerShdw>
          </a:effectLst>
        </c:spPr>
      </c:pivotFmt>
      <c:pivotFmt>
        <c:idx val="1605"/>
        <c:spPr>
          <a:solidFill>
            <a:schemeClr val="accent1"/>
          </a:solidFill>
          <a:ln>
            <a:noFill/>
          </a:ln>
          <a:effectLst>
            <a:outerShdw blurRad="254000" sx="102000" sy="102000" algn="ctr" rotWithShape="0">
              <a:prstClr val="black">
                <a:alpha val="20000"/>
              </a:prstClr>
            </a:outerShdw>
          </a:effectLst>
        </c:spPr>
      </c:pivotFmt>
      <c:pivotFmt>
        <c:idx val="1606"/>
        <c:spPr>
          <a:solidFill>
            <a:schemeClr val="accent1"/>
          </a:solidFill>
          <a:ln>
            <a:noFill/>
          </a:ln>
          <a:effectLst>
            <a:outerShdw blurRad="254000" sx="102000" sy="102000" algn="ctr" rotWithShape="0">
              <a:prstClr val="black">
                <a:alpha val="20000"/>
              </a:prstClr>
            </a:outerShdw>
          </a:effectLst>
        </c:spPr>
      </c:pivotFmt>
      <c:pivotFmt>
        <c:idx val="1607"/>
        <c:spPr>
          <a:solidFill>
            <a:schemeClr val="accent1"/>
          </a:solidFill>
          <a:ln>
            <a:noFill/>
          </a:ln>
          <a:effectLst>
            <a:outerShdw blurRad="254000" sx="102000" sy="102000" algn="ctr" rotWithShape="0">
              <a:prstClr val="black">
                <a:alpha val="20000"/>
              </a:prstClr>
            </a:outerShdw>
          </a:effectLst>
        </c:spPr>
      </c:pivotFmt>
      <c:pivotFmt>
        <c:idx val="1608"/>
        <c:spPr>
          <a:solidFill>
            <a:schemeClr val="accent1"/>
          </a:solidFill>
          <a:ln>
            <a:noFill/>
          </a:ln>
          <a:effectLst>
            <a:outerShdw blurRad="254000" sx="102000" sy="102000" algn="ctr" rotWithShape="0">
              <a:prstClr val="black">
                <a:alpha val="20000"/>
              </a:prstClr>
            </a:outerShdw>
          </a:effectLst>
        </c:spPr>
      </c:pivotFmt>
      <c:pivotFmt>
        <c:idx val="1609"/>
        <c:spPr>
          <a:solidFill>
            <a:schemeClr val="accent1"/>
          </a:solidFill>
          <a:ln>
            <a:noFill/>
          </a:ln>
          <a:effectLst>
            <a:outerShdw blurRad="254000" sx="102000" sy="102000" algn="ctr" rotWithShape="0">
              <a:prstClr val="black">
                <a:alpha val="20000"/>
              </a:prstClr>
            </a:outerShdw>
          </a:effectLst>
        </c:spPr>
      </c:pivotFmt>
      <c:pivotFmt>
        <c:idx val="1610"/>
        <c:spPr>
          <a:solidFill>
            <a:schemeClr val="accent1"/>
          </a:solidFill>
          <a:ln>
            <a:noFill/>
          </a:ln>
          <a:effectLst>
            <a:outerShdw blurRad="254000" sx="102000" sy="102000" algn="ctr" rotWithShape="0">
              <a:prstClr val="black">
                <a:alpha val="20000"/>
              </a:prstClr>
            </a:outerShdw>
          </a:effectLst>
        </c:spPr>
      </c:pivotFmt>
      <c:pivotFmt>
        <c:idx val="1611"/>
        <c:spPr>
          <a:solidFill>
            <a:schemeClr val="accent1"/>
          </a:solidFill>
          <a:ln>
            <a:noFill/>
          </a:ln>
          <a:effectLst>
            <a:outerShdw blurRad="254000" sx="102000" sy="102000" algn="ctr" rotWithShape="0">
              <a:prstClr val="black">
                <a:alpha val="20000"/>
              </a:prstClr>
            </a:outerShdw>
          </a:effectLst>
        </c:spPr>
      </c:pivotFmt>
      <c:pivotFmt>
        <c:idx val="1612"/>
        <c:spPr>
          <a:solidFill>
            <a:schemeClr val="accent1"/>
          </a:solidFill>
          <a:ln>
            <a:noFill/>
          </a:ln>
          <a:effectLst>
            <a:outerShdw blurRad="254000" sx="102000" sy="102000" algn="ctr" rotWithShape="0">
              <a:prstClr val="black">
                <a:alpha val="20000"/>
              </a:prstClr>
            </a:outerShdw>
          </a:effectLst>
        </c:spPr>
      </c:pivotFmt>
      <c:pivotFmt>
        <c:idx val="1613"/>
        <c:spPr>
          <a:solidFill>
            <a:schemeClr val="accent1"/>
          </a:solidFill>
          <a:ln>
            <a:noFill/>
          </a:ln>
          <a:effectLst>
            <a:outerShdw blurRad="254000" sx="102000" sy="102000" algn="ctr" rotWithShape="0">
              <a:prstClr val="black">
                <a:alpha val="20000"/>
              </a:prstClr>
            </a:outerShdw>
          </a:effectLst>
        </c:spPr>
      </c:pivotFmt>
      <c:pivotFmt>
        <c:idx val="1614"/>
        <c:spPr>
          <a:solidFill>
            <a:schemeClr val="accent1"/>
          </a:solidFill>
          <a:ln>
            <a:noFill/>
          </a:ln>
          <a:effectLst>
            <a:outerShdw blurRad="254000" sx="102000" sy="102000" algn="ctr" rotWithShape="0">
              <a:prstClr val="black">
                <a:alpha val="20000"/>
              </a:prstClr>
            </a:outerShdw>
          </a:effectLst>
        </c:spPr>
      </c:pivotFmt>
      <c:pivotFmt>
        <c:idx val="1615"/>
        <c:spPr>
          <a:solidFill>
            <a:schemeClr val="accent1"/>
          </a:solidFill>
          <a:ln>
            <a:noFill/>
          </a:ln>
          <a:effectLst>
            <a:outerShdw blurRad="254000" sx="102000" sy="102000" algn="ctr" rotWithShape="0">
              <a:prstClr val="black">
                <a:alpha val="20000"/>
              </a:prstClr>
            </a:outerShdw>
          </a:effectLst>
        </c:spPr>
      </c:pivotFmt>
      <c:pivotFmt>
        <c:idx val="1616"/>
        <c:spPr>
          <a:solidFill>
            <a:schemeClr val="accent1"/>
          </a:solidFill>
          <a:ln>
            <a:noFill/>
          </a:ln>
          <a:effectLst>
            <a:outerShdw blurRad="254000" sx="102000" sy="102000" algn="ctr" rotWithShape="0">
              <a:prstClr val="black">
                <a:alpha val="20000"/>
              </a:prstClr>
            </a:outerShdw>
          </a:effectLst>
        </c:spPr>
      </c:pivotFmt>
      <c:pivotFmt>
        <c:idx val="1617"/>
        <c:spPr>
          <a:solidFill>
            <a:schemeClr val="accent1"/>
          </a:solidFill>
          <a:ln>
            <a:noFill/>
          </a:ln>
          <a:effectLst>
            <a:outerShdw blurRad="254000" sx="102000" sy="102000" algn="ctr" rotWithShape="0">
              <a:prstClr val="black">
                <a:alpha val="20000"/>
              </a:prstClr>
            </a:outerShdw>
          </a:effectLst>
        </c:spPr>
      </c:pivotFmt>
      <c:pivotFmt>
        <c:idx val="1618"/>
        <c:spPr>
          <a:solidFill>
            <a:schemeClr val="accent1"/>
          </a:solidFill>
          <a:ln>
            <a:noFill/>
          </a:ln>
          <a:effectLst>
            <a:outerShdw blurRad="254000" sx="102000" sy="102000" algn="ctr" rotWithShape="0">
              <a:prstClr val="black">
                <a:alpha val="20000"/>
              </a:prstClr>
            </a:outerShdw>
          </a:effectLst>
        </c:spPr>
      </c:pivotFmt>
      <c:pivotFmt>
        <c:idx val="1619"/>
        <c:spPr>
          <a:solidFill>
            <a:schemeClr val="accent1"/>
          </a:solidFill>
          <a:ln>
            <a:noFill/>
          </a:ln>
          <a:effectLst>
            <a:outerShdw blurRad="254000" sx="102000" sy="102000" algn="ctr" rotWithShape="0">
              <a:prstClr val="black">
                <a:alpha val="20000"/>
              </a:prstClr>
            </a:outerShdw>
          </a:effectLst>
        </c:spPr>
      </c:pivotFmt>
      <c:pivotFmt>
        <c:idx val="1620"/>
        <c:spPr>
          <a:solidFill>
            <a:schemeClr val="accent1"/>
          </a:solidFill>
          <a:ln>
            <a:noFill/>
          </a:ln>
          <a:effectLst>
            <a:outerShdw blurRad="254000" sx="102000" sy="102000" algn="ctr" rotWithShape="0">
              <a:prstClr val="black">
                <a:alpha val="20000"/>
              </a:prstClr>
            </a:outerShdw>
          </a:effectLst>
        </c:spPr>
      </c:pivotFmt>
      <c:pivotFmt>
        <c:idx val="1621"/>
        <c:spPr>
          <a:solidFill>
            <a:schemeClr val="accent1"/>
          </a:solidFill>
          <a:ln>
            <a:noFill/>
          </a:ln>
          <a:effectLst>
            <a:outerShdw blurRad="254000" sx="102000" sy="102000" algn="ctr" rotWithShape="0">
              <a:prstClr val="black">
                <a:alpha val="20000"/>
              </a:prstClr>
            </a:outerShdw>
          </a:effectLst>
        </c:spPr>
      </c:pivotFmt>
      <c:pivotFmt>
        <c:idx val="1622"/>
        <c:spPr>
          <a:solidFill>
            <a:schemeClr val="accent1"/>
          </a:solidFill>
          <a:ln>
            <a:noFill/>
          </a:ln>
          <a:effectLst>
            <a:outerShdw blurRad="254000" sx="102000" sy="102000" algn="ctr" rotWithShape="0">
              <a:prstClr val="black">
                <a:alpha val="20000"/>
              </a:prstClr>
            </a:outerShdw>
          </a:effectLst>
        </c:spPr>
      </c:pivotFmt>
      <c:pivotFmt>
        <c:idx val="1623"/>
        <c:spPr>
          <a:solidFill>
            <a:schemeClr val="accent1"/>
          </a:solidFill>
          <a:ln>
            <a:noFill/>
          </a:ln>
          <a:effectLst>
            <a:outerShdw blurRad="254000" sx="102000" sy="102000" algn="ctr" rotWithShape="0">
              <a:prstClr val="black">
                <a:alpha val="20000"/>
              </a:prstClr>
            </a:outerShdw>
          </a:effectLst>
        </c:spPr>
      </c:pivotFmt>
      <c:pivotFmt>
        <c:idx val="1624"/>
        <c:spPr>
          <a:solidFill>
            <a:schemeClr val="accent1"/>
          </a:solidFill>
          <a:ln>
            <a:noFill/>
          </a:ln>
          <a:effectLst>
            <a:outerShdw blurRad="254000" sx="102000" sy="102000" algn="ctr" rotWithShape="0">
              <a:prstClr val="black">
                <a:alpha val="20000"/>
              </a:prstClr>
            </a:outerShdw>
          </a:effectLst>
        </c:spPr>
      </c:pivotFmt>
      <c:pivotFmt>
        <c:idx val="1625"/>
        <c:spPr>
          <a:solidFill>
            <a:schemeClr val="accent1"/>
          </a:solidFill>
          <a:ln>
            <a:noFill/>
          </a:ln>
          <a:effectLst>
            <a:outerShdw blurRad="254000" sx="102000" sy="102000" algn="ctr" rotWithShape="0">
              <a:prstClr val="black">
                <a:alpha val="20000"/>
              </a:prstClr>
            </a:outerShdw>
          </a:effectLst>
        </c:spPr>
      </c:pivotFmt>
      <c:pivotFmt>
        <c:idx val="1626"/>
        <c:spPr>
          <a:solidFill>
            <a:schemeClr val="accent1"/>
          </a:solidFill>
          <a:ln>
            <a:noFill/>
          </a:ln>
          <a:effectLst>
            <a:outerShdw blurRad="254000" sx="102000" sy="102000" algn="ctr" rotWithShape="0">
              <a:prstClr val="black">
                <a:alpha val="20000"/>
              </a:prstClr>
            </a:outerShdw>
          </a:effectLst>
        </c:spPr>
      </c:pivotFmt>
      <c:pivotFmt>
        <c:idx val="1627"/>
        <c:spPr>
          <a:solidFill>
            <a:schemeClr val="accent1"/>
          </a:solidFill>
          <a:ln>
            <a:noFill/>
          </a:ln>
          <a:effectLst>
            <a:outerShdw blurRad="254000" sx="102000" sy="102000" algn="ctr" rotWithShape="0">
              <a:prstClr val="black">
                <a:alpha val="20000"/>
              </a:prstClr>
            </a:outerShdw>
          </a:effectLst>
        </c:spPr>
      </c:pivotFmt>
      <c:pivotFmt>
        <c:idx val="1628"/>
        <c:spPr>
          <a:solidFill>
            <a:schemeClr val="accent1"/>
          </a:solidFill>
          <a:ln>
            <a:noFill/>
          </a:ln>
          <a:effectLst>
            <a:outerShdw blurRad="254000" sx="102000" sy="102000" algn="ctr" rotWithShape="0">
              <a:prstClr val="black">
                <a:alpha val="20000"/>
              </a:prstClr>
            </a:outerShdw>
          </a:effectLst>
        </c:spPr>
      </c:pivotFmt>
      <c:pivotFmt>
        <c:idx val="1629"/>
        <c:spPr>
          <a:solidFill>
            <a:schemeClr val="accent1"/>
          </a:solidFill>
          <a:ln>
            <a:noFill/>
          </a:ln>
          <a:effectLst>
            <a:outerShdw blurRad="254000" sx="102000" sy="102000" algn="ctr" rotWithShape="0">
              <a:prstClr val="black">
                <a:alpha val="20000"/>
              </a:prstClr>
            </a:outerShdw>
          </a:effectLst>
        </c:spPr>
      </c:pivotFmt>
      <c:pivotFmt>
        <c:idx val="1630"/>
        <c:spPr>
          <a:solidFill>
            <a:schemeClr val="accent1"/>
          </a:solidFill>
          <a:ln>
            <a:noFill/>
          </a:ln>
          <a:effectLst>
            <a:outerShdw blurRad="254000" sx="102000" sy="102000" algn="ctr" rotWithShape="0">
              <a:prstClr val="black">
                <a:alpha val="20000"/>
              </a:prstClr>
            </a:outerShdw>
          </a:effectLst>
        </c:spPr>
      </c:pivotFmt>
      <c:pivotFmt>
        <c:idx val="1631"/>
        <c:spPr>
          <a:solidFill>
            <a:schemeClr val="accent1"/>
          </a:solidFill>
          <a:ln>
            <a:noFill/>
          </a:ln>
          <a:effectLst>
            <a:outerShdw blurRad="254000" sx="102000" sy="102000" algn="ctr" rotWithShape="0">
              <a:prstClr val="black">
                <a:alpha val="20000"/>
              </a:prstClr>
            </a:outerShdw>
          </a:effectLst>
        </c:spPr>
      </c:pivotFmt>
      <c:pivotFmt>
        <c:idx val="1632"/>
        <c:spPr>
          <a:solidFill>
            <a:schemeClr val="accent1"/>
          </a:solidFill>
          <a:ln>
            <a:noFill/>
          </a:ln>
          <a:effectLst>
            <a:outerShdw blurRad="254000" sx="102000" sy="102000" algn="ctr" rotWithShape="0">
              <a:prstClr val="black">
                <a:alpha val="20000"/>
              </a:prstClr>
            </a:outerShdw>
          </a:effectLst>
        </c:spPr>
      </c:pivotFmt>
      <c:pivotFmt>
        <c:idx val="1633"/>
        <c:spPr>
          <a:solidFill>
            <a:schemeClr val="accent1"/>
          </a:solidFill>
          <a:ln>
            <a:noFill/>
          </a:ln>
          <a:effectLst>
            <a:outerShdw blurRad="254000" sx="102000" sy="102000" algn="ctr" rotWithShape="0">
              <a:prstClr val="black">
                <a:alpha val="20000"/>
              </a:prstClr>
            </a:outerShdw>
          </a:effectLst>
        </c:spPr>
      </c:pivotFmt>
      <c:pivotFmt>
        <c:idx val="1634"/>
        <c:spPr>
          <a:solidFill>
            <a:schemeClr val="accent1"/>
          </a:solidFill>
          <a:ln>
            <a:noFill/>
          </a:ln>
          <a:effectLst>
            <a:outerShdw blurRad="254000" sx="102000" sy="102000" algn="ctr" rotWithShape="0">
              <a:prstClr val="black">
                <a:alpha val="20000"/>
              </a:prstClr>
            </a:outerShdw>
          </a:effectLst>
        </c:spPr>
      </c:pivotFmt>
      <c:pivotFmt>
        <c:idx val="1635"/>
        <c:spPr>
          <a:solidFill>
            <a:schemeClr val="accent1"/>
          </a:solidFill>
          <a:ln>
            <a:noFill/>
          </a:ln>
          <a:effectLst>
            <a:outerShdw blurRad="254000" sx="102000" sy="102000" algn="ctr" rotWithShape="0">
              <a:prstClr val="black">
                <a:alpha val="20000"/>
              </a:prstClr>
            </a:outerShdw>
          </a:effectLst>
        </c:spPr>
      </c:pivotFmt>
      <c:pivotFmt>
        <c:idx val="1636"/>
        <c:spPr>
          <a:solidFill>
            <a:schemeClr val="accent1"/>
          </a:solidFill>
          <a:ln>
            <a:noFill/>
          </a:ln>
          <a:effectLst>
            <a:outerShdw blurRad="254000" sx="102000" sy="102000" algn="ctr" rotWithShape="0">
              <a:prstClr val="black">
                <a:alpha val="20000"/>
              </a:prstClr>
            </a:outerShdw>
          </a:effectLst>
        </c:spPr>
      </c:pivotFmt>
      <c:pivotFmt>
        <c:idx val="1637"/>
        <c:spPr>
          <a:solidFill>
            <a:schemeClr val="accent1"/>
          </a:solidFill>
          <a:ln>
            <a:noFill/>
          </a:ln>
          <a:effectLst>
            <a:outerShdw blurRad="254000" sx="102000" sy="102000" algn="ctr" rotWithShape="0">
              <a:prstClr val="black">
                <a:alpha val="20000"/>
              </a:prstClr>
            </a:outerShdw>
          </a:effectLst>
        </c:spPr>
      </c:pivotFmt>
      <c:pivotFmt>
        <c:idx val="1638"/>
        <c:spPr>
          <a:solidFill>
            <a:schemeClr val="accent1"/>
          </a:solidFill>
          <a:ln>
            <a:noFill/>
          </a:ln>
          <a:effectLst>
            <a:outerShdw blurRad="254000" sx="102000" sy="102000" algn="ctr" rotWithShape="0">
              <a:prstClr val="black">
                <a:alpha val="20000"/>
              </a:prstClr>
            </a:outerShdw>
          </a:effectLst>
        </c:spPr>
      </c:pivotFmt>
      <c:pivotFmt>
        <c:idx val="1639"/>
        <c:spPr>
          <a:solidFill>
            <a:schemeClr val="accent1"/>
          </a:solidFill>
          <a:ln>
            <a:noFill/>
          </a:ln>
          <a:effectLst>
            <a:outerShdw blurRad="254000" sx="102000" sy="102000" algn="ctr" rotWithShape="0">
              <a:prstClr val="black">
                <a:alpha val="20000"/>
              </a:prstClr>
            </a:outerShdw>
          </a:effectLst>
        </c:spPr>
      </c:pivotFmt>
      <c:pivotFmt>
        <c:idx val="1640"/>
        <c:spPr>
          <a:solidFill>
            <a:schemeClr val="accent1"/>
          </a:solidFill>
          <a:ln>
            <a:noFill/>
          </a:ln>
          <a:effectLst>
            <a:outerShdw blurRad="254000" sx="102000" sy="102000" algn="ctr" rotWithShape="0">
              <a:prstClr val="black">
                <a:alpha val="20000"/>
              </a:prstClr>
            </a:outerShdw>
          </a:effectLst>
        </c:spPr>
      </c:pivotFmt>
      <c:pivotFmt>
        <c:idx val="1641"/>
        <c:spPr>
          <a:solidFill>
            <a:schemeClr val="accent1"/>
          </a:solidFill>
          <a:ln>
            <a:noFill/>
          </a:ln>
          <a:effectLst>
            <a:outerShdw blurRad="254000" sx="102000" sy="102000" algn="ctr" rotWithShape="0">
              <a:prstClr val="black">
                <a:alpha val="20000"/>
              </a:prstClr>
            </a:outerShdw>
          </a:effectLst>
        </c:spPr>
      </c:pivotFmt>
      <c:pivotFmt>
        <c:idx val="1642"/>
        <c:spPr>
          <a:solidFill>
            <a:schemeClr val="accent1"/>
          </a:solidFill>
          <a:ln>
            <a:noFill/>
          </a:ln>
          <a:effectLst>
            <a:outerShdw blurRad="254000" sx="102000" sy="102000" algn="ctr" rotWithShape="0">
              <a:prstClr val="black">
                <a:alpha val="20000"/>
              </a:prstClr>
            </a:outerShdw>
          </a:effectLst>
        </c:spPr>
      </c:pivotFmt>
      <c:pivotFmt>
        <c:idx val="1643"/>
        <c:spPr>
          <a:solidFill>
            <a:schemeClr val="accent1"/>
          </a:solidFill>
          <a:ln>
            <a:noFill/>
          </a:ln>
          <a:effectLst>
            <a:outerShdw blurRad="254000" sx="102000" sy="102000" algn="ctr" rotWithShape="0">
              <a:prstClr val="black">
                <a:alpha val="20000"/>
              </a:prstClr>
            </a:outerShdw>
          </a:effectLst>
        </c:spPr>
      </c:pivotFmt>
      <c:pivotFmt>
        <c:idx val="1644"/>
        <c:spPr>
          <a:solidFill>
            <a:schemeClr val="accent1"/>
          </a:solidFill>
          <a:ln>
            <a:noFill/>
          </a:ln>
          <a:effectLst>
            <a:outerShdw blurRad="254000" sx="102000" sy="102000" algn="ctr" rotWithShape="0">
              <a:prstClr val="black">
                <a:alpha val="20000"/>
              </a:prstClr>
            </a:outerShdw>
          </a:effectLst>
        </c:spPr>
      </c:pivotFmt>
      <c:pivotFmt>
        <c:idx val="1645"/>
        <c:spPr>
          <a:solidFill>
            <a:schemeClr val="accent1"/>
          </a:solidFill>
          <a:ln>
            <a:noFill/>
          </a:ln>
          <a:effectLst>
            <a:outerShdw blurRad="254000" sx="102000" sy="102000" algn="ctr" rotWithShape="0">
              <a:prstClr val="black">
                <a:alpha val="20000"/>
              </a:prstClr>
            </a:outerShdw>
          </a:effectLst>
        </c:spPr>
      </c:pivotFmt>
      <c:pivotFmt>
        <c:idx val="1646"/>
        <c:spPr>
          <a:solidFill>
            <a:schemeClr val="accent1"/>
          </a:solidFill>
          <a:ln>
            <a:noFill/>
          </a:ln>
          <a:effectLst>
            <a:outerShdw blurRad="254000" sx="102000" sy="102000" algn="ctr" rotWithShape="0">
              <a:prstClr val="black">
                <a:alpha val="20000"/>
              </a:prstClr>
            </a:outerShdw>
          </a:effectLst>
        </c:spPr>
      </c:pivotFmt>
      <c:pivotFmt>
        <c:idx val="1647"/>
        <c:spPr>
          <a:solidFill>
            <a:schemeClr val="accent1"/>
          </a:solidFill>
          <a:ln>
            <a:noFill/>
          </a:ln>
          <a:effectLst>
            <a:outerShdw blurRad="254000" sx="102000" sy="102000" algn="ctr" rotWithShape="0">
              <a:prstClr val="black">
                <a:alpha val="20000"/>
              </a:prstClr>
            </a:outerShdw>
          </a:effectLst>
        </c:spPr>
      </c:pivotFmt>
      <c:pivotFmt>
        <c:idx val="1648"/>
        <c:spPr>
          <a:solidFill>
            <a:schemeClr val="accent1"/>
          </a:solidFill>
          <a:ln>
            <a:noFill/>
          </a:ln>
          <a:effectLst>
            <a:outerShdw blurRad="254000" sx="102000" sy="102000" algn="ctr" rotWithShape="0">
              <a:prstClr val="black">
                <a:alpha val="20000"/>
              </a:prstClr>
            </a:outerShdw>
          </a:effectLst>
        </c:spPr>
      </c:pivotFmt>
      <c:pivotFmt>
        <c:idx val="1649"/>
        <c:spPr>
          <a:solidFill>
            <a:schemeClr val="accent1"/>
          </a:solidFill>
          <a:ln>
            <a:noFill/>
          </a:ln>
          <a:effectLst>
            <a:outerShdw blurRad="254000" sx="102000" sy="102000" algn="ctr" rotWithShape="0">
              <a:prstClr val="black">
                <a:alpha val="20000"/>
              </a:prstClr>
            </a:outerShdw>
          </a:effectLst>
        </c:spPr>
      </c:pivotFmt>
      <c:pivotFmt>
        <c:idx val="1650"/>
        <c:spPr>
          <a:solidFill>
            <a:schemeClr val="accent1"/>
          </a:solidFill>
          <a:ln>
            <a:noFill/>
          </a:ln>
          <a:effectLst>
            <a:outerShdw blurRad="254000" sx="102000" sy="102000" algn="ctr" rotWithShape="0">
              <a:prstClr val="black">
                <a:alpha val="20000"/>
              </a:prstClr>
            </a:outerShdw>
          </a:effectLst>
        </c:spPr>
      </c:pivotFmt>
      <c:pivotFmt>
        <c:idx val="1651"/>
        <c:spPr>
          <a:solidFill>
            <a:schemeClr val="accent1"/>
          </a:solidFill>
          <a:ln>
            <a:noFill/>
          </a:ln>
          <a:effectLst>
            <a:outerShdw blurRad="254000" sx="102000" sy="102000" algn="ctr" rotWithShape="0">
              <a:prstClr val="black">
                <a:alpha val="20000"/>
              </a:prstClr>
            </a:outerShdw>
          </a:effectLst>
        </c:spPr>
      </c:pivotFmt>
      <c:pivotFmt>
        <c:idx val="1652"/>
        <c:spPr>
          <a:solidFill>
            <a:schemeClr val="accent1"/>
          </a:solidFill>
          <a:ln>
            <a:noFill/>
          </a:ln>
          <a:effectLst>
            <a:outerShdw blurRad="254000" sx="102000" sy="102000" algn="ctr" rotWithShape="0">
              <a:prstClr val="black">
                <a:alpha val="20000"/>
              </a:prstClr>
            </a:outerShdw>
          </a:effectLst>
        </c:spPr>
      </c:pivotFmt>
      <c:pivotFmt>
        <c:idx val="1653"/>
        <c:spPr>
          <a:solidFill>
            <a:schemeClr val="accent1"/>
          </a:solidFill>
          <a:ln>
            <a:noFill/>
          </a:ln>
          <a:effectLst>
            <a:outerShdw blurRad="254000" sx="102000" sy="102000" algn="ctr" rotWithShape="0">
              <a:prstClr val="black">
                <a:alpha val="20000"/>
              </a:prstClr>
            </a:outerShdw>
          </a:effectLst>
        </c:spPr>
      </c:pivotFmt>
      <c:pivotFmt>
        <c:idx val="1654"/>
        <c:spPr>
          <a:solidFill>
            <a:schemeClr val="accent1"/>
          </a:solidFill>
          <a:ln>
            <a:noFill/>
          </a:ln>
          <a:effectLst>
            <a:outerShdw blurRad="254000" sx="102000" sy="102000" algn="ctr" rotWithShape="0">
              <a:prstClr val="black">
                <a:alpha val="20000"/>
              </a:prstClr>
            </a:outerShdw>
          </a:effectLst>
        </c:spPr>
      </c:pivotFmt>
      <c:pivotFmt>
        <c:idx val="1655"/>
        <c:spPr>
          <a:solidFill>
            <a:schemeClr val="accent1"/>
          </a:solidFill>
          <a:ln>
            <a:noFill/>
          </a:ln>
          <a:effectLst>
            <a:outerShdw blurRad="254000" sx="102000" sy="102000" algn="ctr" rotWithShape="0">
              <a:prstClr val="black">
                <a:alpha val="20000"/>
              </a:prstClr>
            </a:outerShdw>
          </a:effectLst>
        </c:spPr>
      </c:pivotFmt>
      <c:pivotFmt>
        <c:idx val="1656"/>
        <c:spPr>
          <a:solidFill>
            <a:schemeClr val="accent1"/>
          </a:solidFill>
          <a:ln>
            <a:noFill/>
          </a:ln>
          <a:effectLst>
            <a:outerShdw blurRad="254000" sx="102000" sy="102000" algn="ctr" rotWithShape="0">
              <a:prstClr val="black">
                <a:alpha val="20000"/>
              </a:prstClr>
            </a:outerShdw>
          </a:effectLst>
        </c:spPr>
      </c:pivotFmt>
      <c:pivotFmt>
        <c:idx val="1657"/>
        <c:spPr>
          <a:solidFill>
            <a:schemeClr val="accent1"/>
          </a:solidFill>
          <a:ln>
            <a:noFill/>
          </a:ln>
          <a:effectLst>
            <a:outerShdw blurRad="254000" sx="102000" sy="102000" algn="ctr" rotWithShape="0">
              <a:prstClr val="black">
                <a:alpha val="20000"/>
              </a:prstClr>
            </a:outerShdw>
          </a:effectLst>
        </c:spPr>
      </c:pivotFmt>
      <c:pivotFmt>
        <c:idx val="1658"/>
        <c:spPr>
          <a:solidFill>
            <a:schemeClr val="accent1"/>
          </a:solidFill>
          <a:ln>
            <a:noFill/>
          </a:ln>
          <a:effectLst>
            <a:outerShdw blurRad="254000" sx="102000" sy="102000" algn="ctr" rotWithShape="0">
              <a:prstClr val="black">
                <a:alpha val="20000"/>
              </a:prstClr>
            </a:outerShdw>
          </a:effectLst>
        </c:spPr>
      </c:pivotFmt>
      <c:pivotFmt>
        <c:idx val="1659"/>
        <c:spPr>
          <a:solidFill>
            <a:schemeClr val="accent1"/>
          </a:solidFill>
          <a:ln>
            <a:noFill/>
          </a:ln>
          <a:effectLst>
            <a:outerShdw blurRad="254000" sx="102000" sy="102000" algn="ctr" rotWithShape="0">
              <a:prstClr val="black">
                <a:alpha val="20000"/>
              </a:prstClr>
            </a:outerShdw>
          </a:effectLst>
        </c:spPr>
      </c:pivotFmt>
      <c:pivotFmt>
        <c:idx val="1660"/>
        <c:spPr>
          <a:solidFill>
            <a:schemeClr val="accent1"/>
          </a:solidFill>
          <a:ln>
            <a:noFill/>
          </a:ln>
          <a:effectLst>
            <a:outerShdw blurRad="254000" sx="102000" sy="102000" algn="ctr" rotWithShape="0">
              <a:prstClr val="black">
                <a:alpha val="20000"/>
              </a:prstClr>
            </a:outerShdw>
          </a:effectLst>
        </c:spPr>
      </c:pivotFmt>
      <c:pivotFmt>
        <c:idx val="1661"/>
        <c:spPr>
          <a:solidFill>
            <a:schemeClr val="accent1"/>
          </a:solidFill>
          <a:ln>
            <a:noFill/>
          </a:ln>
          <a:effectLst>
            <a:outerShdw blurRad="254000" sx="102000" sy="102000" algn="ctr" rotWithShape="0">
              <a:prstClr val="black">
                <a:alpha val="20000"/>
              </a:prstClr>
            </a:outerShdw>
          </a:effectLst>
        </c:spPr>
      </c:pivotFmt>
      <c:pivotFmt>
        <c:idx val="1662"/>
        <c:spPr>
          <a:solidFill>
            <a:schemeClr val="accent1"/>
          </a:solidFill>
          <a:ln>
            <a:noFill/>
          </a:ln>
          <a:effectLst>
            <a:outerShdw blurRad="254000" sx="102000" sy="102000" algn="ctr" rotWithShape="0">
              <a:prstClr val="black">
                <a:alpha val="20000"/>
              </a:prstClr>
            </a:outerShdw>
          </a:effectLst>
        </c:spPr>
      </c:pivotFmt>
      <c:pivotFmt>
        <c:idx val="1663"/>
        <c:spPr>
          <a:solidFill>
            <a:schemeClr val="accent1"/>
          </a:solidFill>
          <a:ln>
            <a:noFill/>
          </a:ln>
          <a:effectLst>
            <a:outerShdw blurRad="254000" sx="102000" sy="102000" algn="ctr" rotWithShape="0">
              <a:prstClr val="black">
                <a:alpha val="20000"/>
              </a:prstClr>
            </a:outerShdw>
          </a:effectLst>
        </c:spPr>
      </c:pivotFmt>
      <c:pivotFmt>
        <c:idx val="1664"/>
        <c:spPr>
          <a:solidFill>
            <a:schemeClr val="accent1"/>
          </a:solidFill>
          <a:ln>
            <a:noFill/>
          </a:ln>
          <a:effectLst>
            <a:outerShdw blurRad="254000" sx="102000" sy="102000" algn="ctr" rotWithShape="0">
              <a:prstClr val="black">
                <a:alpha val="20000"/>
              </a:prstClr>
            </a:outerShdw>
          </a:effectLst>
        </c:spPr>
      </c:pivotFmt>
      <c:pivotFmt>
        <c:idx val="1665"/>
        <c:spPr>
          <a:solidFill>
            <a:schemeClr val="accent1"/>
          </a:solidFill>
          <a:ln>
            <a:noFill/>
          </a:ln>
          <a:effectLst>
            <a:outerShdw blurRad="254000" sx="102000" sy="102000" algn="ctr" rotWithShape="0">
              <a:prstClr val="black">
                <a:alpha val="20000"/>
              </a:prstClr>
            </a:outerShdw>
          </a:effectLst>
        </c:spPr>
      </c:pivotFmt>
      <c:pivotFmt>
        <c:idx val="1666"/>
        <c:spPr>
          <a:solidFill>
            <a:schemeClr val="accent1"/>
          </a:solidFill>
          <a:ln>
            <a:noFill/>
          </a:ln>
          <a:effectLst>
            <a:outerShdw blurRad="254000" sx="102000" sy="102000" algn="ctr" rotWithShape="0">
              <a:prstClr val="black">
                <a:alpha val="20000"/>
              </a:prstClr>
            </a:outerShdw>
          </a:effectLst>
        </c:spPr>
      </c:pivotFmt>
      <c:pivotFmt>
        <c:idx val="1667"/>
        <c:spPr>
          <a:solidFill>
            <a:schemeClr val="accent1"/>
          </a:solidFill>
          <a:ln>
            <a:noFill/>
          </a:ln>
          <a:effectLst>
            <a:outerShdw blurRad="254000" sx="102000" sy="102000" algn="ctr" rotWithShape="0">
              <a:prstClr val="black">
                <a:alpha val="20000"/>
              </a:prstClr>
            </a:outerShdw>
          </a:effectLst>
        </c:spPr>
      </c:pivotFmt>
      <c:pivotFmt>
        <c:idx val="1668"/>
        <c:spPr>
          <a:solidFill>
            <a:schemeClr val="accent1"/>
          </a:solidFill>
          <a:ln>
            <a:noFill/>
          </a:ln>
          <a:effectLst>
            <a:outerShdw blurRad="254000" sx="102000" sy="102000" algn="ctr" rotWithShape="0">
              <a:prstClr val="black">
                <a:alpha val="20000"/>
              </a:prstClr>
            </a:outerShdw>
          </a:effectLst>
        </c:spPr>
      </c:pivotFmt>
      <c:pivotFmt>
        <c:idx val="1669"/>
        <c:spPr>
          <a:solidFill>
            <a:schemeClr val="accent1"/>
          </a:solidFill>
          <a:ln>
            <a:noFill/>
          </a:ln>
          <a:effectLst>
            <a:outerShdw blurRad="254000" sx="102000" sy="102000" algn="ctr" rotWithShape="0">
              <a:prstClr val="black">
                <a:alpha val="20000"/>
              </a:prstClr>
            </a:outerShdw>
          </a:effectLst>
        </c:spPr>
      </c:pivotFmt>
      <c:pivotFmt>
        <c:idx val="1670"/>
        <c:spPr>
          <a:solidFill>
            <a:schemeClr val="accent1"/>
          </a:solidFill>
          <a:ln>
            <a:noFill/>
          </a:ln>
          <a:effectLst>
            <a:outerShdw blurRad="254000" sx="102000" sy="102000" algn="ctr" rotWithShape="0">
              <a:prstClr val="black">
                <a:alpha val="20000"/>
              </a:prstClr>
            </a:outerShdw>
          </a:effectLst>
        </c:spPr>
      </c:pivotFmt>
      <c:pivotFmt>
        <c:idx val="1671"/>
        <c:spPr>
          <a:solidFill>
            <a:schemeClr val="accent1"/>
          </a:solidFill>
          <a:ln>
            <a:noFill/>
          </a:ln>
          <a:effectLst>
            <a:outerShdw blurRad="254000" sx="102000" sy="102000" algn="ctr" rotWithShape="0">
              <a:prstClr val="black">
                <a:alpha val="20000"/>
              </a:prstClr>
            </a:outerShdw>
          </a:effectLst>
        </c:spPr>
      </c:pivotFmt>
      <c:pivotFmt>
        <c:idx val="1672"/>
        <c:spPr>
          <a:solidFill>
            <a:schemeClr val="accent1"/>
          </a:solidFill>
          <a:ln>
            <a:noFill/>
          </a:ln>
          <a:effectLst>
            <a:outerShdw blurRad="254000" sx="102000" sy="102000" algn="ctr" rotWithShape="0">
              <a:prstClr val="black">
                <a:alpha val="20000"/>
              </a:prstClr>
            </a:outerShdw>
          </a:effectLst>
        </c:spPr>
      </c:pivotFmt>
      <c:pivotFmt>
        <c:idx val="1673"/>
        <c:spPr>
          <a:solidFill>
            <a:schemeClr val="accent1"/>
          </a:solidFill>
          <a:ln>
            <a:noFill/>
          </a:ln>
          <a:effectLst>
            <a:outerShdw blurRad="254000" sx="102000" sy="102000" algn="ctr" rotWithShape="0">
              <a:prstClr val="black">
                <a:alpha val="20000"/>
              </a:prstClr>
            </a:outerShdw>
          </a:effectLst>
        </c:spPr>
      </c:pivotFmt>
      <c:pivotFmt>
        <c:idx val="1674"/>
        <c:spPr>
          <a:solidFill>
            <a:schemeClr val="accent1"/>
          </a:solidFill>
          <a:ln>
            <a:noFill/>
          </a:ln>
          <a:effectLst>
            <a:outerShdw blurRad="254000" sx="102000" sy="102000" algn="ctr" rotWithShape="0">
              <a:prstClr val="black">
                <a:alpha val="20000"/>
              </a:prstClr>
            </a:outerShdw>
          </a:effectLst>
        </c:spPr>
      </c:pivotFmt>
      <c:pivotFmt>
        <c:idx val="1675"/>
        <c:spPr>
          <a:solidFill>
            <a:schemeClr val="accent1"/>
          </a:solidFill>
          <a:ln>
            <a:noFill/>
          </a:ln>
          <a:effectLst>
            <a:outerShdw blurRad="254000" sx="102000" sy="102000" algn="ctr" rotWithShape="0">
              <a:prstClr val="black">
                <a:alpha val="20000"/>
              </a:prstClr>
            </a:outerShdw>
          </a:effectLst>
        </c:spPr>
      </c:pivotFmt>
      <c:pivotFmt>
        <c:idx val="1676"/>
        <c:spPr>
          <a:solidFill>
            <a:schemeClr val="accent1"/>
          </a:solidFill>
          <a:ln>
            <a:noFill/>
          </a:ln>
          <a:effectLst>
            <a:outerShdw blurRad="254000" sx="102000" sy="102000" algn="ctr" rotWithShape="0">
              <a:prstClr val="black">
                <a:alpha val="20000"/>
              </a:prstClr>
            </a:outerShdw>
          </a:effectLst>
        </c:spPr>
      </c:pivotFmt>
      <c:pivotFmt>
        <c:idx val="1677"/>
        <c:spPr>
          <a:solidFill>
            <a:schemeClr val="accent1"/>
          </a:solidFill>
          <a:ln>
            <a:noFill/>
          </a:ln>
          <a:effectLst>
            <a:outerShdw blurRad="254000" sx="102000" sy="102000" algn="ctr" rotWithShape="0">
              <a:prstClr val="black">
                <a:alpha val="20000"/>
              </a:prstClr>
            </a:outerShdw>
          </a:effectLst>
        </c:spPr>
      </c:pivotFmt>
      <c:pivotFmt>
        <c:idx val="1678"/>
        <c:spPr>
          <a:solidFill>
            <a:schemeClr val="accent1"/>
          </a:solidFill>
          <a:ln>
            <a:noFill/>
          </a:ln>
          <a:effectLst>
            <a:outerShdw blurRad="254000" sx="102000" sy="102000" algn="ctr" rotWithShape="0">
              <a:prstClr val="black">
                <a:alpha val="20000"/>
              </a:prstClr>
            </a:outerShdw>
          </a:effectLst>
        </c:spPr>
      </c:pivotFmt>
      <c:pivotFmt>
        <c:idx val="1679"/>
        <c:spPr>
          <a:solidFill>
            <a:schemeClr val="accent1"/>
          </a:solidFill>
          <a:ln>
            <a:noFill/>
          </a:ln>
          <a:effectLst>
            <a:outerShdw blurRad="254000" sx="102000" sy="102000" algn="ctr" rotWithShape="0">
              <a:prstClr val="black">
                <a:alpha val="20000"/>
              </a:prstClr>
            </a:outerShdw>
          </a:effectLst>
        </c:spPr>
      </c:pivotFmt>
      <c:pivotFmt>
        <c:idx val="1680"/>
        <c:spPr>
          <a:solidFill>
            <a:schemeClr val="accent1"/>
          </a:solidFill>
          <a:ln>
            <a:noFill/>
          </a:ln>
          <a:effectLst>
            <a:outerShdw blurRad="254000" sx="102000" sy="102000" algn="ctr" rotWithShape="0">
              <a:prstClr val="black">
                <a:alpha val="20000"/>
              </a:prstClr>
            </a:outerShdw>
          </a:effectLst>
        </c:spPr>
      </c:pivotFmt>
      <c:pivotFmt>
        <c:idx val="1681"/>
        <c:spPr>
          <a:solidFill>
            <a:schemeClr val="accent1"/>
          </a:solidFill>
          <a:ln>
            <a:noFill/>
          </a:ln>
          <a:effectLst>
            <a:outerShdw blurRad="254000" sx="102000" sy="102000" algn="ctr" rotWithShape="0">
              <a:prstClr val="black">
                <a:alpha val="20000"/>
              </a:prstClr>
            </a:outerShdw>
          </a:effectLst>
        </c:spPr>
      </c:pivotFmt>
      <c:pivotFmt>
        <c:idx val="1682"/>
        <c:spPr>
          <a:solidFill>
            <a:schemeClr val="accent1"/>
          </a:solidFill>
          <a:ln>
            <a:noFill/>
          </a:ln>
          <a:effectLst>
            <a:outerShdw blurRad="254000" sx="102000" sy="102000" algn="ctr" rotWithShape="0">
              <a:prstClr val="black">
                <a:alpha val="20000"/>
              </a:prstClr>
            </a:outerShdw>
          </a:effectLst>
        </c:spPr>
      </c:pivotFmt>
      <c:pivotFmt>
        <c:idx val="1683"/>
        <c:spPr>
          <a:solidFill>
            <a:schemeClr val="accent1"/>
          </a:solidFill>
          <a:ln>
            <a:noFill/>
          </a:ln>
          <a:effectLst>
            <a:outerShdw blurRad="254000" sx="102000" sy="102000" algn="ctr" rotWithShape="0">
              <a:prstClr val="black">
                <a:alpha val="20000"/>
              </a:prstClr>
            </a:outerShdw>
          </a:effectLst>
        </c:spPr>
      </c:pivotFmt>
      <c:pivotFmt>
        <c:idx val="1684"/>
        <c:spPr>
          <a:solidFill>
            <a:schemeClr val="accent1"/>
          </a:solidFill>
          <a:ln>
            <a:noFill/>
          </a:ln>
          <a:effectLst>
            <a:outerShdw blurRad="254000" sx="102000" sy="102000" algn="ctr" rotWithShape="0">
              <a:prstClr val="black">
                <a:alpha val="20000"/>
              </a:prstClr>
            </a:outerShdw>
          </a:effectLst>
        </c:spPr>
      </c:pivotFmt>
      <c:pivotFmt>
        <c:idx val="1685"/>
        <c:spPr>
          <a:solidFill>
            <a:schemeClr val="accent1"/>
          </a:solidFill>
          <a:ln>
            <a:noFill/>
          </a:ln>
          <a:effectLst>
            <a:outerShdw blurRad="254000" sx="102000" sy="102000" algn="ctr" rotWithShape="0">
              <a:prstClr val="black">
                <a:alpha val="20000"/>
              </a:prstClr>
            </a:outerShdw>
          </a:effectLst>
        </c:spPr>
      </c:pivotFmt>
      <c:pivotFmt>
        <c:idx val="1686"/>
        <c:spPr>
          <a:solidFill>
            <a:schemeClr val="accent1"/>
          </a:solidFill>
          <a:ln>
            <a:noFill/>
          </a:ln>
          <a:effectLst>
            <a:outerShdw blurRad="254000" sx="102000" sy="102000" algn="ctr" rotWithShape="0">
              <a:prstClr val="black">
                <a:alpha val="20000"/>
              </a:prstClr>
            </a:outerShdw>
          </a:effectLst>
        </c:spPr>
      </c:pivotFmt>
      <c:pivotFmt>
        <c:idx val="1687"/>
        <c:spPr>
          <a:solidFill>
            <a:schemeClr val="accent1"/>
          </a:solidFill>
          <a:ln>
            <a:noFill/>
          </a:ln>
          <a:effectLst>
            <a:outerShdw blurRad="254000" sx="102000" sy="102000" algn="ctr" rotWithShape="0">
              <a:prstClr val="black">
                <a:alpha val="20000"/>
              </a:prstClr>
            </a:outerShdw>
          </a:effectLst>
        </c:spPr>
      </c:pivotFmt>
      <c:pivotFmt>
        <c:idx val="1688"/>
        <c:spPr>
          <a:solidFill>
            <a:schemeClr val="accent1"/>
          </a:solidFill>
          <a:ln>
            <a:noFill/>
          </a:ln>
          <a:effectLst>
            <a:outerShdw blurRad="254000" sx="102000" sy="102000" algn="ctr" rotWithShape="0">
              <a:prstClr val="black">
                <a:alpha val="20000"/>
              </a:prstClr>
            </a:outerShdw>
          </a:effectLst>
        </c:spPr>
      </c:pivotFmt>
      <c:pivotFmt>
        <c:idx val="1689"/>
        <c:spPr>
          <a:solidFill>
            <a:schemeClr val="accent1"/>
          </a:solidFill>
          <a:ln>
            <a:noFill/>
          </a:ln>
          <a:effectLst>
            <a:outerShdw blurRad="254000" sx="102000" sy="102000" algn="ctr" rotWithShape="0">
              <a:prstClr val="black">
                <a:alpha val="20000"/>
              </a:prstClr>
            </a:outerShdw>
          </a:effectLst>
        </c:spPr>
      </c:pivotFmt>
      <c:pivotFmt>
        <c:idx val="1690"/>
        <c:spPr>
          <a:solidFill>
            <a:schemeClr val="accent1"/>
          </a:solidFill>
          <a:ln>
            <a:noFill/>
          </a:ln>
          <a:effectLst>
            <a:outerShdw blurRad="254000" sx="102000" sy="102000" algn="ctr" rotWithShape="0">
              <a:prstClr val="black">
                <a:alpha val="20000"/>
              </a:prstClr>
            </a:outerShdw>
          </a:effectLst>
        </c:spPr>
      </c:pivotFmt>
      <c:pivotFmt>
        <c:idx val="1691"/>
        <c:spPr>
          <a:solidFill>
            <a:schemeClr val="accent1"/>
          </a:solidFill>
          <a:ln>
            <a:noFill/>
          </a:ln>
          <a:effectLst>
            <a:outerShdw blurRad="254000" sx="102000" sy="102000" algn="ctr" rotWithShape="0">
              <a:prstClr val="black">
                <a:alpha val="20000"/>
              </a:prstClr>
            </a:outerShdw>
          </a:effectLst>
        </c:spPr>
      </c:pivotFmt>
      <c:pivotFmt>
        <c:idx val="1692"/>
        <c:spPr>
          <a:solidFill>
            <a:schemeClr val="accent1"/>
          </a:solidFill>
          <a:ln>
            <a:noFill/>
          </a:ln>
          <a:effectLst>
            <a:outerShdw blurRad="254000" sx="102000" sy="102000" algn="ctr" rotWithShape="0">
              <a:prstClr val="black">
                <a:alpha val="20000"/>
              </a:prstClr>
            </a:outerShdw>
          </a:effectLst>
        </c:spPr>
      </c:pivotFmt>
      <c:pivotFmt>
        <c:idx val="1693"/>
        <c:spPr>
          <a:solidFill>
            <a:schemeClr val="accent1"/>
          </a:solidFill>
          <a:ln>
            <a:noFill/>
          </a:ln>
          <a:effectLst>
            <a:outerShdw blurRad="254000" sx="102000" sy="102000" algn="ctr" rotWithShape="0">
              <a:prstClr val="black">
                <a:alpha val="20000"/>
              </a:prstClr>
            </a:outerShdw>
          </a:effectLst>
        </c:spPr>
      </c:pivotFmt>
      <c:pivotFmt>
        <c:idx val="1694"/>
        <c:spPr>
          <a:solidFill>
            <a:schemeClr val="accent1"/>
          </a:solidFill>
          <a:ln>
            <a:noFill/>
          </a:ln>
          <a:effectLst>
            <a:outerShdw blurRad="254000" sx="102000" sy="102000" algn="ctr" rotWithShape="0">
              <a:prstClr val="black">
                <a:alpha val="20000"/>
              </a:prstClr>
            </a:outerShdw>
          </a:effectLst>
        </c:spPr>
      </c:pivotFmt>
      <c:pivotFmt>
        <c:idx val="1695"/>
        <c:spPr>
          <a:solidFill>
            <a:schemeClr val="accent1"/>
          </a:solidFill>
          <a:ln>
            <a:noFill/>
          </a:ln>
          <a:effectLst>
            <a:outerShdw blurRad="254000" sx="102000" sy="102000" algn="ctr" rotWithShape="0">
              <a:prstClr val="black">
                <a:alpha val="20000"/>
              </a:prstClr>
            </a:outerShdw>
          </a:effectLst>
        </c:spPr>
      </c:pivotFmt>
      <c:pivotFmt>
        <c:idx val="1696"/>
        <c:spPr>
          <a:solidFill>
            <a:schemeClr val="accent1"/>
          </a:solidFill>
          <a:ln>
            <a:noFill/>
          </a:ln>
          <a:effectLst>
            <a:outerShdw blurRad="254000" sx="102000" sy="102000" algn="ctr" rotWithShape="0">
              <a:prstClr val="black">
                <a:alpha val="20000"/>
              </a:prstClr>
            </a:outerShdw>
          </a:effectLst>
        </c:spPr>
      </c:pivotFmt>
      <c:pivotFmt>
        <c:idx val="1697"/>
        <c:spPr>
          <a:solidFill>
            <a:schemeClr val="accent1"/>
          </a:solidFill>
          <a:ln>
            <a:noFill/>
          </a:ln>
          <a:effectLst>
            <a:outerShdw blurRad="254000" sx="102000" sy="102000" algn="ctr" rotWithShape="0">
              <a:prstClr val="black">
                <a:alpha val="20000"/>
              </a:prstClr>
            </a:outerShdw>
          </a:effectLst>
        </c:spPr>
      </c:pivotFmt>
      <c:pivotFmt>
        <c:idx val="1698"/>
        <c:spPr>
          <a:solidFill>
            <a:schemeClr val="accent1"/>
          </a:solidFill>
          <a:ln>
            <a:noFill/>
          </a:ln>
          <a:effectLst>
            <a:outerShdw blurRad="254000" sx="102000" sy="102000" algn="ctr" rotWithShape="0">
              <a:prstClr val="black">
                <a:alpha val="20000"/>
              </a:prstClr>
            </a:outerShdw>
          </a:effectLst>
        </c:spPr>
      </c:pivotFmt>
      <c:pivotFmt>
        <c:idx val="1699"/>
        <c:spPr>
          <a:solidFill>
            <a:schemeClr val="accent1"/>
          </a:solidFill>
          <a:ln>
            <a:noFill/>
          </a:ln>
          <a:effectLst>
            <a:outerShdw blurRad="254000" sx="102000" sy="102000" algn="ctr" rotWithShape="0">
              <a:prstClr val="black">
                <a:alpha val="20000"/>
              </a:prstClr>
            </a:outerShdw>
          </a:effectLst>
        </c:spPr>
      </c:pivotFmt>
      <c:pivotFmt>
        <c:idx val="1700"/>
        <c:spPr>
          <a:solidFill>
            <a:schemeClr val="accent1"/>
          </a:solidFill>
          <a:ln>
            <a:noFill/>
          </a:ln>
          <a:effectLst>
            <a:outerShdw blurRad="254000" sx="102000" sy="102000" algn="ctr" rotWithShape="0">
              <a:prstClr val="black">
                <a:alpha val="20000"/>
              </a:prstClr>
            </a:outerShdw>
          </a:effectLst>
        </c:spPr>
      </c:pivotFmt>
      <c:pivotFmt>
        <c:idx val="1701"/>
        <c:spPr>
          <a:solidFill>
            <a:schemeClr val="accent1"/>
          </a:solidFill>
          <a:ln>
            <a:noFill/>
          </a:ln>
          <a:effectLst>
            <a:outerShdw blurRad="254000" sx="102000" sy="102000" algn="ctr" rotWithShape="0">
              <a:prstClr val="black">
                <a:alpha val="20000"/>
              </a:prstClr>
            </a:outerShdw>
          </a:effectLst>
        </c:spPr>
      </c:pivotFmt>
      <c:pivotFmt>
        <c:idx val="1702"/>
        <c:spPr>
          <a:solidFill>
            <a:schemeClr val="accent1"/>
          </a:solidFill>
          <a:ln>
            <a:noFill/>
          </a:ln>
          <a:effectLst>
            <a:outerShdw blurRad="254000" sx="102000" sy="102000" algn="ctr" rotWithShape="0">
              <a:prstClr val="black">
                <a:alpha val="20000"/>
              </a:prstClr>
            </a:outerShdw>
          </a:effectLst>
        </c:spPr>
      </c:pivotFmt>
      <c:pivotFmt>
        <c:idx val="1703"/>
        <c:spPr>
          <a:solidFill>
            <a:schemeClr val="accent1"/>
          </a:solidFill>
          <a:ln>
            <a:noFill/>
          </a:ln>
          <a:effectLst>
            <a:outerShdw blurRad="254000" sx="102000" sy="102000" algn="ctr" rotWithShape="0">
              <a:prstClr val="black">
                <a:alpha val="20000"/>
              </a:prstClr>
            </a:outerShdw>
          </a:effectLst>
        </c:spPr>
      </c:pivotFmt>
      <c:pivotFmt>
        <c:idx val="1704"/>
        <c:spPr>
          <a:solidFill>
            <a:schemeClr val="accent1"/>
          </a:solidFill>
          <a:ln>
            <a:noFill/>
          </a:ln>
          <a:effectLst>
            <a:outerShdw blurRad="254000" sx="102000" sy="102000" algn="ctr" rotWithShape="0">
              <a:prstClr val="black">
                <a:alpha val="20000"/>
              </a:prstClr>
            </a:outerShdw>
          </a:effectLst>
        </c:spPr>
      </c:pivotFmt>
      <c:pivotFmt>
        <c:idx val="1705"/>
        <c:spPr>
          <a:solidFill>
            <a:schemeClr val="accent1"/>
          </a:solidFill>
          <a:ln>
            <a:noFill/>
          </a:ln>
          <a:effectLst>
            <a:outerShdw blurRad="254000" sx="102000" sy="102000" algn="ctr" rotWithShape="0">
              <a:prstClr val="black">
                <a:alpha val="20000"/>
              </a:prstClr>
            </a:outerShdw>
          </a:effectLst>
        </c:spPr>
      </c:pivotFmt>
      <c:pivotFmt>
        <c:idx val="1706"/>
        <c:spPr>
          <a:solidFill>
            <a:schemeClr val="accent1"/>
          </a:solidFill>
          <a:ln>
            <a:noFill/>
          </a:ln>
          <a:effectLst>
            <a:outerShdw blurRad="254000" sx="102000" sy="102000" algn="ctr" rotWithShape="0">
              <a:prstClr val="black">
                <a:alpha val="20000"/>
              </a:prstClr>
            </a:outerShdw>
          </a:effectLst>
        </c:spPr>
      </c:pivotFmt>
      <c:pivotFmt>
        <c:idx val="1707"/>
        <c:spPr>
          <a:solidFill>
            <a:schemeClr val="accent1"/>
          </a:solidFill>
          <a:ln>
            <a:noFill/>
          </a:ln>
          <a:effectLst>
            <a:outerShdw blurRad="254000" sx="102000" sy="102000" algn="ctr" rotWithShape="0">
              <a:prstClr val="black">
                <a:alpha val="20000"/>
              </a:prstClr>
            </a:outerShdw>
          </a:effectLst>
        </c:spPr>
      </c:pivotFmt>
      <c:pivotFmt>
        <c:idx val="1708"/>
        <c:spPr>
          <a:solidFill>
            <a:schemeClr val="accent1"/>
          </a:solidFill>
          <a:ln>
            <a:noFill/>
          </a:ln>
          <a:effectLst>
            <a:outerShdw blurRad="254000" sx="102000" sy="102000" algn="ctr" rotWithShape="0">
              <a:prstClr val="black">
                <a:alpha val="20000"/>
              </a:prstClr>
            </a:outerShdw>
          </a:effectLst>
        </c:spPr>
      </c:pivotFmt>
      <c:pivotFmt>
        <c:idx val="1709"/>
        <c:spPr>
          <a:solidFill>
            <a:schemeClr val="accent1"/>
          </a:solidFill>
          <a:ln>
            <a:noFill/>
          </a:ln>
          <a:effectLst>
            <a:outerShdw blurRad="254000" sx="102000" sy="102000" algn="ctr" rotWithShape="0">
              <a:prstClr val="black">
                <a:alpha val="20000"/>
              </a:prstClr>
            </a:outerShdw>
          </a:effectLst>
        </c:spPr>
      </c:pivotFmt>
      <c:pivotFmt>
        <c:idx val="1710"/>
        <c:spPr>
          <a:solidFill>
            <a:schemeClr val="accent1"/>
          </a:solidFill>
          <a:ln>
            <a:noFill/>
          </a:ln>
          <a:effectLst>
            <a:outerShdw blurRad="254000" sx="102000" sy="102000" algn="ctr" rotWithShape="0">
              <a:prstClr val="black">
                <a:alpha val="20000"/>
              </a:prstClr>
            </a:outerShdw>
          </a:effectLst>
        </c:spPr>
      </c:pivotFmt>
      <c:pivotFmt>
        <c:idx val="1711"/>
        <c:spPr>
          <a:solidFill>
            <a:schemeClr val="accent1"/>
          </a:solidFill>
          <a:ln>
            <a:noFill/>
          </a:ln>
          <a:effectLst>
            <a:outerShdw blurRad="254000" sx="102000" sy="102000" algn="ctr" rotWithShape="0">
              <a:prstClr val="black">
                <a:alpha val="20000"/>
              </a:prstClr>
            </a:outerShdw>
          </a:effectLst>
        </c:spPr>
      </c:pivotFmt>
      <c:pivotFmt>
        <c:idx val="1712"/>
        <c:spPr>
          <a:solidFill>
            <a:schemeClr val="accent1"/>
          </a:solidFill>
          <a:ln>
            <a:noFill/>
          </a:ln>
          <a:effectLst>
            <a:outerShdw blurRad="254000" sx="102000" sy="102000" algn="ctr" rotWithShape="0">
              <a:prstClr val="black">
                <a:alpha val="20000"/>
              </a:prstClr>
            </a:outerShdw>
          </a:effectLst>
        </c:spPr>
      </c:pivotFmt>
      <c:pivotFmt>
        <c:idx val="1713"/>
        <c:spPr>
          <a:solidFill>
            <a:schemeClr val="accent1"/>
          </a:solidFill>
          <a:ln>
            <a:noFill/>
          </a:ln>
          <a:effectLst>
            <a:outerShdw blurRad="254000" sx="102000" sy="102000" algn="ctr" rotWithShape="0">
              <a:prstClr val="black">
                <a:alpha val="20000"/>
              </a:prstClr>
            </a:outerShdw>
          </a:effectLst>
        </c:spPr>
      </c:pivotFmt>
      <c:pivotFmt>
        <c:idx val="1714"/>
        <c:spPr>
          <a:solidFill>
            <a:schemeClr val="accent1"/>
          </a:solidFill>
          <a:ln>
            <a:noFill/>
          </a:ln>
          <a:effectLst>
            <a:outerShdw blurRad="254000" sx="102000" sy="102000" algn="ctr" rotWithShape="0">
              <a:prstClr val="black">
                <a:alpha val="20000"/>
              </a:prstClr>
            </a:outerShdw>
          </a:effectLst>
        </c:spPr>
      </c:pivotFmt>
      <c:pivotFmt>
        <c:idx val="1715"/>
        <c:spPr>
          <a:solidFill>
            <a:schemeClr val="accent1"/>
          </a:solidFill>
          <a:ln>
            <a:noFill/>
          </a:ln>
          <a:effectLst>
            <a:outerShdw blurRad="254000" sx="102000" sy="102000" algn="ctr" rotWithShape="0">
              <a:prstClr val="black">
                <a:alpha val="20000"/>
              </a:prstClr>
            </a:outerShdw>
          </a:effectLst>
        </c:spPr>
      </c:pivotFmt>
      <c:pivotFmt>
        <c:idx val="1716"/>
        <c:spPr>
          <a:solidFill>
            <a:schemeClr val="accent1"/>
          </a:solidFill>
          <a:ln>
            <a:noFill/>
          </a:ln>
          <a:effectLst>
            <a:outerShdw blurRad="254000" sx="102000" sy="102000" algn="ctr" rotWithShape="0">
              <a:prstClr val="black">
                <a:alpha val="20000"/>
              </a:prstClr>
            </a:outerShdw>
          </a:effectLst>
        </c:spPr>
      </c:pivotFmt>
      <c:pivotFmt>
        <c:idx val="1717"/>
        <c:spPr>
          <a:solidFill>
            <a:schemeClr val="accent1"/>
          </a:solidFill>
          <a:ln>
            <a:noFill/>
          </a:ln>
          <a:effectLst>
            <a:outerShdw blurRad="254000" sx="102000" sy="102000" algn="ctr" rotWithShape="0">
              <a:prstClr val="black">
                <a:alpha val="20000"/>
              </a:prstClr>
            </a:outerShdw>
          </a:effectLst>
        </c:spPr>
      </c:pivotFmt>
      <c:pivotFmt>
        <c:idx val="1718"/>
        <c:spPr>
          <a:solidFill>
            <a:schemeClr val="accent1"/>
          </a:solidFill>
          <a:ln>
            <a:noFill/>
          </a:ln>
          <a:effectLst>
            <a:outerShdw blurRad="254000" sx="102000" sy="102000" algn="ctr" rotWithShape="0">
              <a:prstClr val="black">
                <a:alpha val="20000"/>
              </a:prstClr>
            </a:outerShdw>
          </a:effectLst>
        </c:spPr>
      </c:pivotFmt>
      <c:pivotFmt>
        <c:idx val="1719"/>
        <c:spPr>
          <a:solidFill>
            <a:schemeClr val="accent1"/>
          </a:solidFill>
          <a:ln>
            <a:noFill/>
          </a:ln>
          <a:effectLst>
            <a:outerShdw blurRad="254000" sx="102000" sy="102000" algn="ctr" rotWithShape="0">
              <a:prstClr val="black">
                <a:alpha val="20000"/>
              </a:prstClr>
            </a:outerShdw>
          </a:effectLst>
        </c:spPr>
      </c:pivotFmt>
      <c:pivotFmt>
        <c:idx val="1720"/>
        <c:spPr>
          <a:solidFill>
            <a:schemeClr val="accent1"/>
          </a:solidFill>
          <a:ln>
            <a:noFill/>
          </a:ln>
          <a:effectLst>
            <a:outerShdw blurRad="254000" sx="102000" sy="102000" algn="ctr" rotWithShape="0">
              <a:prstClr val="black">
                <a:alpha val="20000"/>
              </a:prstClr>
            </a:outerShdw>
          </a:effectLst>
        </c:spPr>
      </c:pivotFmt>
      <c:pivotFmt>
        <c:idx val="1721"/>
        <c:spPr>
          <a:solidFill>
            <a:schemeClr val="accent1"/>
          </a:solidFill>
          <a:ln>
            <a:noFill/>
          </a:ln>
          <a:effectLst>
            <a:outerShdw blurRad="254000" sx="102000" sy="102000" algn="ctr" rotWithShape="0">
              <a:prstClr val="black">
                <a:alpha val="20000"/>
              </a:prstClr>
            </a:outerShdw>
          </a:effectLst>
        </c:spPr>
      </c:pivotFmt>
      <c:pivotFmt>
        <c:idx val="1722"/>
        <c:spPr>
          <a:solidFill>
            <a:schemeClr val="accent1"/>
          </a:solidFill>
          <a:ln>
            <a:noFill/>
          </a:ln>
          <a:effectLst>
            <a:outerShdw blurRad="254000" sx="102000" sy="102000" algn="ctr" rotWithShape="0">
              <a:prstClr val="black">
                <a:alpha val="20000"/>
              </a:prstClr>
            </a:outerShdw>
          </a:effectLst>
        </c:spPr>
      </c:pivotFmt>
      <c:pivotFmt>
        <c:idx val="1723"/>
        <c:spPr>
          <a:solidFill>
            <a:schemeClr val="accent1"/>
          </a:solidFill>
          <a:ln>
            <a:noFill/>
          </a:ln>
          <a:effectLst>
            <a:outerShdw blurRad="254000" sx="102000" sy="102000" algn="ctr" rotWithShape="0">
              <a:prstClr val="black">
                <a:alpha val="20000"/>
              </a:prstClr>
            </a:outerShdw>
          </a:effectLst>
        </c:spPr>
      </c:pivotFmt>
      <c:pivotFmt>
        <c:idx val="1724"/>
        <c:spPr>
          <a:solidFill>
            <a:schemeClr val="accent1"/>
          </a:solidFill>
          <a:ln>
            <a:noFill/>
          </a:ln>
          <a:effectLst>
            <a:outerShdw blurRad="254000" sx="102000" sy="102000" algn="ctr" rotWithShape="0">
              <a:prstClr val="black">
                <a:alpha val="20000"/>
              </a:prstClr>
            </a:outerShdw>
          </a:effectLst>
        </c:spPr>
      </c:pivotFmt>
      <c:pivotFmt>
        <c:idx val="1725"/>
        <c:spPr>
          <a:solidFill>
            <a:schemeClr val="accent1"/>
          </a:solidFill>
          <a:ln>
            <a:noFill/>
          </a:ln>
          <a:effectLst>
            <a:outerShdw blurRad="254000" sx="102000" sy="102000" algn="ctr" rotWithShape="0">
              <a:prstClr val="black">
                <a:alpha val="20000"/>
              </a:prstClr>
            </a:outerShdw>
          </a:effectLst>
        </c:spPr>
      </c:pivotFmt>
      <c:pivotFmt>
        <c:idx val="1726"/>
        <c:spPr>
          <a:solidFill>
            <a:schemeClr val="accent1"/>
          </a:solidFill>
          <a:ln>
            <a:noFill/>
          </a:ln>
          <a:effectLst>
            <a:outerShdw blurRad="254000" sx="102000" sy="102000" algn="ctr" rotWithShape="0">
              <a:prstClr val="black">
                <a:alpha val="20000"/>
              </a:prstClr>
            </a:outerShdw>
          </a:effectLst>
        </c:spPr>
      </c:pivotFmt>
      <c:pivotFmt>
        <c:idx val="1727"/>
        <c:spPr>
          <a:solidFill>
            <a:schemeClr val="accent1"/>
          </a:solidFill>
          <a:ln>
            <a:noFill/>
          </a:ln>
          <a:effectLst>
            <a:outerShdw blurRad="254000" sx="102000" sy="102000" algn="ctr" rotWithShape="0">
              <a:prstClr val="black">
                <a:alpha val="20000"/>
              </a:prstClr>
            </a:outerShdw>
          </a:effectLst>
        </c:spPr>
      </c:pivotFmt>
      <c:pivotFmt>
        <c:idx val="1728"/>
        <c:spPr>
          <a:solidFill>
            <a:schemeClr val="accent1"/>
          </a:solidFill>
          <a:ln>
            <a:noFill/>
          </a:ln>
          <a:effectLst>
            <a:outerShdw blurRad="254000" sx="102000" sy="102000" algn="ctr" rotWithShape="0">
              <a:prstClr val="black">
                <a:alpha val="20000"/>
              </a:prstClr>
            </a:outerShdw>
          </a:effectLst>
        </c:spPr>
      </c:pivotFmt>
      <c:pivotFmt>
        <c:idx val="1729"/>
        <c:spPr>
          <a:solidFill>
            <a:schemeClr val="accent1"/>
          </a:solidFill>
          <a:ln>
            <a:noFill/>
          </a:ln>
          <a:effectLst>
            <a:outerShdw blurRad="254000" sx="102000" sy="102000" algn="ctr" rotWithShape="0">
              <a:prstClr val="black">
                <a:alpha val="20000"/>
              </a:prstClr>
            </a:outerShdw>
          </a:effectLst>
        </c:spPr>
      </c:pivotFmt>
      <c:pivotFmt>
        <c:idx val="1730"/>
        <c:spPr>
          <a:solidFill>
            <a:schemeClr val="accent1"/>
          </a:solidFill>
          <a:ln>
            <a:noFill/>
          </a:ln>
          <a:effectLst>
            <a:outerShdw blurRad="254000" sx="102000" sy="102000" algn="ctr" rotWithShape="0">
              <a:prstClr val="black">
                <a:alpha val="20000"/>
              </a:prstClr>
            </a:outerShdw>
          </a:effectLst>
        </c:spPr>
      </c:pivotFmt>
      <c:pivotFmt>
        <c:idx val="1731"/>
        <c:spPr>
          <a:solidFill>
            <a:schemeClr val="accent1"/>
          </a:solidFill>
          <a:ln>
            <a:noFill/>
          </a:ln>
          <a:effectLst>
            <a:outerShdw blurRad="254000" sx="102000" sy="102000" algn="ctr" rotWithShape="0">
              <a:prstClr val="black">
                <a:alpha val="20000"/>
              </a:prstClr>
            </a:outerShdw>
          </a:effectLst>
        </c:spPr>
      </c:pivotFmt>
      <c:pivotFmt>
        <c:idx val="1732"/>
        <c:spPr>
          <a:solidFill>
            <a:schemeClr val="accent1"/>
          </a:solidFill>
          <a:ln>
            <a:noFill/>
          </a:ln>
          <a:effectLst>
            <a:outerShdw blurRad="254000" sx="102000" sy="102000" algn="ctr" rotWithShape="0">
              <a:prstClr val="black">
                <a:alpha val="20000"/>
              </a:prstClr>
            </a:outerShdw>
          </a:effectLst>
        </c:spPr>
      </c:pivotFmt>
      <c:pivotFmt>
        <c:idx val="1733"/>
        <c:spPr>
          <a:solidFill>
            <a:schemeClr val="accent1"/>
          </a:solidFill>
          <a:ln>
            <a:noFill/>
          </a:ln>
          <a:effectLst>
            <a:outerShdw blurRad="254000" sx="102000" sy="102000" algn="ctr" rotWithShape="0">
              <a:prstClr val="black">
                <a:alpha val="20000"/>
              </a:prstClr>
            </a:outerShdw>
          </a:effectLst>
        </c:spPr>
      </c:pivotFmt>
      <c:pivotFmt>
        <c:idx val="1734"/>
        <c:spPr>
          <a:solidFill>
            <a:schemeClr val="accent1"/>
          </a:solidFill>
          <a:ln>
            <a:noFill/>
          </a:ln>
          <a:effectLst>
            <a:outerShdw blurRad="254000" sx="102000" sy="102000" algn="ctr" rotWithShape="0">
              <a:prstClr val="black">
                <a:alpha val="20000"/>
              </a:prstClr>
            </a:outerShdw>
          </a:effectLst>
        </c:spPr>
      </c:pivotFmt>
      <c:pivotFmt>
        <c:idx val="1735"/>
        <c:spPr>
          <a:solidFill>
            <a:schemeClr val="accent1"/>
          </a:solidFill>
          <a:ln>
            <a:noFill/>
          </a:ln>
          <a:effectLst>
            <a:outerShdw blurRad="254000" sx="102000" sy="102000" algn="ctr" rotWithShape="0">
              <a:prstClr val="black">
                <a:alpha val="20000"/>
              </a:prstClr>
            </a:outerShdw>
          </a:effectLst>
        </c:spPr>
      </c:pivotFmt>
      <c:pivotFmt>
        <c:idx val="1736"/>
        <c:spPr>
          <a:solidFill>
            <a:schemeClr val="accent1"/>
          </a:solidFill>
          <a:ln>
            <a:noFill/>
          </a:ln>
          <a:effectLst>
            <a:outerShdw blurRad="254000" sx="102000" sy="102000" algn="ctr" rotWithShape="0">
              <a:prstClr val="black">
                <a:alpha val="20000"/>
              </a:prstClr>
            </a:outerShdw>
          </a:effectLst>
        </c:spPr>
      </c:pivotFmt>
      <c:pivotFmt>
        <c:idx val="1737"/>
        <c:spPr>
          <a:solidFill>
            <a:schemeClr val="accent1"/>
          </a:solidFill>
          <a:ln>
            <a:noFill/>
          </a:ln>
          <a:effectLst>
            <a:outerShdw blurRad="254000" sx="102000" sy="102000" algn="ctr" rotWithShape="0">
              <a:prstClr val="black">
                <a:alpha val="20000"/>
              </a:prstClr>
            </a:outerShdw>
          </a:effectLst>
        </c:spPr>
      </c:pivotFmt>
      <c:pivotFmt>
        <c:idx val="1738"/>
        <c:spPr>
          <a:solidFill>
            <a:schemeClr val="accent1"/>
          </a:solidFill>
          <a:ln>
            <a:noFill/>
          </a:ln>
          <a:effectLst>
            <a:outerShdw blurRad="254000" sx="102000" sy="102000" algn="ctr" rotWithShape="0">
              <a:prstClr val="black">
                <a:alpha val="20000"/>
              </a:prstClr>
            </a:outerShdw>
          </a:effectLst>
        </c:spPr>
      </c:pivotFmt>
      <c:pivotFmt>
        <c:idx val="1739"/>
        <c:spPr>
          <a:solidFill>
            <a:schemeClr val="accent1"/>
          </a:solidFill>
          <a:ln>
            <a:noFill/>
          </a:ln>
          <a:effectLst>
            <a:outerShdw blurRad="254000" sx="102000" sy="102000" algn="ctr" rotWithShape="0">
              <a:prstClr val="black">
                <a:alpha val="20000"/>
              </a:prstClr>
            </a:outerShdw>
          </a:effectLst>
        </c:spPr>
      </c:pivotFmt>
      <c:pivotFmt>
        <c:idx val="1740"/>
        <c:spPr>
          <a:solidFill>
            <a:schemeClr val="accent1"/>
          </a:solidFill>
          <a:ln>
            <a:noFill/>
          </a:ln>
          <a:effectLst>
            <a:outerShdw blurRad="254000" sx="102000" sy="102000" algn="ctr" rotWithShape="0">
              <a:prstClr val="black">
                <a:alpha val="20000"/>
              </a:prstClr>
            </a:outerShdw>
          </a:effectLst>
        </c:spPr>
      </c:pivotFmt>
      <c:pivotFmt>
        <c:idx val="1741"/>
        <c:spPr>
          <a:solidFill>
            <a:schemeClr val="accent1"/>
          </a:solidFill>
          <a:ln>
            <a:noFill/>
          </a:ln>
          <a:effectLst>
            <a:outerShdw blurRad="254000" sx="102000" sy="102000" algn="ctr" rotWithShape="0">
              <a:prstClr val="black">
                <a:alpha val="20000"/>
              </a:prstClr>
            </a:outerShdw>
          </a:effectLst>
        </c:spPr>
      </c:pivotFmt>
      <c:pivotFmt>
        <c:idx val="1742"/>
        <c:spPr>
          <a:solidFill>
            <a:schemeClr val="accent1"/>
          </a:solidFill>
          <a:ln>
            <a:noFill/>
          </a:ln>
          <a:effectLst>
            <a:outerShdw blurRad="254000" sx="102000" sy="102000" algn="ctr" rotWithShape="0">
              <a:prstClr val="black">
                <a:alpha val="20000"/>
              </a:prstClr>
            </a:outerShdw>
          </a:effectLst>
        </c:spPr>
      </c:pivotFmt>
      <c:pivotFmt>
        <c:idx val="1743"/>
        <c:spPr>
          <a:solidFill>
            <a:schemeClr val="accent1"/>
          </a:solidFill>
          <a:ln>
            <a:noFill/>
          </a:ln>
          <a:effectLst>
            <a:outerShdw blurRad="254000" sx="102000" sy="102000" algn="ctr" rotWithShape="0">
              <a:prstClr val="black">
                <a:alpha val="20000"/>
              </a:prstClr>
            </a:outerShdw>
          </a:effectLst>
        </c:spPr>
      </c:pivotFmt>
      <c:pivotFmt>
        <c:idx val="1744"/>
        <c:spPr>
          <a:solidFill>
            <a:schemeClr val="accent1"/>
          </a:solidFill>
          <a:ln>
            <a:noFill/>
          </a:ln>
          <a:effectLst>
            <a:outerShdw blurRad="254000" sx="102000" sy="102000" algn="ctr" rotWithShape="0">
              <a:prstClr val="black">
                <a:alpha val="20000"/>
              </a:prstClr>
            </a:outerShdw>
          </a:effectLst>
        </c:spPr>
      </c:pivotFmt>
      <c:pivotFmt>
        <c:idx val="1745"/>
        <c:spPr>
          <a:solidFill>
            <a:schemeClr val="accent1"/>
          </a:solidFill>
          <a:ln>
            <a:noFill/>
          </a:ln>
          <a:effectLst>
            <a:outerShdw blurRad="254000" sx="102000" sy="102000" algn="ctr" rotWithShape="0">
              <a:prstClr val="black">
                <a:alpha val="20000"/>
              </a:prstClr>
            </a:outerShdw>
          </a:effectLst>
        </c:spPr>
      </c:pivotFmt>
      <c:pivotFmt>
        <c:idx val="1746"/>
        <c:spPr>
          <a:solidFill>
            <a:schemeClr val="accent1"/>
          </a:solidFill>
          <a:ln>
            <a:noFill/>
          </a:ln>
          <a:effectLst>
            <a:outerShdw blurRad="254000" sx="102000" sy="102000" algn="ctr" rotWithShape="0">
              <a:prstClr val="black">
                <a:alpha val="20000"/>
              </a:prstClr>
            </a:outerShdw>
          </a:effectLst>
        </c:spPr>
      </c:pivotFmt>
      <c:pivotFmt>
        <c:idx val="1747"/>
        <c:spPr>
          <a:solidFill>
            <a:schemeClr val="accent1"/>
          </a:solidFill>
          <a:ln>
            <a:noFill/>
          </a:ln>
          <a:effectLst>
            <a:outerShdw blurRad="254000" sx="102000" sy="102000" algn="ctr" rotWithShape="0">
              <a:prstClr val="black">
                <a:alpha val="20000"/>
              </a:prstClr>
            </a:outerShdw>
          </a:effectLst>
        </c:spPr>
      </c:pivotFmt>
      <c:pivotFmt>
        <c:idx val="1748"/>
        <c:spPr>
          <a:solidFill>
            <a:schemeClr val="accent1"/>
          </a:solidFill>
          <a:ln>
            <a:noFill/>
          </a:ln>
          <a:effectLst>
            <a:outerShdw blurRad="254000" sx="102000" sy="102000" algn="ctr" rotWithShape="0">
              <a:prstClr val="black">
                <a:alpha val="20000"/>
              </a:prstClr>
            </a:outerShdw>
          </a:effectLst>
        </c:spPr>
      </c:pivotFmt>
      <c:pivotFmt>
        <c:idx val="1749"/>
        <c:spPr>
          <a:solidFill>
            <a:schemeClr val="accent1"/>
          </a:solidFill>
          <a:ln>
            <a:noFill/>
          </a:ln>
          <a:effectLst>
            <a:outerShdw blurRad="254000" sx="102000" sy="102000" algn="ctr" rotWithShape="0">
              <a:prstClr val="black">
                <a:alpha val="20000"/>
              </a:prstClr>
            </a:outerShdw>
          </a:effectLst>
        </c:spPr>
      </c:pivotFmt>
      <c:pivotFmt>
        <c:idx val="1750"/>
        <c:spPr>
          <a:solidFill>
            <a:schemeClr val="accent1"/>
          </a:solidFill>
          <a:ln>
            <a:noFill/>
          </a:ln>
          <a:effectLst>
            <a:outerShdw blurRad="254000" sx="102000" sy="102000" algn="ctr" rotWithShape="0">
              <a:prstClr val="black">
                <a:alpha val="20000"/>
              </a:prstClr>
            </a:outerShdw>
          </a:effectLst>
        </c:spPr>
      </c:pivotFmt>
      <c:pivotFmt>
        <c:idx val="1751"/>
        <c:spPr>
          <a:solidFill>
            <a:schemeClr val="accent1"/>
          </a:solidFill>
          <a:ln>
            <a:noFill/>
          </a:ln>
          <a:effectLst>
            <a:outerShdw blurRad="254000" sx="102000" sy="102000" algn="ctr" rotWithShape="0">
              <a:prstClr val="black">
                <a:alpha val="20000"/>
              </a:prstClr>
            </a:outerShdw>
          </a:effectLst>
        </c:spPr>
      </c:pivotFmt>
      <c:pivotFmt>
        <c:idx val="1752"/>
        <c:spPr>
          <a:solidFill>
            <a:schemeClr val="accent1"/>
          </a:solidFill>
          <a:ln>
            <a:noFill/>
          </a:ln>
          <a:effectLst>
            <a:outerShdw blurRad="254000" sx="102000" sy="102000" algn="ctr" rotWithShape="0">
              <a:prstClr val="black">
                <a:alpha val="20000"/>
              </a:prstClr>
            </a:outerShdw>
          </a:effectLst>
        </c:spPr>
      </c:pivotFmt>
      <c:pivotFmt>
        <c:idx val="1753"/>
        <c:spPr>
          <a:solidFill>
            <a:schemeClr val="accent1"/>
          </a:solidFill>
          <a:ln>
            <a:noFill/>
          </a:ln>
          <a:effectLst>
            <a:outerShdw blurRad="254000" sx="102000" sy="102000" algn="ctr" rotWithShape="0">
              <a:prstClr val="black">
                <a:alpha val="20000"/>
              </a:prstClr>
            </a:outerShdw>
          </a:effectLst>
        </c:spPr>
      </c:pivotFmt>
      <c:pivotFmt>
        <c:idx val="1754"/>
        <c:spPr>
          <a:solidFill>
            <a:schemeClr val="accent1"/>
          </a:solidFill>
          <a:ln>
            <a:noFill/>
          </a:ln>
          <a:effectLst>
            <a:outerShdw blurRad="254000" sx="102000" sy="102000" algn="ctr" rotWithShape="0">
              <a:prstClr val="black">
                <a:alpha val="20000"/>
              </a:prstClr>
            </a:outerShdw>
          </a:effectLst>
        </c:spPr>
      </c:pivotFmt>
      <c:pivotFmt>
        <c:idx val="1755"/>
        <c:spPr>
          <a:solidFill>
            <a:schemeClr val="accent1"/>
          </a:solidFill>
          <a:ln>
            <a:noFill/>
          </a:ln>
          <a:effectLst>
            <a:outerShdw blurRad="254000" sx="102000" sy="102000" algn="ctr" rotWithShape="0">
              <a:prstClr val="black">
                <a:alpha val="20000"/>
              </a:prstClr>
            </a:outerShdw>
          </a:effectLst>
        </c:spPr>
      </c:pivotFmt>
      <c:pivotFmt>
        <c:idx val="1756"/>
        <c:spPr>
          <a:solidFill>
            <a:schemeClr val="accent1"/>
          </a:solidFill>
          <a:ln>
            <a:noFill/>
          </a:ln>
          <a:effectLst>
            <a:outerShdw blurRad="254000" sx="102000" sy="102000" algn="ctr" rotWithShape="0">
              <a:prstClr val="black">
                <a:alpha val="20000"/>
              </a:prstClr>
            </a:outerShdw>
          </a:effectLst>
        </c:spPr>
      </c:pivotFmt>
      <c:pivotFmt>
        <c:idx val="1757"/>
        <c:spPr>
          <a:solidFill>
            <a:schemeClr val="accent1"/>
          </a:solidFill>
          <a:ln>
            <a:noFill/>
          </a:ln>
          <a:effectLst>
            <a:outerShdw blurRad="254000" sx="102000" sy="102000" algn="ctr" rotWithShape="0">
              <a:prstClr val="black">
                <a:alpha val="20000"/>
              </a:prstClr>
            </a:outerShdw>
          </a:effectLst>
        </c:spPr>
      </c:pivotFmt>
      <c:pivotFmt>
        <c:idx val="1758"/>
        <c:spPr>
          <a:solidFill>
            <a:schemeClr val="accent1"/>
          </a:solidFill>
          <a:ln>
            <a:noFill/>
          </a:ln>
          <a:effectLst>
            <a:outerShdw blurRad="254000" sx="102000" sy="102000" algn="ctr" rotWithShape="0">
              <a:prstClr val="black">
                <a:alpha val="20000"/>
              </a:prstClr>
            </a:outerShdw>
          </a:effectLst>
        </c:spPr>
      </c:pivotFmt>
      <c:pivotFmt>
        <c:idx val="1759"/>
        <c:spPr>
          <a:solidFill>
            <a:schemeClr val="accent1"/>
          </a:solidFill>
          <a:ln>
            <a:noFill/>
          </a:ln>
          <a:effectLst>
            <a:outerShdw blurRad="254000" sx="102000" sy="102000" algn="ctr" rotWithShape="0">
              <a:prstClr val="black">
                <a:alpha val="20000"/>
              </a:prstClr>
            </a:outerShdw>
          </a:effectLst>
        </c:spPr>
      </c:pivotFmt>
      <c:pivotFmt>
        <c:idx val="1760"/>
        <c:spPr>
          <a:solidFill>
            <a:schemeClr val="accent1"/>
          </a:solidFill>
          <a:ln>
            <a:noFill/>
          </a:ln>
          <a:effectLst>
            <a:outerShdw blurRad="254000" sx="102000" sy="102000" algn="ctr" rotWithShape="0">
              <a:prstClr val="black">
                <a:alpha val="20000"/>
              </a:prstClr>
            </a:outerShdw>
          </a:effectLst>
        </c:spPr>
      </c:pivotFmt>
      <c:pivotFmt>
        <c:idx val="1761"/>
        <c:spPr>
          <a:solidFill>
            <a:schemeClr val="accent1"/>
          </a:solidFill>
          <a:ln>
            <a:noFill/>
          </a:ln>
          <a:effectLst>
            <a:outerShdw blurRad="254000" sx="102000" sy="102000" algn="ctr" rotWithShape="0">
              <a:prstClr val="black">
                <a:alpha val="20000"/>
              </a:prstClr>
            </a:outerShdw>
          </a:effectLst>
        </c:spPr>
      </c:pivotFmt>
      <c:pivotFmt>
        <c:idx val="1762"/>
        <c:spPr>
          <a:solidFill>
            <a:schemeClr val="accent1"/>
          </a:solidFill>
          <a:ln>
            <a:noFill/>
          </a:ln>
          <a:effectLst>
            <a:outerShdw blurRad="254000" sx="102000" sy="102000" algn="ctr" rotWithShape="0">
              <a:prstClr val="black">
                <a:alpha val="20000"/>
              </a:prstClr>
            </a:outerShdw>
          </a:effectLst>
        </c:spPr>
      </c:pivotFmt>
      <c:pivotFmt>
        <c:idx val="1763"/>
        <c:spPr>
          <a:solidFill>
            <a:schemeClr val="accent1"/>
          </a:solidFill>
          <a:ln>
            <a:noFill/>
          </a:ln>
          <a:effectLst>
            <a:outerShdw blurRad="254000" sx="102000" sy="102000" algn="ctr" rotWithShape="0">
              <a:prstClr val="black">
                <a:alpha val="20000"/>
              </a:prstClr>
            </a:outerShdw>
          </a:effectLst>
        </c:spPr>
      </c:pivotFmt>
      <c:pivotFmt>
        <c:idx val="1764"/>
        <c:spPr>
          <a:solidFill>
            <a:schemeClr val="accent1"/>
          </a:solidFill>
          <a:ln>
            <a:noFill/>
          </a:ln>
          <a:effectLst>
            <a:outerShdw blurRad="254000" sx="102000" sy="102000" algn="ctr" rotWithShape="0">
              <a:prstClr val="black">
                <a:alpha val="20000"/>
              </a:prstClr>
            </a:outerShdw>
          </a:effectLst>
        </c:spPr>
      </c:pivotFmt>
      <c:pivotFmt>
        <c:idx val="1765"/>
        <c:spPr>
          <a:solidFill>
            <a:schemeClr val="accent1"/>
          </a:solidFill>
          <a:ln>
            <a:noFill/>
          </a:ln>
          <a:effectLst>
            <a:outerShdw blurRad="254000" sx="102000" sy="102000" algn="ctr" rotWithShape="0">
              <a:prstClr val="black">
                <a:alpha val="20000"/>
              </a:prstClr>
            </a:outerShdw>
          </a:effectLst>
        </c:spPr>
      </c:pivotFmt>
      <c:pivotFmt>
        <c:idx val="1766"/>
        <c:spPr>
          <a:solidFill>
            <a:schemeClr val="accent1"/>
          </a:solidFill>
          <a:ln>
            <a:noFill/>
          </a:ln>
          <a:effectLst>
            <a:outerShdw blurRad="254000" sx="102000" sy="102000" algn="ctr" rotWithShape="0">
              <a:prstClr val="black">
                <a:alpha val="20000"/>
              </a:prstClr>
            </a:outerShdw>
          </a:effectLst>
        </c:spPr>
      </c:pivotFmt>
      <c:pivotFmt>
        <c:idx val="1767"/>
        <c:spPr>
          <a:solidFill>
            <a:schemeClr val="accent1"/>
          </a:solidFill>
          <a:ln>
            <a:noFill/>
          </a:ln>
          <a:effectLst>
            <a:outerShdw blurRad="254000" sx="102000" sy="102000" algn="ctr" rotWithShape="0">
              <a:prstClr val="black">
                <a:alpha val="20000"/>
              </a:prstClr>
            </a:outerShdw>
          </a:effectLst>
        </c:spPr>
      </c:pivotFmt>
      <c:pivotFmt>
        <c:idx val="1768"/>
        <c:spPr>
          <a:solidFill>
            <a:schemeClr val="accent1"/>
          </a:solidFill>
          <a:ln>
            <a:noFill/>
          </a:ln>
          <a:effectLst>
            <a:outerShdw blurRad="254000" sx="102000" sy="102000" algn="ctr" rotWithShape="0">
              <a:prstClr val="black">
                <a:alpha val="20000"/>
              </a:prstClr>
            </a:outerShdw>
          </a:effectLst>
        </c:spPr>
      </c:pivotFmt>
      <c:pivotFmt>
        <c:idx val="1769"/>
        <c:spPr>
          <a:solidFill>
            <a:schemeClr val="accent1"/>
          </a:solidFill>
          <a:ln>
            <a:noFill/>
          </a:ln>
          <a:effectLst>
            <a:outerShdw blurRad="254000" sx="102000" sy="102000" algn="ctr" rotWithShape="0">
              <a:prstClr val="black">
                <a:alpha val="20000"/>
              </a:prstClr>
            </a:outerShdw>
          </a:effectLst>
        </c:spPr>
      </c:pivotFmt>
      <c:pivotFmt>
        <c:idx val="1770"/>
        <c:spPr>
          <a:solidFill>
            <a:schemeClr val="accent1"/>
          </a:solidFill>
          <a:ln>
            <a:noFill/>
          </a:ln>
          <a:effectLst>
            <a:outerShdw blurRad="254000" sx="102000" sy="102000" algn="ctr" rotWithShape="0">
              <a:prstClr val="black">
                <a:alpha val="20000"/>
              </a:prstClr>
            </a:outerShdw>
          </a:effectLst>
        </c:spPr>
      </c:pivotFmt>
      <c:pivotFmt>
        <c:idx val="1771"/>
        <c:spPr>
          <a:solidFill>
            <a:schemeClr val="accent1"/>
          </a:solidFill>
          <a:ln>
            <a:noFill/>
          </a:ln>
          <a:effectLst>
            <a:outerShdw blurRad="254000" sx="102000" sy="102000" algn="ctr" rotWithShape="0">
              <a:prstClr val="black">
                <a:alpha val="20000"/>
              </a:prstClr>
            </a:outerShdw>
          </a:effectLst>
        </c:spPr>
      </c:pivotFmt>
      <c:pivotFmt>
        <c:idx val="1772"/>
        <c:spPr>
          <a:solidFill>
            <a:schemeClr val="accent1"/>
          </a:solidFill>
          <a:ln>
            <a:noFill/>
          </a:ln>
          <a:effectLst>
            <a:outerShdw blurRad="254000" sx="102000" sy="102000" algn="ctr" rotWithShape="0">
              <a:prstClr val="black">
                <a:alpha val="20000"/>
              </a:prstClr>
            </a:outerShdw>
          </a:effectLst>
        </c:spPr>
      </c:pivotFmt>
      <c:pivotFmt>
        <c:idx val="1773"/>
        <c:spPr>
          <a:solidFill>
            <a:schemeClr val="accent1"/>
          </a:solidFill>
          <a:ln>
            <a:noFill/>
          </a:ln>
          <a:effectLst>
            <a:outerShdw blurRad="254000" sx="102000" sy="102000" algn="ctr" rotWithShape="0">
              <a:prstClr val="black">
                <a:alpha val="20000"/>
              </a:prstClr>
            </a:outerShdw>
          </a:effectLst>
        </c:spPr>
      </c:pivotFmt>
      <c:pivotFmt>
        <c:idx val="1774"/>
        <c:spPr>
          <a:solidFill>
            <a:schemeClr val="accent1"/>
          </a:solidFill>
          <a:ln>
            <a:noFill/>
          </a:ln>
          <a:effectLst>
            <a:outerShdw blurRad="254000" sx="102000" sy="102000" algn="ctr" rotWithShape="0">
              <a:prstClr val="black">
                <a:alpha val="20000"/>
              </a:prstClr>
            </a:outerShdw>
          </a:effectLst>
        </c:spPr>
      </c:pivotFmt>
      <c:pivotFmt>
        <c:idx val="1775"/>
        <c:spPr>
          <a:solidFill>
            <a:schemeClr val="accent1"/>
          </a:solidFill>
          <a:ln>
            <a:noFill/>
          </a:ln>
          <a:effectLst>
            <a:outerShdw blurRad="254000" sx="102000" sy="102000" algn="ctr" rotWithShape="0">
              <a:prstClr val="black">
                <a:alpha val="20000"/>
              </a:prstClr>
            </a:outerShdw>
          </a:effectLst>
        </c:spPr>
      </c:pivotFmt>
      <c:pivotFmt>
        <c:idx val="1776"/>
        <c:spPr>
          <a:solidFill>
            <a:schemeClr val="accent1"/>
          </a:solidFill>
          <a:ln>
            <a:noFill/>
          </a:ln>
          <a:effectLst>
            <a:outerShdw blurRad="254000" sx="102000" sy="102000" algn="ctr" rotWithShape="0">
              <a:prstClr val="black">
                <a:alpha val="20000"/>
              </a:prstClr>
            </a:outerShdw>
          </a:effectLst>
        </c:spPr>
      </c:pivotFmt>
      <c:pivotFmt>
        <c:idx val="1777"/>
        <c:spPr>
          <a:solidFill>
            <a:schemeClr val="accent1"/>
          </a:solidFill>
          <a:ln>
            <a:noFill/>
          </a:ln>
          <a:effectLst>
            <a:outerShdw blurRad="254000" sx="102000" sy="102000" algn="ctr" rotWithShape="0">
              <a:prstClr val="black">
                <a:alpha val="20000"/>
              </a:prstClr>
            </a:outerShdw>
          </a:effectLst>
        </c:spPr>
      </c:pivotFmt>
      <c:pivotFmt>
        <c:idx val="1778"/>
        <c:spPr>
          <a:solidFill>
            <a:schemeClr val="accent1"/>
          </a:solidFill>
          <a:ln>
            <a:noFill/>
          </a:ln>
          <a:effectLst>
            <a:outerShdw blurRad="254000" sx="102000" sy="102000" algn="ctr" rotWithShape="0">
              <a:prstClr val="black">
                <a:alpha val="20000"/>
              </a:prstClr>
            </a:outerShdw>
          </a:effectLst>
        </c:spPr>
      </c:pivotFmt>
      <c:pivotFmt>
        <c:idx val="1779"/>
        <c:spPr>
          <a:solidFill>
            <a:schemeClr val="accent1"/>
          </a:solidFill>
          <a:ln>
            <a:noFill/>
          </a:ln>
          <a:effectLst>
            <a:outerShdw blurRad="254000" sx="102000" sy="102000" algn="ctr" rotWithShape="0">
              <a:prstClr val="black">
                <a:alpha val="20000"/>
              </a:prstClr>
            </a:outerShdw>
          </a:effectLst>
        </c:spPr>
      </c:pivotFmt>
      <c:pivotFmt>
        <c:idx val="1780"/>
        <c:spPr>
          <a:solidFill>
            <a:schemeClr val="accent1"/>
          </a:solidFill>
          <a:ln>
            <a:noFill/>
          </a:ln>
          <a:effectLst>
            <a:outerShdw blurRad="254000" sx="102000" sy="102000" algn="ctr" rotWithShape="0">
              <a:prstClr val="black">
                <a:alpha val="20000"/>
              </a:prstClr>
            </a:outerShdw>
          </a:effectLst>
        </c:spPr>
      </c:pivotFmt>
      <c:pivotFmt>
        <c:idx val="1781"/>
        <c:spPr>
          <a:solidFill>
            <a:schemeClr val="accent1"/>
          </a:solidFill>
          <a:ln>
            <a:noFill/>
          </a:ln>
          <a:effectLst>
            <a:outerShdw blurRad="254000" sx="102000" sy="102000" algn="ctr" rotWithShape="0">
              <a:prstClr val="black">
                <a:alpha val="20000"/>
              </a:prstClr>
            </a:outerShdw>
          </a:effectLst>
        </c:spPr>
      </c:pivotFmt>
      <c:pivotFmt>
        <c:idx val="1782"/>
        <c:spPr>
          <a:solidFill>
            <a:schemeClr val="accent1"/>
          </a:solidFill>
          <a:ln>
            <a:noFill/>
          </a:ln>
          <a:effectLst>
            <a:outerShdw blurRad="254000" sx="102000" sy="102000" algn="ctr" rotWithShape="0">
              <a:prstClr val="black">
                <a:alpha val="20000"/>
              </a:prstClr>
            </a:outerShdw>
          </a:effectLst>
        </c:spPr>
      </c:pivotFmt>
      <c:pivotFmt>
        <c:idx val="1783"/>
        <c:spPr>
          <a:solidFill>
            <a:schemeClr val="accent1"/>
          </a:solidFill>
          <a:ln>
            <a:noFill/>
          </a:ln>
          <a:effectLst>
            <a:outerShdw blurRad="254000" sx="102000" sy="102000" algn="ctr" rotWithShape="0">
              <a:prstClr val="black">
                <a:alpha val="20000"/>
              </a:prstClr>
            </a:outerShdw>
          </a:effectLst>
        </c:spPr>
      </c:pivotFmt>
      <c:pivotFmt>
        <c:idx val="1784"/>
        <c:spPr>
          <a:solidFill>
            <a:schemeClr val="accent1"/>
          </a:solidFill>
          <a:ln>
            <a:noFill/>
          </a:ln>
          <a:effectLst>
            <a:outerShdw blurRad="254000" sx="102000" sy="102000" algn="ctr" rotWithShape="0">
              <a:prstClr val="black">
                <a:alpha val="20000"/>
              </a:prstClr>
            </a:outerShdw>
          </a:effectLst>
        </c:spPr>
      </c:pivotFmt>
      <c:pivotFmt>
        <c:idx val="1785"/>
        <c:spPr>
          <a:solidFill>
            <a:schemeClr val="accent1"/>
          </a:solidFill>
          <a:ln>
            <a:noFill/>
          </a:ln>
          <a:effectLst>
            <a:outerShdw blurRad="254000" sx="102000" sy="102000" algn="ctr" rotWithShape="0">
              <a:prstClr val="black">
                <a:alpha val="20000"/>
              </a:prstClr>
            </a:outerShdw>
          </a:effectLst>
        </c:spPr>
      </c:pivotFmt>
      <c:pivotFmt>
        <c:idx val="1786"/>
        <c:spPr>
          <a:solidFill>
            <a:schemeClr val="accent1"/>
          </a:solidFill>
          <a:ln>
            <a:noFill/>
          </a:ln>
          <a:effectLst>
            <a:outerShdw blurRad="254000" sx="102000" sy="102000" algn="ctr" rotWithShape="0">
              <a:prstClr val="black">
                <a:alpha val="20000"/>
              </a:prstClr>
            </a:outerShdw>
          </a:effectLst>
        </c:spPr>
      </c:pivotFmt>
      <c:pivotFmt>
        <c:idx val="1787"/>
        <c:spPr>
          <a:solidFill>
            <a:schemeClr val="accent1"/>
          </a:solidFill>
          <a:ln>
            <a:noFill/>
          </a:ln>
          <a:effectLst>
            <a:outerShdw blurRad="254000" sx="102000" sy="102000" algn="ctr" rotWithShape="0">
              <a:prstClr val="black">
                <a:alpha val="20000"/>
              </a:prstClr>
            </a:outerShdw>
          </a:effectLst>
        </c:spPr>
      </c:pivotFmt>
      <c:pivotFmt>
        <c:idx val="1788"/>
        <c:spPr>
          <a:solidFill>
            <a:schemeClr val="accent1"/>
          </a:solidFill>
          <a:ln>
            <a:noFill/>
          </a:ln>
          <a:effectLst>
            <a:outerShdw blurRad="254000" sx="102000" sy="102000" algn="ctr" rotWithShape="0">
              <a:prstClr val="black">
                <a:alpha val="20000"/>
              </a:prstClr>
            </a:outerShdw>
          </a:effectLst>
        </c:spPr>
      </c:pivotFmt>
      <c:pivotFmt>
        <c:idx val="1789"/>
        <c:spPr>
          <a:solidFill>
            <a:schemeClr val="accent1"/>
          </a:solidFill>
          <a:ln>
            <a:noFill/>
          </a:ln>
          <a:effectLst>
            <a:outerShdw blurRad="254000" sx="102000" sy="102000" algn="ctr" rotWithShape="0">
              <a:prstClr val="black">
                <a:alpha val="20000"/>
              </a:prstClr>
            </a:outerShdw>
          </a:effectLst>
        </c:spPr>
      </c:pivotFmt>
      <c:pivotFmt>
        <c:idx val="1790"/>
        <c:spPr>
          <a:solidFill>
            <a:schemeClr val="accent1"/>
          </a:solidFill>
          <a:ln>
            <a:noFill/>
          </a:ln>
          <a:effectLst>
            <a:outerShdw blurRad="254000" sx="102000" sy="102000" algn="ctr" rotWithShape="0">
              <a:prstClr val="black">
                <a:alpha val="20000"/>
              </a:prstClr>
            </a:outerShdw>
          </a:effectLst>
        </c:spPr>
      </c:pivotFmt>
      <c:pivotFmt>
        <c:idx val="1791"/>
        <c:spPr>
          <a:solidFill>
            <a:schemeClr val="accent1"/>
          </a:solidFill>
          <a:ln>
            <a:noFill/>
          </a:ln>
          <a:effectLst>
            <a:outerShdw blurRad="254000" sx="102000" sy="102000" algn="ctr" rotWithShape="0">
              <a:prstClr val="black">
                <a:alpha val="20000"/>
              </a:prstClr>
            </a:outerShdw>
          </a:effectLst>
        </c:spPr>
      </c:pivotFmt>
      <c:pivotFmt>
        <c:idx val="1792"/>
        <c:spPr>
          <a:solidFill>
            <a:schemeClr val="accent1"/>
          </a:solidFill>
          <a:ln>
            <a:noFill/>
          </a:ln>
          <a:effectLst>
            <a:outerShdw blurRad="254000" sx="102000" sy="102000" algn="ctr" rotWithShape="0">
              <a:prstClr val="black">
                <a:alpha val="20000"/>
              </a:prstClr>
            </a:outerShdw>
          </a:effectLst>
        </c:spPr>
      </c:pivotFmt>
      <c:pivotFmt>
        <c:idx val="1793"/>
        <c:spPr>
          <a:solidFill>
            <a:schemeClr val="accent1"/>
          </a:solidFill>
          <a:ln>
            <a:noFill/>
          </a:ln>
          <a:effectLst>
            <a:outerShdw blurRad="254000" sx="102000" sy="102000" algn="ctr" rotWithShape="0">
              <a:prstClr val="black">
                <a:alpha val="20000"/>
              </a:prstClr>
            </a:outerShdw>
          </a:effectLst>
        </c:spPr>
      </c:pivotFmt>
      <c:pivotFmt>
        <c:idx val="1794"/>
        <c:spPr>
          <a:solidFill>
            <a:schemeClr val="accent1"/>
          </a:solidFill>
          <a:ln>
            <a:noFill/>
          </a:ln>
          <a:effectLst>
            <a:outerShdw blurRad="254000" sx="102000" sy="102000" algn="ctr" rotWithShape="0">
              <a:prstClr val="black">
                <a:alpha val="20000"/>
              </a:prstClr>
            </a:outerShdw>
          </a:effectLst>
        </c:spPr>
      </c:pivotFmt>
      <c:pivotFmt>
        <c:idx val="1795"/>
        <c:spPr>
          <a:solidFill>
            <a:schemeClr val="accent1"/>
          </a:solidFill>
          <a:ln>
            <a:noFill/>
          </a:ln>
          <a:effectLst>
            <a:outerShdw blurRad="254000" sx="102000" sy="102000" algn="ctr" rotWithShape="0">
              <a:prstClr val="black">
                <a:alpha val="20000"/>
              </a:prstClr>
            </a:outerShdw>
          </a:effectLst>
        </c:spPr>
      </c:pivotFmt>
      <c:pivotFmt>
        <c:idx val="1796"/>
        <c:spPr>
          <a:solidFill>
            <a:schemeClr val="accent1"/>
          </a:solidFill>
          <a:ln>
            <a:noFill/>
          </a:ln>
          <a:effectLst>
            <a:outerShdw blurRad="254000" sx="102000" sy="102000" algn="ctr" rotWithShape="0">
              <a:prstClr val="black">
                <a:alpha val="20000"/>
              </a:prstClr>
            </a:outerShdw>
          </a:effectLst>
        </c:spPr>
      </c:pivotFmt>
      <c:pivotFmt>
        <c:idx val="1797"/>
        <c:spPr>
          <a:solidFill>
            <a:schemeClr val="accent1"/>
          </a:solidFill>
          <a:ln>
            <a:noFill/>
          </a:ln>
          <a:effectLst>
            <a:outerShdw blurRad="254000" sx="102000" sy="102000" algn="ctr" rotWithShape="0">
              <a:prstClr val="black">
                <a:alpha val="20000"/>
              </a:prstClr>
            </a:outerShdw>
          </a:effectLst>
        </c:spPr>
      </c:pivotFmt>
      <c:pivotFmt>
        <c:idx val="1798"/>
        <c:spPr>
          <a:solidFill>
            <a:schemeClr val="accent1"/>
          </a:solidFill>
          <a:ln>
            <a:noFill/>
          </a:ln>
          <a:effectLst>
            <a:outerShdw blurRad="254000" sx="102000" sy="102000" algn="ctr" rotWithShape="0">
              <a:prstClr val="black">
                <a:alpha val="20000"/>
              </a:prstClr>
            </a:outerShdw>
          </a:effectLst>
        </c:spPr>
      </c:pivotFmt>
      <c:pivotFmt>
        <c:idx val="1799"/>
        <c:spPr>
          <a:solidFill>
            <a:schemeClr val="accent1"/>
          </a:solidFill>
          <a:ln>
            <a:noFill/>
          </a:ln>
          <a:effectLst>
            <a:outerShdw blurRad="254000" sx="102000" sy="102000" algn="ctr" rotWithShape="0">
              <a:prstClr val="black">
                <a:alpha val="20000"/>
              </a:prstClr>
            </a:outerShdw>
          </a:effectLst>
        </c:spPr>
      </c:pivotFmt>
      <c:pivotFmt>
        <c:idx val="1800"/>
        <c:spPr>
          <a:solidFill>
            <a:schemeClr val="accent1"/>
          </a:solidFill>
          <a:ln>
            <a:noFill/>
          </a:ln>
          <a:effectLst>
            <a:outerShdw blurRad="254000" sx="102000" sy="102000" algn="ctr" rotWithShape="0">
              <a:prstClr val="black">
                <a:alpha val="20000"/>
              </a:prstClr>
            </a:outerShdw>
          </a:effectLst>
        </c:spPr>
      </c:pivotFmt>
      <c:pivotFmt>
        <c:idx val="1801"/>
        <c:spPr>
          <a:solidFill>
            <a:schemeClr val="accent1"/>
          </a:solidFill>
          <a:ln>
            <a:noFill/>
          </a:ln>
          <a:effectLst>
            <a:outerShdw blurRad="254000" sx="102000" sy="102000" algn="ctr" rotWithShape="0">
              <a:prstClr val="black">
                <a:alpha val="20000"/>
              </a:prstClr>
            </a:outerShdw>
          </a:effectLst>
        </c:spPr>
      </c:pivotFmt>
      <c:pivotFmt>
        <c:idx val="1802"/>
        <c:spPr>
          <a:solidFill>
            <a:schemeClr val="accent1"/>
          </a:solidFill>
          <a:ln>
            <a:noFill/>
          </a:ln>
          <a:effectLst>
            <a:outerShdw blurRad="254000" sx="102000" sy="102000" algn="ctr" rotWithShape="0">
              <a:prstClr val="black">
                <a:alpha val="20000"/>
              </a:prstClr>
            </a:outerShdw>
          </a:effectLst>
        </c:spPr>
      </c:pivotFmt>
      <c:pivotFmt>
        <c:idx val="1803"/>
        <c:spPr>
          <a:solidFill>
            <a:schemeClr val="accent1"/>
          </a:solidFill>
          <a:ln>
            <a:noFill/>
          </a:ln>
          <a:effectLst>
            <a:outerShdw blurRad="254000" sx="102000" sy="102000" algn="ctr" rotWithShape="0">
              <a:prstClr val="black">
                <a:alpha val="20000"/>
              </a:prstClr>
            </a:outerShdw>
          </a:effectLst>
        </c:spPr>
      </c:pivotFmt>
      <c:pivotFmt>
        <c:idx val="1804"/>
        <c:spPr>
          <a:solidFill>
            <a:schemeClr val="accent1"/>
          </a:solidFill>
          <a:ln>
            <a:noFill/>
          </a:ln>
          <a:effectLst>
            <a:outerShdw blurRad="254000" sx="102000" sy="102000" algn="ctr" rotWithShape="0">
              <a:prstClr val="black">
                <a:alpha val="20000"/>
              </a:prstClr>
            </a:outerShdw>
          </a:effectLst>
        </c:spPr>
      </c:pivotFmt>
      <c:pivotFmt>
        <c:idx val="1805"/>
        <c:spPr>
          <a:solidFill>
            <a:schemeClr val="accent1"/>
          </a:solidFill>
          <a:ln>
            <a:noFill/>
          </a:ln>
          <a:effectLst>
            <a:outerShdw blurRad="254000" sx="102000" sy="102000" algn="ctr" rotWithShape="0">
              <a:prstClr val="black">
                <a:alpha val="20000"/>
              </a:prstClr>
            </a:outerShdw>
          </a:effectLst>
        </c:spPr>
      </c:pivotFmt>
      <c:pivotFmt>
        <c:idx val="1806"/>
        <c:spPr>
          <a:solidFill>
            <a:schemeClr val="accent1"/>
          </a:solidFill>
          <a:ln>
            <a:noFill/>
          </a:ln>
          <a:effectLst>
            <a:outerShdw blurRad="254000" sx="102000" sy="102000" algn="ctr" rotWithShape="0">
              <a:prstClr val="black">
                <a:alpha val="20000"/>
              </a:prstClr>
            </a:outerShdw>
          </a:effectLst>
        </c:spPr>
      </c:pivotFmt>
      <c:pivotFmt>
        <c:idx val="1807"/>
        <c:spPr>
          <a:solidFill>
            <a:schemeClr val="accent1"/>
          </a:solidFill>
          <a:ln>
            <a:noFill/>
          </a:ln>
          <a:effectLst>
            <a:outerShdw blurRad="254000" sx="102000" sy="102000" algn="ctr" rotWithShape="0">
              <a:prstClr val="black">
                <a:alpha val="20000"/>
              </a:prstClr>
            </a:outerShdw>
          </a:effectLst>
        </c:spPr>
      </c:pivotFmt>
      <c:pivotFmt>
        <c:idx val="1808"/>
        <c:spPr>
          <a:solidFill>
            <a:schemeClr val="accent1"/>
          </a:solidFill>
          <a:ln>
            <a:noFill/>
          </a:ln>
          <a:effectLst>
            <a:outerShdw blurRad="254000" sx="102000" sy="102000" algn="ctr" rotWithShape="0">
              <a:prstClr val="black">
                <a:alpha val="20000"/>
              </a:prstClr>
            </a:outerShdw>
          </a:effectLst>
        </c:spPr>
      </c:pivotFmt>
      <c:pivotFmt>
        <c:idx val="1809"/>
        <c:spPr>
          <a:solidFill>
            <a:schemeClr val="accent1"/>
          </a:solidFill>
          <a:ln>
            <a:noFill/>
          </a:ln>
          <a:effectLst>
            <a:outerShdw blurRad="254000" sx="102000" sy="102000" algn="ctr" rotWithShape="0">
              <a:prstClr val="black">
                <a:alpha val="20000"/>
              </a:prstClr>
            </a:outerShdw>
          </a:effectLst>
        </c:spPr>
      </c:pivotFmt>
      <c:pivotFmt>
        <c:idx val="1810"/>
        <c:spPr>
          <a:solidFill>
            <a:schemeClr val="accent1"/>
          </a:solidFill>
          <a:ln>
            <a:noFill/>
          </a:ln>
          <a:effectLst>
            <a:outerShdw blurRad="254000" sx="102000" sy="102000" algn="ctr" rotWithShape="0">
              <a:prstClr val="black">
                <a:alpha val="20000"/>
              </a:prstClr>
            </a:outerShdw>
          </a:effectLst>
        </c:spPr>
      </c:pivotFmt>
      <c:pivotFmt>
        <c:idx val="1811"/>
        <c:spPr>
          <a:solidFill>
            <a:schemeClr val="accent1"/>
          </a:solidFill>
          <a:ln>
            <a:noFill/>
          </a:ln>
          <a:effectLst>
            <a:outerShdw blurRad="254000" sx="102000" sy="102000" algn="ctr" rotWithShape="0">
              <a:prstClr val="black">
                <a:alpha val="20000"/>
              </a:prstClr>
            </a:outerShdw>
          </a:effectLst>
        </c:spPr>
      </c:pivotFmt>
      <c:pivotFmt>
        <c:idx val="1812"/>
        <c:spPr>
          <a:solidFill>
            <a:schemeClr val="accent1"/>
          </a:solidFill>
          <a:ln>
            <a:noFill/>
          </a:ln>
          <a:effectLst>
            <a:outerShdw blurRad="254000" sx="102000" sy="102000" algn="ctr" rotWithShape="0">
              <a:prstClr val="black">
                <a:alpha val="20000"/>
              </a:prstClr>
            </a:outerShdw>
          </a:effectLst>
        </c:spPr>
      </c:pivotFmt>
      <c:pivotFmt>
        <c:idx val="1813"/>
        <c:spPr>
          <a:solidFill>
            <a:schemeClr val="accent1"/>
          </a:solidFill>
          <a:ln>
            <a:noFill/>
          </a:ln>
          <a:effectLst>
            <a:outerShdw blurRad="254000" sx="102000" sy="102000" algn="ctr" rotWithShape="0">
              <a:prstClr val="black">
                <a:alpha val="20000"/>
              </a:prstClr>
            </a:outerShdw>
          </a:effectLst>
        </c:spPr>
      </c:pivotFmt>
      <c:pivotFmt>
        <c:idx val="1814"/>
        <c:spPr>
          <a:solidFill>
            <a:schemeClr val="accent1"/>
          </a:solidFill>
          <a:ln>
            <a:noFill/>
          </a:ln>
          <a:effectLst>
            <a:outerShdw blurRad="254000" sx="102000" sy="102000" algn="ctr" rotWithShape="0">
              <a:prstClr val="black">
                <a:alpha val="20000"/>
              </a:prstClr>
            </a:outerShdw>
          </a:effectLst>
        </c:spPr>
      </c:pivotFmt>
      <c:pivotFmt>
        <c:idx val="1815"/>
        <c:spPr>
          <a:solidFill>
            <a:schemeClr val="accent1"/>
          </a:solidFill>
          <a:ln>
            <a:noFill/>
          </a:ln>
          <a:effectLst>
            <a:outerShdw blurRad="254000" sx="102000" sy="102000" algn="ctr" rotWithShape="0">
              <a:prstClr val="black">
                <a:alpha val="20000"/>
              </a:prstClr>
            </a:outerShdw>
          </a:effectLst>
        </c:spPr>
      </c:pivotFmt>
      <c:pivotFmt>
        <c:idx val="1816"/>
        <c:spPr>
          <a:solidFill>
            <a:schemeClr val="accent1"/>
          </a:solidFill>
          <a:ln>
            <a:noFill/>
          </a:ln>
          <a:effectLst>
            <a:outerShdw blurRad="254000" sx="102000" sy="102000" algn="ctr" rotWithShape="0">
              <a:prstClr val="black">
                <a:alpha val="20000"/>
              </a:prstClr>
            </a:outerShdw>
          </a:effectLst>
        </c:spPr>
      </c:pivotFmt>
      <c:pivotFmt>
        <c:idx val="1817"/>
        <c:spPr>
          <a:solidFill>
            <a:schemeClr val="accent1"/>
          </a:solidFill>
          <a:ln>
            <a:noFill/>
          </a:ln>
          <a:effectLst>
            <a:outerShdw blurRad="254000" sx="102000" sy="102000" algn="ctr" rotWithShape="0">
              <a:prstClr val="black">
                <a:alpha val="20000"/>
              </a:prstClr>
            </a:outerShdw>
          </a:effectLst>
        </c:spPr>
      </c:pivotFmt>
      <c:pivotFmt>
        <c:idx val="1818"/>
        <c:spPr>
          <a:solidFill>
            <a:schemeClr val="accent1"/>
          </a:solidFill>
          <a:ln>
            <a:noFill/>
          </a:ln>
          <a:effectLst>
            <a:outerShdw blurRad="254000" sx="102000" sy="102000" algn="ctr" rotWithShape="0">
              <a:prstClr val="black">
                <a:alpha val="20000"/>
              </a:prstClr>
            </a:outerShdw>
          </a:effectLst>
        </c:spPr>
      </c:pivotFmt>
      <c:pivotFmt>
        <c:idx val="1819"/>
        <c:spPr>
          <a:solidFill>
            <a:schemeClr val="accent1"/>
          </a:solidFill>
          <a:ln>
            <a:noFill/>
          </a:ln>
          <a:effectLst>
            <a:outerShdw blurRad="254000" sx="102000" sy="102000" algn="ctr" rotWithShape="0">
              <a:prstClr val="black">
                <a:alpha val="20000"/>
              </a:prstClr>
            </a:outerShdw>
          </a:effectLst>
        </c:spPr>
      </c:pivotFmt>
      <c:pivotFmt>
        <c:idx val="1820"/>
        <c:spPr>
          <a:solidFill>
            <a:schemeClr val="accent1"/>
          </a:solidFill>
          <a:ln>
            <a:noFill/>
          </a:ln>
          <a:effectLst>
            <a:outerShdw blurRad="254000" sx="102000" sy="102000" algn="ctr" rotWithShape="0">
              <a:prstClr val="black">
                <a:alpha val="20000"/>
              </a:prstClr>
            </a:outerShdw>
          </a:effectLst>
        </c:spPr>
      </c:pivotFmt>
      <c:pivotFmt>
        <c:idx val="1821"/>
        <c:spPr>
          <a:solidFill>
            <a:schemeClr val="accent1"/>
          </a:solidFill>
          <a:ln>
            <a:noFill/>
          </a:ln>
          <a:effectLst>
            <a:outerShdw blurRad="254000" sx="102000" sy="102000" algn="ctr" rotWithShape="0">
              <a:prstClr val="black">
                <a:alpha val="20000"/>
              </a:prstClr>
            </a:outerShdw>
          </a:effectLst>
        </c:spPr>
      </c:pivotFmt>
      <c:pivotFmt>
        <c:idx val="1822"/>
        <c:spPr>
          <a:solidFill>
            <a:schemeClr val="accent1"/>
          </a:solidFill>
          <a:ln>
            <a:noFill/>
          </a:ln>
          <a:effectLst>
            <a:outerShdw blurRad="254000" sx="102000" sy="102000" algn="ctr" rotWithShape="0">
              <a:prstClr val="black">
                <a:alpha val="20000"/>
              </a:prstClr>
            </a:outerShdw>
          </a:effectLst>
        </c:spPr>
      </c:pivotFmt>
      <c:pivotFmt>
        <c:idx val="1823"/>
        <c:spPr>
          <a:solidFill>
            <a:schemeClr val="accent1"/>
          </a:solidFill>
          <a:ln>
            <a:noFill/>
          </a:ln>
          <a:effectLst>
            <a:outerShdw blurRad="254000" sx="102000" sy="102000" algn="ctr" rotWithShape="0">
              <a:prstClr val="black">
                <a:alpha val="20000"/>
              </a:prstClr>
            </a:outerShdw>
          </a:effectLst>
        </c:spPr>
      </c:pivotFmt>
      <c:pivotFmt>
        <c:idx val="1824"/>
        <c:spPr>
          <a:solidFill>
            <a:schemeClr val="accent1"/>
          </a:solidFill>
          <a:ln>
            <a:noFill/>
          </a:ln>
          <a:effectLst>
            <a:outerShdw blurRad="254000" sx="102000" sy="102000" algn="ctr" rotWithShape="0">
              <a:prstClr val="black">
                <a:alpha val="20000"/>
              </a:prstClr>
            </a:outerShdw>
          </a:effectLst>
        </c:spPr>
      </c:pivotFmt>
      <c:pivotFmt>
        <c:idx val="1825"/>
        <c:spPr>
          <a:solidFill>
            <a:schemeClr val="accent1"/>
          </a:solidFill>
          <a:ln>
            <a:noFill/>
          </a:ln>
          <a:effectLst>
            <a:outerShdw blurRad="254000" sx="102000" sy="102000" algn="ctr" rotWithShape="0">
              <a:prstClr val="black">
                <a:alpha val="20000"/>
              </a:prstClr>
            </a:outerShdw>
          </a:effectLst>
        </c:spPr>
      </c:pivotFmt>
      <c:pivotFmt>
        <c:idx val="1826"/>
        <c:spPr>
          <a:solidFill>
            <a:schemeClr val="accent1"/>
          </a:solidFill>
          <a:ln>
            <a:noFill/>
          </a:ln>
          <a:effectLst>
            <a:outerShdw blurRad="254000" sx="102000" sy="102000" algn="ctr" rotWithShape="0">
              <a:prstClr val="black">
                <a:alpha val="20000"/>
              </a:prstClr>
            </a:outerShdw>
          </a:effectLst>
        </c:spPr>
      </c:pivotFmt>
      <c:pivotFmt>
        <c:idx val="1827"/>
        <c:spPr>
          <a:solidFill>
            <a:schemeClr val="accent1"/>
          </a:solidFill>
          <a:ln>
            <a:noFill/>
          </a:ln>
          <a:effectLst>
            <a:outerShdw blurRad="254000" sx="102000" sy="102000" algn="ctr" rotWithShape="0">
              <a:prstClr val="black">
                <a:alpha val="20000"/>
              </a:prstClr>
            </a:outerShdw>
          </a:effectLst>
        </c:spPr>
      </c:pivotFmt>
      <c:pivotFmt>
        <c:idx val="1828"/>
        <c:spPr>
          <a:solidFill>
            <a:schemeClr val="accent1"/>
          </a:solidFill>
          <a:ln>
            <a:noFill/>
          </a:ln>
          <a:effectLst>
            <a:outerShdw blurRad="254000" sx="102000" sy="102000" algn="ctr" rotWithShape="0">
              <a:prstClr val="black">
                <a:alpha val="20000"/>
              </a:prstClr>
            </a:outerShdw>
          </a:effectLst>
        </c:spPr>
      </c:pivotFmt>
      <c:pivotFmt>
        <c:idx val="1829"/>
        <c:spPr>
          <a:solidFill>
            <a:schemeClr val="accent1"/>
          </a:solidFill>
          <a:ln>
            <a:noFill/>
          </a:ln>
          <a:effectLst>
            <a:outerShdw blurRad="254000" sx="102000" sy="102000" algn="ctr" rotWithShape="0">
              <a:prstClr val="black">
                <a:alpha val="20000"/>
              </a:prstClr>
            </a:outerShdw>
          </a:effectLst>
        </c:spPr>
      </c:pivotFmt>
      <c:pivotFmt>
        <c:idx val="1830"/>
        <c:spPr>
          <a:solidFill>
            <a:schemeClr val="accent1"/>
          </a:solidFill>
          <a:ln>
            <a:noFill/>
          </a:ln>
          <a:effectLst>
            <a:outerShdw blurRad="254000" sx="102000" sy="102000" algn="ctr" rotWithShape="0">
              <a:prstClr val="black">
                <a:alpha val="20000"/>
              </a:prstClr>
            </a:outerShdw>
          </a:effectLst>
        </c:spPr>
      </c:pivotFmt>
      <c:pivotFmt>
        <c:idx val="1831"/>
        <c:spPr>
          <a:solidFill>
            <a:schemeClr val="accent1"/>
          </a:solidFill>
          <a:ln>
            <a:noFill/>
          </a:ln>
          <a:effectLst>
            <a:outerShdw blurRad="254000" sx="102000" sy="102000" algn="ctr" rotWithShape="0">
              <a:prstClr val="black">
                <a:alpha val="20000"/>
              </a:prstClr>
            </a:outerShdw>
          </a:effectLst>
        </c:spPr>
      </c:pivotFmt>
      <c:pivotFmt>
        <c:idx val="1832"/>
        <c:spPr>
          <a:solidFill>
            <a:schemeClr val="accent1"/>
          </a:solidFill>
          <a:ln>
            <a:noFill/>
          </a:ln>
          <a:effectLst>
            <a:outerShdw blurRad="254000" sx="102000" sy="102000" algn="ctr" rotWithShape="0">
              <a:prstClr val="black">
                <a:alpha val="20000"/>
              </a:prstClr>
            </a:outerShdw>
          </a:effectLst>
        </c:spPr>
      </c:pivotFmt>
      <c:pivotFmt>
        <c:idx val="1833"/>
        <c:spPr>
          <a:solidFill>
            <a:schemeClr val="accent1"/>
          </a:solidFill>
          <a:ln>
            <a:noFill/>
          </a:ln>
          <a:effectLst>
            <a:outerShdw blurRad="254000" sx="102000" sy="102000" algn="ctr" rotWithShape="0">
              <a:prstClr val="black">
                <a:alpha val="20000"/>
              </a:prstClr>
            </a:outerShdw>
          </a:effectLst>
        </c:spPr>
      </c:pivotFmt>
      <c:pivotFmt>
        <c:idx val="1834"/>
        <c:spPr>
          <a:solidFill>
            <a:schemeClr val="accent1"/>
          </a:solidFill>
          <a:ln>
            <a:noFill/>
          </a:ln>
          <a:effectLst>
            <a:outerShdw blurRad="254000" sx="102000" sy="102000" algn="ctr" rotWithShape="0">
              <a:prstClr val="black">
                <a:alpha val="20000"/>
              </a:prstClr>
            </a:outerShdw>
          </a:effectLst>
        </c:spPr>
      </c:pivotFmt>
      <c:pivotFmt>
        <c:idx val="1835"/>
        <c:spPr>
          <a:solidFill>
            <a:schemeClr val="accent1"/>
          </a:solidFill>
          <a:ln>
            <a:noFill/>
          </a:ln>
          <a:effectLst>
            <a:outerShdw blurRad="254000" sx="102000" sy="102000" algn="ctr" rotWithShape="0">
              <a:prstClr val="black">
                <a:alpha val="20000"/>
              </a:prstClr>
            </a:outerShdw>
          </a:effectLst>
        </c:spPr>
      </c:pivotFmt>
      <c:pivotFmt>
        <c:idx val="1836"/>
        <c:spPr>
          <a:solidFill>
            <a:schemeClr val="accent1"/>
          </a:solidFill>
          <a:ln>
            <a:noFill/>
          </a:ln>
          <a:effectLst>
            <a:outerShdw blurRad="254000" sx="102000" sy="102000" algn="ctr" rotWithShape="0">
              <a:prstClr val="black">
                <a:alpha val="20000"/>
              </a:prstClr>
            </a:outerShdw>
          </a:effectLst>
        </c:spPr>
      </c:pivotFmt>
      <c:pivotFmt>
        <c:idx val="1837"/>
        <c:spPr>
          <a:solidFill>
            <a:schemeClr val="accent1"/>
          </a:solidFill>
          <a:ln>
            <a:noFill/>
          </a:ln>
          <a:effectLst>
            <a:outerShdw blurRad="254000" sx="102000" sy="102000" algn="ctr" rotWithShape="0">
              <a:prstClr val="black">
                <a:alpha val="20000"/>
              </a:prstClr>
            </a:outerShdw>
          </a:effectLst>
        </c:spPr>
      </c:pivotFmt>
      <c:pivotFmt>
        <c:idx val="1838"/>
        <c:spPr>
          <a:solidFill>
            <a:schemeClr val="accent1"/>
          </a:solidFill>
          <a:ln>
            <a:noFill/>
          </a:ln>
          <a:effectLst>
            <a:outerShdw blurRad="254000" sx="102000" sy="102000" algn="ctr" rotWithShape="0">
              <a:prstClr val="black">
                <a:alpha val="20000"/>
              </a:prstClr>
            </a:outerShdw>
          </a:effectLst>
        </c:spPr>
      </c:pivotFmt>
      <c:pivotFmt>
        <c:idx val="1839"/>
        <c:spPr>
          <a:solidFill>
            <a:schemeClr val="accent1"/>
          </a:solidFill>
          <a:ln>
            <a:noFill/>
          </a:ln>
          <a:effectLst>
            <a:outerShdw blurRad="254000" sx="102000" sy="102000" algn="ctr" rotWithShape="0">
              <a:prstClr val="black">
                <a:alpha val="20000"/>
              </a:prstClr>
            </a:outerShdw>
          </a:effectLst>
        </c:spPr>
      </c:pivotFmt>
      <c:pivotFmt>
        <c:idx val="1840"/>
        <c:spPr>
          <a:solidFill>
            <a:schemeClr val="accent1"/>
          </a:solidFill>
          <a:ln>
            <a:noFill/>
          </a:ln>
          <a:effectLst>
            <a:outerShdw blurRad="254000" sx="102000" sy="102000" algn="ctr" rotWithShape="0">
              <a:prstClr val="black">
                <a:alpha val="20000"/>
              </a:prstClr>
            </a:outerShdw>
          </a:effectLst>
        </c:spPr>
      </c:pivotFmt>
      <c:pivotFmt>
        <c:idx val="1841"/>
        <c:spPr>
          <a:solidFill>
            <a:schemeClr val="accent1"/>
          </a:solidFill>
          <a:ln>
            <a:noFill/>
          </a:ln>
          <a:effectLst>
            <a:outerShdw blurRad="254000" sx="102000" sy="102000" algn="ctr" rotWithShape="0">
              <a:prstClr val="black">
                <a:alpha val="20000"/>
              </a:prstClr>
            </a:outerShdw>
          </a:effectLst>
        </c:spPr>
      </c:pivotFmt>
      <c:pivotFmt>
        <c:idx val="1842"/>
        <c:spPr>
          <a:solidFill>
            <a:schemeClr val="accent1"/>
          </a:solidFill>
          <a:ln>
            <a:noFill/>
          </a:ln>
          <a:effectLst>
            <a:outerShdw blurRad="254000" sx="102000" sy="102000" algn="ctr" rotWithShape="0">
              <a:prstClr val="black">
                <a:alpha val="20000"/>
              </a:prstClr>
            </a:outerShdw>
          </a:effectLst>
        </c:spPr>
      </c:pivotFmt>
      <c:pivotFmt>
        <c:idx val="1843"/>
        <c:spPr>
          <a:solidFill>
            <a:schemeClr val="accent1"/>
          </a:solidFill>
          <a:ln>
            <a:noFill/>
          </a:ln>
          <a:effectLst>
            <a:outerShdw blurRad="254000" sx="102000" sy="102000" algn="ctr" rotWithShape="0">
              <a:prstClr val="black">
                <a:alpha val="20000"/>
              </a:prstClr>
            </a:outerShdw>
          </a:effectLst>
        </c:spPr>
      </c:pivotFmt>
      <c:pivotFmt>
        <c:idx val="1844"/>
        <c:spPr>
          <a:solidFill>
            <a:schemeClr val="accent1"/>
          </a:solidFill>
          <a:ln>
            <a:noFill/>
          </a:ln>
          <a:effectLst>
            <a:outerShdw blurRad="254000" sx="102000" sy="102000" algn="ctr" rotWithShape="0">
              <a:prstClr val="black">
                <a:alpha val="20000"/>
              </a:prstClr>
            </a:outerShdw>
          </a:effectLst>
        </c:spPr>
      </c:pivotFmt>
      <c:pivotFmt>
        <c:idx val="1845"/>
        <c:spPr>
          <a:solidFill>
            <a:schemeClr val="accent1"/>
          </a:solidFill>
          <a:ln>
            <a:noFill/>
          </a:ln>
          <a:effectLst>
            <a:outerShdw blurRad="254000" sx="102000" sy="102000" algn="ctr" rotWithShape="0">
              <a:prstClr val="black">
                <a:alpha val="20000"/>
              </a:prstClr>
            </a:outerShdw>
          </a:effectLst>
        </c:spPr>
      </c:pivotFmt>
      <c:pivotFmt>
        <c:idx val="1846"/>
        <c:spPr>
          <a:solidFill>
            <a:schemeClr val="accent1"/>
          </a:solidFill>
          <a:ln>
            <a:noFill/>
          </a:ln>
          <a:effectLst>
            <a:outerShdw blurRad="254000" sx="102000" sy="102000" algn="ctr" rotWithShape="0">
              <a:prstClr val="black">
                <a:alpha val="20000"/>
              </a:prstClr>
            </a:outerShdw>
          </a:effectLst>
        </c:spPr>
      </c:pivotFmt>
      <c:pivotFmt>
        <c:idx val="1847"/>
        <c:spPr>
          <a:solidFill>
            <a:schemeClr val="accent1"/>
          </a:solidFill>
          <a:ln>
            <a:noFill/>
          </a:ln>
          <a:effectLst>
            <a:outerShdw blurRad="254000" sx="102000" sy="102000" algn="ctr" rotWithShape="0">
              <a:prstClr val="black">
                <a:alpha val="20000"/>
              </a:prstClr>
            </a:outerShdw>
          </a:effectLst>
        </c:spPr>
      </c:pivotFmt>
      <c:pivotFmt>
        <c:idx val="1848"/>
        <c:spPr>
          <a:solidFill>
            <a:schemeClr val="accent1"/>
          </a:solidFill>
          <a:ln>
            <a:noFill/>
          </a:ln>
          <a:effectLst>
            <a:outerShdw blurRad="254000" sx="102000" sy="102000" algn="ctr" rotWithShape="0">
              <a:prstClr val="black">
                <a:alpha val="20000"/>
              </a:prstClr>
            </a:outerShdw>
          </a:effectLst>
        </c:spPr>
      </c:pivotFmt>
      <c:pivotFmt>
        <c:idx val="1849"/>
        <c:spPr>
          <a:solidFill>
            <a:schemeClr val="accent1"/>
          </a:solidFill>
          <a:ln>
            <a:noFill/>
          </a:ln>
          <a:effectLst>
            <a:outerShdw blurRad="254000" sx="102000" sy="102000" algn="ctr" rotWithShape="0">
              <a:prstClr val="black">
                <a:alpha val="20000"/>
              </a:prstClr>
            </a:outerShdw>
          </a:effectLst>
        </c:spPr>
      </c:pivotFmt>
      <c:pivotFmt>
        <c:idx val="1850"/>
        <c:spPr>
          <a:solidFill>
            <a:schemeClr val="accent1"/>
          </a:solidFill>
          <a:ln>
            <a:noFill/>
          </a:ln>
          <a:effectLst>
            <a:outerShdw blurRad="254000" sx="102000" sy="102000" algn="ctr" rotWithShape="0">
              <a:prstClr val="black">
                <a:alpha val="20000"/>
              </a:prstClr>
            </a:outerShdw>
          </a:effectLst>
        </c:spPr>
      </c:pivotFmt>
      <c:pivotFmt>
        <c:idx val="1851"/>
        <c:spPr>
          <a:solidFill>
            <a:schemeClr val="accent1"/>
          </a:solidFill>
          <a:ln>
            <a:noFill/>
          </a:ln>
          <a:effectLst>
            <a:outerShdw blurRad="254000" sx="102000" sy="102000" algn="ctr" rotWithShape="0">
              <a:prstClr val="black">
                <a:alpha val="20000"/>
              </a:prstClr>
            </a:outerShdw>
          </a:effectLst>
        </c:spPr>
      </c:pivotFmt>
      <c:pivotFmt>
        <c:idx val="1852"/>
        <c:spPr>
          <a:solidFill>
            <a:schemeClr val="accent1"/>
          </a:solidFill>
          <a:ln>
            <a:noFill/>
          </a:ln>
          <a:effectLst>
            <a:outerShdw blurRad="254000" sx="102000" sy="102000" algn="ctr" rotWithShape="0">
              <a:prstClr val="black">
                <a:alpha val="20000"/>
              </a:prstClr>
            </a:outerShdw>
          </a:effectLst>
        </c:spPr>
      </c:pivotFmt>
      <c:pivotFmt>
        <c:idx val="1853"/>
        <c:spPr>
          <a:solidFill>
            <a:schemeClr val="accent1"/>
          </a:solidFill>
          <a:ln>
            <a:noFill/>
          </a:ln>
          <a:effectLst>
            <a:outerShdw blurRad="254000" sx="102000" sy="102000" algn="ctr" rotWithShape="0">
              <a:prstClr val="black">
                <a:alpha val="20000"/>
              </a:prstClr>
            </a:outerShdw>
          </a:effectLst>
        </c:spPr>
      </c:pivotFmt>
      <c:pivotFmt>
        <c:idx val="1854"/>
        <c:spPr>
          <a:solidFill>
            <a:schemeClr val="accent1"/>
          </a:solidFill>
          <a:ln>
            <a:noFill/>
          </a:ln>
          <a:effectLst>
            <a:outerShdw blurRad="254000" sx="102000" sy="102000" algn="ctr" rotWithShape="0">
              <a:prstClr val="black">
                <a:alpha val="20000"/>
              </a:prstClr>
            </a:outerShdw>
          </a:effectLst>
        </c:spPr>
      </c:pivotFmt>
      <c:pivotFmt>
        <c:idx val="1855"/>
        <c:spPr>
          <a:solidFill>
            <a:schemeClr val="accent1"/>
          </a:solidFill>
          <a:ln>
            <a:noFill/>
          </a:ln>
          <a:effectLst>
            <a:outerShdw blurRad="254000" sx="102000" sy="102000" algn="ctr" rotWithShape="0">
              <a:prstClr val="black">
                <a:alpha val="20000"/>
              </a:prstClr>
            </a:outerShdw>
          </a:effectLst>
        </c:spPr>
      </c:pivotFmt>
      <c:pivotFmt>
        <c:idx val="1856"/>
        <c:spPr>
          <a:solidFill>
            <a:schemeClr val="accent1"/>
          </a:solidFill>
          <a:ln>
            <a:noFill/>
          </a:ln>
          <a:effectLst>
            <a:outerShdw blurRad="254000" sx="102000" sy="102000" algn="ctr" rotWithShape="0">
              <a:prstClr val="black">
                <a:alpha val="20000"/>
              </a:prstClr>
            </a:outerShdw>
          </a:effectLst>
        </c:spPr>
      </c:pivotFmt>
      <c:pivotFmt>
        <c:idx val="1857"/>
        <c:spPr>
          <a:solidFill>
            <a:schemeClr val="accent1"/>
          </a:solidFill>
          <a:ln>
            <a:noFill/>
          </a:ln>
          <a:effectLst>
            <a:outerShdw blurRad="254000" sx="102000" sy="102000" algn="ctr" rotWithShape="0">
              <a:prstClr val="black">
                <a:alpha val="20000"/>
              </a:prstClr>
            </a:outerShdw>
          </a:effectLst>
        </c:spPr>
      </c:pivotFmt>
      <c:pivotFmt>
        <c:idx val="1858"/>
        <c:spPr>
          <a:solidFill>
            <a:schemeClr val="accent1"/>
          </a:solidFill>
          <a:ln>
            <a:noFill/>
          </a:ln>
          <a:effectLst>
            <a:outerShdw blurRad="254000" sx="102000" sy="102000" algn="ctr" rotWithShape="0">
              <a:prstClr val="black">
                <a:alpha val="20000"/>
              </a:prstClr>
            </a:outerShdw>
          </a:effectLst>
        </c:spPr>
      </c:pivotFmt>
      <c:pivotFmt>
        <c:idx val="1859"/>
        <c:spPr>
          <a:solidFill>
            <a:schemeClr val="accent1"/>
          </a:solidFill>
          <a:ln>
            <a:noFill/>
          </a:ln>
          <a:effectLst>
            <a:outerShdw blurRad="254000" sx="102000" sy="102000" algn="ctr" rotWithShape="0">
              <a:prstClr val="black">
                <a:alpha val="20000"/>
              </a:prstClr>
            </a:outerShdw>
          </a:effectLst>
        </c:spPr>
      </c:pivotFmt>
      <c:pivotFmt>
        <c:idx val="1860"/>
        <c:spPr>
          <a:solidFill>
            <a:schemeClr val="accent1"/>
          </a:solidFill>
          <a:ln>
            <a:noFill/>
          </a:ln>
          <a:effectLst>
            <a:outerShdw blurRad="254000" sx="102000" sy="102000" algn="ctr" rotWithShape="0">
              <a:prstClr val="black">
                <a:alpha val="20000"/>
              </a:prstClr>
            </a:outerShdw>
          </a:effectLst>
        </c:spPr>
      </c:pivotFmt>
      <c:pivotFmt>
        <c:idx val="1861"/>
        <c:spPr>
          <a:solidFill>
            <a:schemeClr val="accent1"/>
          </a:solidFill>
          <a:ln>
            <a:noFill/>
          </a:ln>
          <a:effectLst>
            <a:outerShdw blurRad="254000" sx="102000" sy="102000" algn="ctr" rotWithShape="0">
              <a:prstClr val="black">
                <a:alpha val="20000"/>
              </a:prstClr>
            </a:outerShdw>
          </a:effectLst>
        </c:spPr>
      </c:pivotFmt>
      <c:pivotFmt>
        <c:idx val="1862"/>
        <c:spPr>
          <a:solidFill>
            <a:schemeClr val="accent1"/>
          </a:solidFill>
          <a:ln>
            <a:noFill/>
          </a:ln>
          <a:effectLst>
            <a:outerShdw blurRad="254000" sx="102000" sy="102000" algn="ctr" rotWithShape="0">
              <a:prstClr val="black">
                <a:alpha val="20000"/>
              </a:prstClr>
            </a:outerShdw>
          </a:effectLst>
        </c:spPr>
      </c:pivotFmt>
      <c:pivotFmt>
        <c:idx val="1863"/>
        <c:spPr>
          <a:solidFill>
            <a:schemeClr val="accent1"/>
          </a:solidFill>
          <a:ln>
            <a:noFill/>
          </a:ln>
          <a:effectLst>
            <a:outerShdw blurRad="254000" sx="102000" sy="102000" algn="ctr" rotWithShape="0">
              <a:prstClr val="black">
                <a:alpha val="20000"/>
              </a:prstClr>
            </a:outerShdw>
          </a:effectLst>
        </c:spPr>
      </c:pivotFmt>
      <c:pivotFmt>
        <c:idx val="1864"/>
        <c:spPr>
          <a:solidFill>
            <a:schemeClr val="accent1"/>
          </a:solidFill>
          <a:ln>
            <a:noFill/>
          </a:ln>
          <a:effectLst>
            <a:outerShdw blurRad="254000" sx="102000" sy="102000" algn="ctr" rotWithShape="0">
              <a:prstClr val="black">
                <a:alpha val="20000"/>
              </a:prstClr>
            </a:outerShdw>
          </a:effectLst>
        </c:spPr>
      </c:pivotFmt>
      <c:pivotFmt>
        <c:idx val="1865"/>
        <c:spPr>
          <a:solidFill>
            <a:schemeClr val="accent1"/>
          </a:solidFill>
          <a:ln>
            <a:noFill/>
          </a:ln>
          <a:effectLst>
            <a:outerShdw blurRad="254000" sx="102000" sy="102000" algn="ctr" rotWithShape="0">
              <a:prstClr val="black">
                <a:alpha val="20000"/>
              </a:prstClr>
            </a:outerShdw>
          </a:effectLst>
        </c:spPr>
      </c:pivotFmt>
      <c:pivotFmt>
        <c:idx val="1866"/>
        <c:spPr>
          <a:solidFill>
            <a:schemeClr val="accent1"/>
          </a:solidFill>
          <a:ln>
            <a:noFill/>
          </a:ln>
          <a:effectLst>
            <a:outerShdw blurRad="254000" sx="102000" sy="102000" algn="ctr" rotWithShape="0">
              <a:prstClr val="black">
                <a:alpha val="20000"/>
              </a:prstClr>
            </a:outerShdw>
          </a:effectLst>
        </c:spPr>
      </c:pivotFmt>
      <c:pivotFmt>
        <c:idx val="1867"/>
        <c:spPr>
          <a:solidFill>
            <a:schemeClr val="accent1"/>
          </a:solidFill>
          <a:ln>
            <a:noFill/>
          </a:ln>
          <a:effectLst>
            <a:outerShdw blurRad="254000" sx="102000" sy="102000" algn="ctr" rotWithShape="0">
              <a:prstClr val="black">
                <a:alpha val="20000"/>
              </a:prstClr>
            </a:outerShdw>
          </a:effectLst>
        </c:spPr>
      </c:pivotFmt>
      <c:pivotFmt>
        <c:idx val="1868"/>
        <c:spPr>
          <a:solidFill>
            <a:schemeClr val="accent1"/>
          </a:solidFill>
          <a:ln>
            <a:noFill/>
          </a:ln>
          <a:effectLst>
            <a:outerShdw blurRad="254000" sx="102000" sy="102000" algn="ctr" rotWithShape="0">
              <a:prstClr val="black">
                <a:alpha val="20000"/>
              </a:prstClr>
            </a:outerShdw>
          </a:effectLst>
        </c:spPr>
      </c:pivotFmt>
      <c:pivotFmt>
        <c:idx val="1869"/>
        <c:spPr>
          <a:solidFill>
            <a:schemeClr val="accent1"/>
          </a:solidFill>
          <a:ln>
            <a:noFill/>
          </a:ln>
          <a:effectLst>
            <a:outerShdw blurRad="254000" sx="102000" sy="102000" algn="ctr" rotWithShape="0">
              <a:prstClr val="black">
                <a:alpha val="20000"/>
              </a:prstClr>
            </a:outerShdw>
          </a:effectLst>
        </c:spPr>
      </c:pivotFmt>
      <c:pivotFmt>
        <c:idx val="1870"/>
        <c:spPr>
          <a:solidFill>
            <a:schemeClr val="accent1"/>
          </a:solidFill>
          <a:ln>
            <a:noFill/>
          </a:ln>
          <a:effectLst>
            <a:outerShdw blurRad="254000" sx="102000" sy="102000" algn="ctr" rotWithShape="0">
              <a:prstClr val="black">
                <a:alpha val="20000"/>
              </a:prstClr>
            </a:outerShdw>
          </a:effectLst>
        </c:spPr>
      </c:pivotFmt>
      <c:pivotFmt>
        <c:idx val="1871"/>
        <c:spPr>
          <a:solidFill>
            <a:schemeClr val="accent1"/>
          </a:solidFill>
          <a:ln>
            <a:noFill/>
          </a:ln>
          <a:effectLst>
            <a:outerShdw blurRad="254000" sx="102000" sy="102000" algn="ctr" rotWithShape="0">
              <a:prstClr val="black">
                <a:alpha val="20000"/>
              </a:prstClr>
            </a:outerShdw>
          </a:effectLst>
        </c:spPr>
      </c:pivotFmt>
      <c:pivotFmt>
        <c:idx val="1872"/>
        <c:spPr>
          <a:solidFill>
            <a:schemeClr val="accent1"/>
          </a:solidFill>
          <a:ln>
            <a:noFill/>
          </a:ln>
          <a:effectLst>
            <a:outerShdw blurRad="254000" sx="102000" sy="102000" algn="ctr" rotWithShape="0">
              <a:prstClr val="black">
                <a:alpha val="20000"/>
              </a:prstClr>
            </a:outerShdw>
          </a:effectLst>
        </c:spPr>
      </c:pivotFmt>
      <c:pivotFmt>
        <c:idx val="1873"/>
        <c:spPr>
          <a:solidFill>
            <a:schemeClr val="accent1"/>
          </a:solidFill>
          <a:ln>
            <a:noFill/>
          </a:ln>
          <a:effectLst>
            <a:outerShdw blurRad="254000" sx="102000" sy="102000" algn="ctr" rotWithShape="0">
              <a:prstClr val="black">
                <a:alpha val="20000"/>
              </a:prstClr>
            </a:outerShdw>
          </a:effectLst>
        </c:spPr>
      </c:pivotFmt>
      <c:pivotFmt>
        <c:idx val="1874"/>
        <c:spPr>
          <a:solidFill>
            <a:schemeClr val="accent1"/>
          </a:solidFill>
          <a:ln>
            <a:noFill/>
          </a:ln>
          <a:effectLst>
            <a:outerShdw blurRad="254000" sx="102000" sy="102000" algn="ctr" rotWithShape="0">
              <a:prstClr val="black">
                <a:alpha val="20000"/>
              </a:prstClr>
            </a:outerShdw>
          </a:effectLst>
        </c:spPr>
      </c:pivotFmt>
      <c:pivotFmt>
        <c:idx val="1875"/>
        <c:spPr>
          <a:solidFill>
            <a:schemeClr val="accent1"/>
          </a:solidFill>
          <a:ln>
            <a:noFill/>
          </a:ln>
          <a:effectLst>
            <a:outerShdw blurRad="254000" sx="102000" sy="102000" algn="ctr" rotWithShape="0">
              <a:prstClr val="black">
                <a:alpha val="20000"/>
              </a:prstClr>
            </a:outerShdw>
          </a:effectLst>
        </c:spPr>
      </c:pivotFmt>
      <c:pivotFmt>
        <c:idx val="1876"/>
        <c:spPr>
          <a:solidFill>
            <a:schemeClr val="accent1"/>
          </a:solidFill>
          <a:ln>
            <a:noFill/>
          </a:ln>
          <a:effectLst>
            <a:outerShdw blurRad="254000" sx="102000" sy="102000" algn="ctr" rotWithShape="0">
              <a:prstClr val="black">
                <a:alpha val="20000"/>
              </a:prstClr>
            </a:outerShdw>
          </a:effectLst>
        </c:spPr>
      </c:pivotFmt>
      <c:pivotFmt>
        <c:idx val="1877"/>
        <c:spPr>
          <a:solidFill>
            <a:schemeClr val="accent1"/>
          </a:solidFill>
          <a:ln>
            <a:noFill/>
          </a:ln>
          <a:effectLst>
            <a:outerShdw blurRad="254000" sx="102000" sy="102000" algn="ctr" rotWithShape="0">
              <a:prstClr val="black">
                <a:alpha val="20000"/>
              </a:prstClr>
            </a:outerShdw>
          </a:effectLst>
        </c:spPr>
      </c:pivotFmt>
      <c:pivotFmt>
        <c:idx val="1878"/>
        <c:spPr>
          <a:solidFill>
            <a:schemeClr val="accent1"/>
          </a:solidFill>
          <a:ln>
            <a:noFill/>
          </a:ln>
          <a:effectLst>
            <a:outerShdw blurRad="254000" sx="102000" sy="102000" algn="ctr" rotWithShape="0">
              <a:prstClr val="black">
                <a:alpha val="20000"/>
              </a:prstClr>
            </a:outerShdw>
          </a:effectLst>
        </c:spPr>
      </c:pivotFmt>
      <c:pivotFmt>
        <c:idx val="1879"/>
        <c:spPr>
          <a:solidFill>
            <a:schemeClr val="accent1"/>
          </a:solidFill>
          <a:ln>
            <a:noFill/>
          </a:ln>
          <a:effectLst>
            <a:outerShdw blurRad="254000" sx="102000" sy="102000" algn="ctr" rotWithShape="0">
              <a:prstClr val="black">
                <a:alpha val="20000"/>
              </a:prstClr>
            </a:outerShdw>
          </a:effectLst>
        </c:spPr>
      </c:pivotFmt>
      <c:pivotFmt>
        <c:idx val="1880"/>
        <c:spPr>
          <a:solidFill>
            <a:schemeClr val="accent1"/>
          </a:solidFill>
          <a:ln>
            <a:noFill/>
          </a:ln>
          <a:effectLst>
            <a:outerShdw blurRad="254000" sx="102000" sy="102000" algn="ctr" rotWithShape="0">
              <a:prstClr val="black">
                <a:alpha val="20000"/>
              </a:prstClr>
            </a:outerShdw>
          </a:effectLst>
        </c:spPr>
      </c:pivotFmt>
      <c:pivotFmt>
        <c:idx val="1881"/>
        <c:spPr>
          <a:solidFill>
            <a:schemeClr val="accent1"/>
          </a:solidFill>
          <a:ln>
            <a:noFill/>
          </a:ln>
          <a:effectLst>
            <a:outerShdw blurRad="254000" sx="102000" sy="102000" algn="ctr" rotWithShape="0">
              <a:prstClr val="black">
                <a:alpha val="20000"/>
              </a:prstClr>
            </a:outerShdw>
          </a:effectLst>
        </c:spPr>
      </c:pivotFmt>
      <c:pivotFmt>
        <c:idx val="1882"/>
        <c:spPr>
          <a:solidFill>
            <a:schemeClr val="accent1"/>
          </a:solidFill>
          <a:ln>
            <a:noFill/>
          </a:ln>
          <a:effectLst>
            <a:outerShdw blurRad="254000" sx="102000" sy="102000" algn="ctr" rotWithShape="0">
              <a:prstClr val="black">
                <a:alpha val="20000"/>
              </a:prstClr>
            </a:outerShdw>
          </a:effectLst>
        </c:spPr>
      </c:pivotFmt>
      <c:pivotFmt>
        <c:idx val="1883"/>
        <c:spPr>
          <a:solidFill>
            <a:schemeClr val="accent1"/>
          </a:solidFill>
          <a:ln>
            <a:noFill/>
          </a:ln>
          <a:effectLst>
            <a:outerShdw blurRad="254000" sx="102000" sy="102000" algn="ctr" rotWithShape="0">
              <a:prstClr val="black">
                <a:alpha val="20000"/>
              </a:prstClr>
            </a:outerShdw>
          </a:effectLst>
        </c:spPr>
      </c:pivotFmt>
      <c:pivotFmt>
        <c:idx val="1884"/>
        <c:spPr>
          <a:solidFill>
            <a:schemeClr val="accent1"/>
          </a:solidFill>
          <a:ln>
            <a:noFill/>
          </a:ln>
          <a:effectLst>
            <a:outerShdw blurRad="254000" sx="102000" sy="102000" algn="ctr" rotWithShape="0">
              <a:prstClr val="black">
                <a:alpha val="20000"/>
              </a:prstClr>
            </a:outerShdw>
          </a:effectLst>
        </c:spPr>
      </c:pivotFmt>
      <c:pivotFmt>
        <c:idx val="1885"/>
        <c:spPr>
          <a:solidFill>
            <a:schemeClr val="accent1"/>
          </a:solidFill>
          <a:ln>
            <a:noFill/>
          </a:ln>
          <a:effectLst>
            <a:outerShdw blurRad="254000" sx="102000" sy="102000" algn="ctr" rotWithShape="0">
              <a:prstClr val="black">
                <a:alpha val="20000"/>
              </a:prstClr>
            </a:outerShdw>
          </a:effectLst>
        </c:spPr>
      </c:pivotFmt>
      <c:pivotFmt>
        <c:idx val="1886"/>
        <c:spPr>
          <a:solidFill>
            <a:schemeClr val="accent1"/>
          </a:solidFill>
          <a:ln>
            <a:noFill/>
          </a:ln>
          <a:effectLst>
            <a:outerShdw blurRad="254000" sx="102000" sy="102000" algn="ctr" rotWithShape="0">
              <a:prstClr val="black">
                <a:alpha val="20000"/>
              </a:prstClr>
            </a:outerShdw>
          </a:effectLst>
        </c:spPr>
      </c:pivotFmt>
      <c:pivotFmt>
        <c:idx val="1887"/>
        <c:spPr>
          <a:solidFill>
            <a:schemeClr val="accent1"/>
          </a:solidFill>
          <a:ln>
            <a:noFill/>
          </a:ln>
          <a:effectLst>
            <a:outerShdw blurRad="254000" sx="102000" sy="102000" algn="ctr" rotWithShape="0">
              <a:prstClr val="black">
                <a:alpha val="20000"/>
              </a:prstClr>
            </a:outerShdw>
          </a:effectLst>
        </c:spPr>
      </c:pivotFmt>
      <c:pivotFmt>
        <c:idx val="1888"/>
        <c:spPr>
          <a:solidFill>
            <a:schemeClr val="accent1"/>
          </a:solidFill>
          <a:ln>
            <a:noFill/>
          </a:ln>
          <a:effectLst>
            <a:outerShdw blurRad="254000" sx="102000" sy="102000" algn="ctr" rotWithShape="0">
              <a:prstClr val="black">
                <a:alpha val="20000"/>
              </a:prstClr>
            </a:outerShdw>
          </a:effectLst>
        </c:spPr>
      </c:pivotFmt>
      <c:pivotFmt>
        <c:idx val="1889"/>
        <c:spPr>
          <a:solidFill>
            <a:schemeClr val="accent1"/>
          </a:solidFill>
          <a:ln>
            <a:noFill/>
          </a:ln>
          <a:effectLst>
            <a:outerShdw blurRad="254000" sx="102000" sy="102000" algn="ctr" rotWithShape="0">
              <a:prstClr val="black">
                <a:alpha val="20000"/>
              </a:prstClr>
            </a:outerShdw>
          </a:effectLst>
        </c:spPr>
      </c:pivotFmt>
      <c:pivotFmt>
        <c:idx val="1890"/>
        <c:spPr>
          <a:solidFill>
            <a:schemeClr val="accent1"/>
          </a:solidFill>
          <a:ln>
            <a:noFill/>
          </a:ln>
          <a:effectLst>
            <a:outerShdw blurRad="254000" sx="102000" sy="102000" algn="ctr" rotWithShape="0">
              <a:prstClr val="black">
                <a:alpha val="20000"/>
              </a:prstClr>
            </a:outerShdw>
          </a:effectLst>
        </c:spPr>
      </c:pivotFmt>
      <c:pivotFmt>
        <c:idx val="1891"/>
        <c:spPr>
          <a:solidFill>
            <a:schemeClr val="accent1"/>
          </a:solidFill>
          <a:ln>
            <a:noFill/>
          </a:ln>
          <a:effectLst>
            <a:outerShdw blurRad="254000" sx="102000" sy="102000" algn="ctr" rotWithShape="0">
              <a:prstClr val="black">
                <a:alpha val="20000"/>
              </a:prstClr>
            </a:outerShdw>
          </a:effectLst>
        </c:spPr>
      </c:pivotFmt>
      <c:pivotFmt>
        <c:idx val="1892"/>
        <c:spPr>
          <a:solidFill>
            <a:schemeClr val="accent1"/>
          </a:solidFill>
          <a:ln>
            <a:noFill/>
          </a:ln>
          <a:effectLst>
            <a:outerShdw blurRad="254000" sx="102000" sy="102000" algn="ctr" rotWithShape="0">
              <a:prstClr val="black">
                <a:alpha val="20000"/>
              </a:prstClr>
            </a:outerShdw>
          </a:effectLst>
        </c:spPr>
      </c:pivotFmt>
      <c:pivotFmt>
        <c:idx val="1893"/>
        <c:spPr>
          <a:solidFill>
            <a:schemeClr val="accent1"/>
          </a:solidFill>
          <a:ln>
            <a:noFill/>
          </a:ln>
          <a:effectLst>
            <a:outerShdw blurRad="254000" sx="102000" sy="102000" algn="ctr" rotWithShape="0">
              <a:prstClr val="black">
                <a:alpha val="20000"/>
              </a:prstClr>
            </a:outerShdw>
          </a:effectLst>
        </c:spPr>
      </c:pivotFmt>
      <c:pivotFmt>
        <c:idx val="1894"/>
        <c:spPr>
          <a:solidFill>
            <a:schemeClr val="accent1"/>
          </a:solidFill>
          <a:ln>
            <a:noFill/>
          </a:ln>
          <a:effectLst>
            <a:outerShdw blurRad="254000" sx="102000" sy="102000" algn="ctr" rotWithShape="0">
              <a:prstClr val="black">
                <a:alpha val="20000"/>
              </a:prstClr>
            </a:outerShdw>
          </a:effectLst>
        </c:spPr>
      </c:pivotFmt>
      <c:pivotFmt>
        <c:idx val="1895"/>
        <c:spPr>
          <a:solidFill>
            <a:schemeClr val="accent1"/>
          </a:solidFill>
          <a:ln>
            <a:noFill/>
          </a:ln>
          <a:effectLst>
            <a:outerShdw blurRad="254000" sx="102000" sy="102000" algn="ctr" rotWithShape="0">
              <a:prstClr val="black">
                <a:alpha val="20000"/>
              </a:prstClr>
            </a:outerShdw>
          </a:effectLst>
        </c:spPr>
      </c:pivotFmt>
      <c:pivotFmt>
        <c:idx val="1896"/>
        <c:spPr>
          <a:solidFill>
            <a:schemeClr val="accent1"/>
          </a:solidFill>
          <a:ln>
            <a:noFill/>
          </a:ln>
          <a:effectLst>
            <a:outerShdw blurRad="254000" sx="102000" sy="102000" algn="ctr" rotWithShape="0">
              <a:prstClr val="black">
                <a:alpha val="20000"/>
              </a:prstClr>
            </a:outerShdw>
          </a:effectLst>
        </c:spPr>
      </c:pivotFmt>
      <c:pivotFmt>
        <c:idx val="1897"/>
        <c:spPr>
          <a:solidFill>
            <a:schemeClr val="accent1"/>
          </a:solidFill>
          <a:ln>
            <a:noFill/>
          </a:ln>
          <a:effectLst>
            <a:outerShdw blurRad="254000" sx="102000" sy="102000" algn="ctr" rotWithShape="0">
              <a:prstClr val="black">
                <a:alpha val="20000"/>
              </a:prstClr>
            </a:outerShdw>
          </a:effectLst>
        </c:spPr>
      </c:pivotFmt>
      <c:pivotFmt>
        <c:idx val="1898"/>
        <c:spPr>
          <a:solidFill>
            <a:schemeClr val="accent1"/>
          </a:solidFill>
          <a:ln>
            <a:noFill/>
          </a:ln>
          <a:effectLst>
            <a:outerShdw blurRad="254000" sx="102000" sy="102000" algn="ctr" rotWithShape="0">
              <a:prstClr val="black">
                <a:alpha val="20000"/>
              </a:prstClr>
            </a:outerShdw>
          </a:effectLst>
        </c:spPr>
      </c:pivotFmt>
      <c:pivotFmt>
        <c:idx val="1899"/>
        <c:spPr>
          <a:solidFill>
            <a:schemeClr val="accent1"/>
          </a:solidFill>
          <a:ln>
            <a:noFill/>
          </a:ln>
          <a:effectLst>
            <a:outerShdw blurRad="254000" sx="102000" sy="102000" algn="ctr" rotWithShape="0">
              <a:prstClr val="black">
                <a:alpha val="20000"/>
              </a:prstClr>
            </a:outerShdw>
          </a:effectLst>
        </c:spPr>
      </c:pivotFmt>
      <c:pivotFmt>
        <c:idx val="1900"/>
        <c:spPr>
          <a:solidFill>
            <a:schemeClr val="accent1"/>
          </a:solidFill>
          <a:ln>
            <a:noFill/>
          </a:ln>
          <a:effectLst>
            <a:outerShdw blurRad="254000" sx="102000" sy="102000" algn="ctr" rotWithShape="0">
              <a:prstClr val="black">
                <a:alpha val="20000"/>
              </a:prstClr>
            </a:outerShdw>
          </a:effectLst>
        </c:spPr>
      </c:pivotFmt>
      <c:pivotFmt>
        <c:idx val="1901"/>
        <c:spPr>
          <a:solidFill>
            <a:schemeClr val="accent1"/>
          </a:solidFill>
          <a:ln>
            <a:noFill/>
          </a:ln>
          <a:effectLst>
            <a:outerShdw blurRad="254000" sx="102000" sy="102000" algn="ctr" rotWithShape="0">
              <a:prstClr val="black">
                <a:alpha val="20000"/>
              </a:prstClr>
            </a:outerShdw>
          </a:effectLst>
        </c:spPr>
      </c:pivotFmt>
      <c:pivotFmt>
        <c:idx val="1902"/>
        <c:spPr>
          <a:solidFill>
            <a:schemeClr val="accent1"/>
          </a:solidFill>
          <a:ln>
            <a:noFill/>
          </a:ln>
          <a:effectLst>
            <a:outerShdw blurRad="254000" sx="102000" sy="102000" algn="ctr" rotWithShape="0">
              <a:prstClr val="black">
                <a:alpha val="20000"/>
              </a:prstClr>
            </a:outerShdw>
          </a:effectLst>
        </c:spPr>
      </c:pivotFmt>
      <c:pivotFmt>
        <c:idx val="1903"/>
        <c:spPr>
          <a:solidFill>
            <a:schemeClr val="accent1"/>
          </a:solidFill>
          <a:ln>
            <a:noFill/>
          </a:ln>
          <a:effectLst>
            <a:outerShdw blurRad="254000" sx="102000" sy="102000" algn="ctr" rotWithShape="0">
              <a:prstClr val="black">
                <a:alpha val="20000"/>
              </a:prstClr>
            </a:outerShdw>
          </a:effectLst>
        </c:spPr>
      </c:pivotFmt>
      <c:pivotFmt>
        <c:idx val="1904"/>
        <c:spPr>
          <a:solidFill>
            <a:schemeClr val="accent1"/>
          </a:solidFill>
          <a:ln>
            <a:noFill/>
          </a:ln>
          <a:effectLst>
            <a:outerShdw blurRad="254000" sx="102000" sy="102000" algn="ctr" rotWithShape="0">
              <a:prstClr val="black">
                <a:alpha val="20000"/>
              </a:prstClr>
            </a:outerShdw>
          </a:effectLst>
        </c:spPr>
      </c:pivotFmt>
      <c:pivotFmt>
        <c:idx val="1905"/>
        <c:spPr>
          <a:solidFill>
            <a:schemeClr val="accent1"/>
          </a:solidFill>
          <a:ln>
            <a:noFill/>
          </a:ln>
          <a:effectLst>
            <a:outerShdw blurRad="254000" sx="102000" sy="102000" algn="ctr" rotWithShape="0">
              <a:prstClr val="black">
                <a:alpha val="20000"/>
              </a:prstClr>
            </a:outerShdw>
          </a:effectLst>
        </c:spPr>
      </c:pivotFmt>
      <c:pivotFmt>
        <c:idx val="1906"/>
        <c:spPr>
          <a:solidFill>
            <a:schemeClr val="accent1"/>
          </a:solidFill>
          <a:ln>
            <a:noFill/>
          </a:ln>
          <a:effectLst>
            <a:outerShdw blurRad="254000" sx="102000" sy="102000" algn="ctr" rotWithShape="0">
              <a:prstClr val="black">
                <a:alpha val="20000"/>
              </a:prstClr>
            </a:outerShdw>
          </a:effectLst>
        </c:spPr>
      </c:pivotFmt>
      <c:pivotFmt>
        <c:idx val="1907"/>
        <c:spPr>
          <a:solidFill>
            <a:schemeClr val="accent1"/>
          </a:solidFill>
          <a:ln>
            <a:noFill/>
          </a:ln>
          <a:effectLst>
            <a:outerShdw blurRad="254000" sx="102000" sy="102000" algn="ctr" rotWithShape="0">
              <a:prstClr val="black">
                <a:alpha val="20000"/>
              </a:prstClr>
            </a:outerShdw>
          </a:effectLst>
        </c:spPr>
      </c:pivotFmt>
      <c:pivotFmt>
        <c:idx val="1908"/>
        <c:spPr>
          <a:solidFill>
            <a:schemeClr val="accent1"/>
          </a:solidFill>
          <a:ln>
            <a:noFill/>
          </a:ln>
          <a:effectLst>
            <a:outerShdw blurRad="254000" sx="102000" sy="102000" algn="ctr" rotWithShape="0">
              <a:prstClr val="black">
                <a:alpha val="20000"/>
              </a:prstClr>
            </a:outerShdw>
          </a:effectLst>
        </c:spPr>
      </c:pivotFmt>
      <c:pivotFmt>
        <c:idx val="1909"/>
        <c:spPr>
          <a:solidFill>
            <a:schemeClr val="accent1"/>
          </a:solidFill>
          <a:ln>
            <a:noFill/>
          </a:ln>
          <a:effectLst>
            <a:outerShdw blurRad="254000" sx="102000" sy="102000" algn="ctr" rotWithShape="0">
              <a:prstClr val="black">
                <a:alpha val="20000"/>
              </a:prstClr>
            </a:outerShdw>
          </a:effectLst>
        </c:spPr>
      </c:pivotFmt>
      <c:pivotFmt>
        <c:idx val="1910"/>
        <c:spPr>
          <a:solidFill>
            <a:schemeClr val="accent1"/>
          </a:solidFill>
          <a:ln>
            <a:noFill/>
          </a:ln>
          <a:effectLst>
            <a:outerShdw blurRad="254000" sx="102000" sy="102000" algn="ctr" rotWithShape="0">
              <a:prstClr val="black">
                <a:alpha val="20000"/>
              </a:prstClr>
            </a:outerShdw>
          </a:effectLst>
        </c:spPr>
      </c:pivotFmt>
      <c:pivotFmt>
        <c:idx val="1911"/>
        <c:spPr>
          <a:solidFill>
            <a:schemeClr val="accent1"/>
          </a:solidFill>
          <a:ln>
            <a:noFill/>
          </a:ln>
          <a:effectLst>
            <a:outerShdw blurRad="254000" sx="102000" sy="102000" algn="ctr" rotWithShape="0">
              <a:prstClr val="black">
                <a:alpha val="20000"/>
              </a:prstClr>
            </a:outerShdw>
          </a:effectLst>
        </c:spPr>
      </c:pivotFmt>
      <c:pivotFmt>
        <c:idx val="1912"/>
        <c:spPr>
          <a:solidFill>
            <a:schemeClr val="accent1"/>
          </a:solidFill>
          <a:ln>
            <a:noFill/>
          </a:ln>
          <a:effectLst>
            <a:outerShdw blurRad="254000" sx="102000" sy="102000" algn="ctr" rotWithShape="0">
              <a:prstClr val="black">
                <a:alpha val="20000"/>
              </a:prstClr>
            </a:outerShdw>
          </a:effectLst>
        </c:spPr>
      </c:pivotFmt>
      <c:pivotFmt>
        <c:idx val="1913"/>
        <c:spPr>
          <a:solidFill>
            <a:schemeClr val="accent1"/>
          </a:solidFill>
          <a:ln>
            <a:noFill/>
          </a:ln>
          <a:effectLst>
            <a:outerShdw blurRad="254000" sx="102000" sy="102000" algn="ctr" rotWithShape="0">
              <a:prstClr val="black">
                <a:alpha val="20000"/>
              </a:prstClr>
            </a:outerShdw>
          </a:effectLst>
        </c:spPr>
      </c:pivotFmt>
      <c:pivotFmt>
        <c:idx val="1914"/>
        <c:spPr>
          <a:solidFill>
            <a:schemeClr val="accent1"/>
          </a:solidFill>
          <a:ln>
            <a:noFill/>
          </a:ln>
          <a:effectLst>
            <a:outerShdw blurRad="254000" sx="102000" sy="102000" algn="ctr" rotWithShape="0">
              <a:prstClr val="black">
                <a:alpha val="20000"/>
              </a:prstClr>
            </a:outerShdw>
          </a:effectLst>
        </c:spPr>
      </c:pivotFmt>
      <c:pivotFmt>
        <c:idx val="1915"/>
        <c:spPr>
          <a:solidFill>
            <a:schemeClr val="accent1"/>
          </a:solidFill>
          <a:ln>
            <a:noFill/>
          </a:ln>
          <a:effectLst>
            <a:outerShdw blurRad="254000" sx="102000" sy="102000" algn="ctr" rotWithShape="0">
              <a:prstClr val="black">
                <a:alpha val="20000"/>
              </a:prstClr>
            </a:outerShdw>
          </a:effectLst>
        </c:spPr>
      </c:pivotFmt>
      <c:pivotFmt>
        <c:idx val="1916"/>
        <c:spPr>
          <a:solidFill>
            <a:schemeClr val="accent1"/>
          </a:solidFill>
          <a:ln>
            <a:noFill/>
          </a:ln>
          <a:effectLst>
            <a:outerShdw blurRad="254000" sx="102000" sy="102000" algn="ctr" rotWithShape="0">
              <a:prstClr val="black">
                <a:alpha val="20000"/>
              </a:prstClr>
            </a:outerShdw>
          </a:effectLst>
        </c:spPr>
      </c:pivotFmt>
      <c:pivotFmt>
        <c:idx val="1917"/>
        <c:spPr>
          <a:solidFill>
            <a:schemeClr val="accent1"/>
          </a:solidFill>
          <a:ln>
            <a:noFill/>
          </a:ln>
          <a:effectLst>
            <a:outerShdw blurRad="254000" sx="102000" sy="102000" algn="ctr" rotWithShape="0">
              <a:prstClr val="black">
                <a:alpha val="20000"/>
              </a:prstClr>
            </a:outerShdw>
          </a:effectLst>
        </c:spPr>
      </c:pivotFmt>
      <c:pivotFmt>
        <c:idx val="1918"/>
        <c:spPr>
          <a:solidFill>
            <a:schemeClr val="accent1"/>
          </a:solidFill>
          <a:ln>
            <a:noFill/>
          </a:ln>
          <a:effectLst>
            <a:outerShdw blurRad="254000" sx="102000" sy="102000" algn="ctr" rotWithShape="0">
              <a:prstClr val="black">
                <a:alpha val="20000"/>
              </a:prstClr>
            </a:outerShdw>
          </a:effectLst>
        </c:spPr>
      </c:pivotFmt>
      <c:pivotFmt>
        <c:idx val="1919"/>
        <c:spPr>
          <a:solidFill>
            <a:schemeClr val="accent1"/>
          </a:solidFill>
          <a:ln>
            <a:noFill/>
          </a:ln>
          <a:effectLst>
            <a:outerShdw blurRad="254000" sx="102000" sy="102000" algn="ctr" rotWithShape="0">
              <a:prstClr val="black">
                <a:alpha val="20000"/>
              </a:prstClr>
            </a:outerShdw>
          </a:effectLst>
        </c:spPr>
      </c:pivotFmt>
      <c:pivotFmt>
        <c:idx val="1920"/>
        <c:spPr>
          <a:solidFill>
            <a:schemeClr val="accent1"/>
          </a:solidFill>
          <a:ln>
            <a:noFill/>
          </a:ln>
          <a:effectLst>
            <a:outerShdw blurRad="254000" sx="102000" sy="102000" algn="ctr" rotWithShape="0">
              <a:prstClr val="black">
                <a:alpha val="20000"/>
              </a:prstClr>
            </a:outerShdw>
          </a:effectLst>
        </c:spPr>
      </c:pivotFmt>
      <c:pivotFmt>
        <c:idx val="1921"/>
        <c:spPr>
          <a:solidFill>
            <a:schemeClr val="accent1"/>
          </a:solidFill>
          <a:ln>
            <a:noFill/>
          </a:ln>
          <a:effectLst>
            <a:outerShdw blurRad="254000" sx="102000" sy="102000" algn="ctr" rotWithShape="0">
              <a:prstClr val="black">
                <a:alpha val="20000"/>
              </a:prstClr>
            </a:outerShdw>
          </a:effectLst>
        </c:spPr>
      </c:pivotFmt>
      <c:pivotFmt>
        <c:idx val="1922"/>
        <c:spPr>
          <a:solidFill>
            <a:schemeClr val="accent1"/>
          </a:solidFill>
          <a:ln>
            <a:noFill/>
          </a:ln>
          <a:effectLst>
            <a:outerShdw blurRad="254000" sx="102000" sy="102000" algn="ctr" rotWithShape="0">
              <a:prstClr val="black">
                <a:alpha val="20000"/>
              </a:prstClr>
            </a:outerShdw>
          </a:effectLst>
        </c:spPr>
      </c:pivotFmt>
      <c:pivotFmt>
        <c:idx val="1923"/>
        <c:spPr>
          <a:solidFill>
            <a:schemeClr val="accent1"/>
          </a:solidFill>
          <a:ln>
            <a:noFill/>
          </a:ln>
          <a:effectLst>
            <a:outerShdw blurRad="254000" sx="102000" sy="102000" algn="ctr" rotWithShape="0">
              <a:prstClr val="black">
                <a:alpha val="20000"/>
              </a:prstClr>
            </a:outerShdw>
          </a:effectLst>
        </c:spPr>
      </c:pivotFmt>
      <c:pivotFmt>
        <c:idx val="1924"/>
        <c:spPr>
          <a:solidFill>
            <a:schemeClr val="accent1"/>
          </a:solidFill>
          <a:ln>
            <a:noFill/>
          </a:ln>
          <a:effectLst>
            <a:outerShdw blurRad="254000" sx="102000" sy="102000" algn="ctr" rotWithShape="0">
              <a:prstClr val="black">
                <a:alpha val="20000"/>
              </a:prstClr>
            </a:outerShdw>
          </a:effectLst>
        </c:spPr>
      </c:pivotFmt>
      <c:pivotFmt>
        <c:idx val="1925"/>
        <c:spPr>
          <a:solidFill>
            <a:schemeClr val="accent1"/>
          </a:solidFill>
          <a:ln>
            <a:noFill/>
          </a:ln>
          <a:effectLst>
            <a:outerShdw blurRad="254000" sx="102000" sy="102000" algn="ctr" rotWithShape="0">
              <a:prstClr val="black">
                <a:alpha val="20000"/>
              </a:prstClr>
            </a:outerShdw>
          </a:effectLst>
        </c:spPr>
      </c:pivotFmt>
      <c:pivotFmt>
        <c:idx val="1926"/>
        <c:spPr>
          <a:solidFill>
            <a:schemeClr val="accent1"/>
          </a:solidFill>
          <a:ln>
            <a:noFill/>
          </a:ln>
          <a:effectLst>
            <a:outerShdw blurRad="254000" sx="102000" sy="102000" algn="ctr" rotWithShape="0">
              <a:prstClr val="black">
                <a:alpha val="20000"/>
              </a:prstClr>
            </a:outerShdw>
          </a:effectLst>
        </c:spPr>
      </c:pivotFmt>
      <c:pivotFmt>
        <c:idx val="1927"/>
        <c:spPr>
          <a:solidFill>
            <a:schemeClr val="accent1"/>
          </a:solidFill>
          <a:ln>
            <a:noFill/>
          </a:ln>
          <a:effectLst>
            <a:outerShdw blurRad="254000" sx="102000" sy="102000" algn="ctr" rotWithShape="0">
              <a:prstClr val="black">
                <a:alpha val="20000"/>
              </a:prstClr>
            </a:outerShdw>
          </a:effectLst>
        </c:spPr>
      </c:pivotFmt>
      <c:pivotFmt>
        <c:idx val="1928"/>
        <c:spPr>
          <a:solidFill>
            <a:schemeClr val="accent1"/>
          </a:solidFill>
          <a:ln>
            <a:noFill/>
          </a:ln>
          <a:effectLst>
            <a:outerShdw blurRad="254000" sx="102000" sy="102000" algn="ctr" rotWithShape="0">
              <a:prstClr val="black">
                <a:alpha val="20000"/>
              </a:prstClr>
            </a:outerShdw>
          </a:effectLst>
        </c:spPr>
      </c:pivotFmt>
      <c:pivotFmt>
        <c:idx val="1929"/>
        <c:spPr>
          <a:solidFill>
            <a:schemeClr val="accent1"/>
          </a:solidFill>
          <a:ln>
            <a:noFill/>
          </a:ln>
          <a:effectLst>
            <a:outerShdw blurRad="254000" sx="102000" sy="102000" algn="ctr" rotWithShape="0">
              <a:prstClr val="black">
                <a:alpha val="20000"/>
              </a:prstClr>
            </a:outerShdw>
          </a:effectLst>
        </c:spPr>
      </c:pivotFmt>
      <c:pivotFmt>
        <c:idx val="1930"/>
        <c:spPr>
          <a:solidFill>
            <a:schemeClr val="accent1"/>
          </a:solidFill>
          <a:ln>
            <a:noFill/>
          </a:ln>
          <a:effectLst>
            <a:outerShdw blurRad="254000" sx="102000" sy="102000" algn="ctr" rotWithShape="0">
              <a:prstClr val="black">
                <a:alpha val="20000"/>
              </a:prstClr>
            </a:outerShdw>
          </a:effectLst>
        </c:spPr>
      </c:pivotFmt>
      <c:pivotFmt>
        <c:idx val="1931"/>
        <c:spPr>
          <a:solidFill>
            <a:schemeClr val="accent1"/>
          </a:solidFill>
          <a:ln>
            <a:noFill/>
          </a:ln>
          <a:effectLst>
            <a:outerShdw blurRad="254000" sx="102000" sy="102000" algn="ctr" rotWithShape="0">
              <a:prstClr val="black">
                <a:alpha val="20000"/>
              </a:prstClr>
            </a:outerShdw>
          </a:effectLst>
        </c:spPr>
      </c:pivotFmt>
      <c:pivotFmt>
        <c:idx val="1932"/>
        <c:spPr>
          <a:solidFill>
            <a:schemeClr val="accent1"/>
          </a:solidFill>
          <a:ln>
            <a:noFill/>
          </a:ln>
          <a:effectLst>
            <a:outerShdw blurRad="254000" sx="102000" sy="102000" algn="ctr" rotWithShape="0">
              <a:prstClr val="black">
                <a:alpha val="20000"/>
              </a:prstClr>
            </a:outerShdw>
          </a:effectLst>
        </c:spPr>
      </c:pivotFmt>
      <c:pivotFmt>
        <c:idx val="1933"/>
        <c:spPr>
          <a:solidFill>
            <a:schemeClr val="accent1"/>
          </a:solidFill>
          <a:ln>
            <a:noFill/>
          </a:ln>
          <a:effectLst>
            <a:outerShdw blurRad="254000" sx="102000" sy="102000" algn="ctr" rotWithShape="0">
              <a:prstClr val="black">
                <a:alpha val="20000"/>
              </a:prstClr>
            </a:outerShdw>
          </a:effectLst>
        </c:spPr>
      </c:pivotFmt>
      <c:pivotFmt>
        <c:idx val="1934"/>
        <c:spPr>
          <a:solidFill>
            <a:schemeClr val="accent1"/>
          </a:solidFill>
          <a:ln>
            <a:noFill/>
          </a:ln>
          <a:effectLst>
            <a:outerShdw blurRad="254000" sx="102000" sy="102000" algn="ctr" rotWithShape="0">
              <a:prstClr val="black">
                <a:alpha val="20000"/>
              </a:prstClr>
            </a:outerShdw>
          </a:effectLst>
        </c:spPr>
      </c:pivotFmt>
      <c:pivotFmt>
        <c:idx val="1935"/>
        <c:spPr>
          <a:solidFill>
            <a:schemeClr val="accent1"/>
          </a:solidFill>
          <a:ln>
            <a:noFill/>
          </a:ln>
          <a:effectLst>
            <a:outerShdw blurRad="254000" sx="102000" sy="102000" algn="ctr" rotWithShape="0">
              <a:prstClr val="black">
                <a:alpha val="20000"/>
              </a:prstClr>
            </a:outerShdw>
          </a:effectLst>
        </c:spPr>
      </c:pivotFmt>
      <c:pivotFmt>
        <c:idx val="1936"/>
        <c:spPr>
          <a:solidFill>
            <a:schemeClr val="accent1"/>
          </a:solidFill>
          <a:ln>
            <a:noFill/>
          </a:ln>
          <a:effectLst>
            <a:outerShdw blurRad="254000" sx="102000" sy="102000" algn="ctr" rotWithShape="0">
              <a:prstClr val="black">
                <a:alpha val="20000"/>
              </a:prstClr>
            </a:outerShdw>
          </a:effectLst>
        </c:spPr>
      </c:pivotFmt>
      <c:pivotFmt>
        <c:idx val="1937"/>
        <c:spPr>
          <a:solidFill>
            <a:schemeClr val="accent1"/>
          </a:solidFill>
          <a:ln>
            <a:noFill/>
          </a:ln>
          <a:effectLst>
            <a:outerShdw blurRad="254000" sx="102000" sy="102000" algn="ctr" rotWithShape="0">
              <a:prstClr val="black">
                <a:alpha val="20000"/>
              </a:prstClr>
            </a:outerShdw>
          </a:effectLst>
        </c:spPr>
      </c:pivotFmt>
      <c:pivotFmt>
        <c:idx val="1938"/>
        <c:spPr>
          <a:solidFill>
            <a:schemeClr val="accent1"/>
          </a:solidFill>
          <a:ln>
            <a:noFill/>
          </a:ln>
          <a:effectLst>
            <a:outerShdw blurRad="254000" sx="102000" sy="102000" algn="ctr" rotWithShape="0">
              <a:prstClr val="black">
                <a:alpha val="20000"/>
              </a:prstClr>
            </a:outerShdw>
          </a:effectLst>
        </c:spPr>
      </c:pivotFmt>
      <c:pivotFmt>
        <c:idx val="1939"/>
        <c:spPr>
          <a:solidFill>
            <a:schemeClr val="accent1"/>
          </a:solidFill>
          <a:ln>
            <a:noFill/>
          </a:ln>
          <a:effectLst>
            <a:outerShdw blurRad="254000" sx="102000" sy="102000" algn="ctr" rotWithShape="0">
              <a:prstClr val="black">
                <a:alpha val="20000"/>
              </a:prstClr>
            </a:outerShdw>
          </a:effectLst>
        </c:spPr>
      </c:pivotFmt>
      <c:pivotFmt>
        <c:idx val="1940"/>
        <c:spPr>
          <a:solidFill>
            <a:schemeClr val="accent1"/>
          </a:solidFill>
          <a:ln>
            <a:noFill/>
          </a:ln>
          <a:effectLst>
            <a:outerShdw blurRad="254000" sx="102000" sy="102000" algn="ctr" rotWithShape="0">
              <a:prstClr val="black">
                <a:alpha val="20000"/>
              </a:prstClr>
            </a:outerShdw>
          </a:effectLst>
        </c:spPr>
      </c:pivotFmt>
      <c:pivotFmt>
        <c:idx val="1941"/>
        <c:spPr>
          <a:solidFill>
            <a:schemeClr val="accent1"/>
          </a:solidFill>
          <a:ln>
            <a:noFill/>
          </a:ln>
          <a:effectLst>
            <a:outerShdw blurRad="254000" sx="102000" sy="102000" algn="ctr" rotWithShape="0">
              <a:prstClr val="black">
                <a:alpha val="20000"/>
              </a:prstClr>
            </a:outerShdw>
          </a:effectLst>
        </c:spPr>
      </c:pivotFmt>
      <c:pivotFmt>
        <c:idx val="1942"/>
        <c:spPr>
          <a:solidFill>
            <a:schemeClr val="accent1"/>
          </a:solidFill>
          <a:ln>
            <a:noFill/>
          </a:ln>
          <a:effectLst>
            <a:outerShdw blurRad="254000" sx="102000" sy="102000" algn="ctr" rotWithShape="0">
              <a:prstClr val="black">
                <a:alpha val="20000"/>
              </a:prstClr>
            </a:outerShdw>
          </a:effectLst>
        </c:spPr>
      </c:pivotFmt>
      <c:pivotFmt>
        <c:idx val="1943"/>
        <c:spPr>
          <a:solidFill>
            <a:schemeClr val="accent1"/>
          </a:solidFill>
          <a:ln>
            <a:noFill/>
          </a:ln>
          <a:effectLst>
            <a:outerShdw blurRad="254000" sx="102000" sy="102000" algn="ctr" rotWithShape="0">
              <a:prstClr val="black">
                <a:alpha val="20000"/>
              </a:prstClr>
            </a:outerShdw>
          </a:effectLst>
        </c:spPr>
      </c:pivotFmt>
      <c:pivotFmt>
        <c:idx val="1944"/>
        <c:spPr>
          <a:solidFill>
            <a:schemeClr val="accent1"/>
          </a:solidFill>
          <a:ln>
            <a:noFill/>
          </a:ln>
          <a:effectLst>
            <a:outerShdw blurRad="254000" sx="102000" sy="102000" algn="ctr" rotWithShape="0">
              <a:prstClr val="black">
                <a:alpha val="20000"/>
              </a:prstClr>
            </a:outerShdw>
          </a:effectLst>
        </c:spPr>
      </c:pivotFmt>
      <c:pivotFmt>
        <c:idx val="1945"/>
        <c:spPr>
          <a:solidFill>
            <a:schemeClr val="accent1"/>
          </a:solidFill>
          <a:ln>
            <a:noFill/>
          </a:ln>
          <a:effectLst>
            <a:outerShdw blurRad="254000" sx="102000" sy="102000" algn="ctr" rotWithShape="0">
              <a:prstClr val="black">
                <a:alpha val="20000"/>
              </a:prstClr>
            </a:outerShdw>
          </a:effectLst>
        </c:spPr>
      </c:pivotFmt>
      <c:pivotFmt>
        <c:idx val="1946"/>
        <c:spPr>
          <a:solidFill>
            <a:schemeClr val="accent1"/>
          </a:solidFill>
          <a:ln>
            <a:noFill/>
          </a:ln>
          <a:effectLst>
            <a:outerShdw blurRad="254000" sx="102000" sy="102000" algn="ctr" rotWithShape="0">
              <a:prstClr val="black">
                <a:alpha val="20000"/>
              </a:prstClr>
            </a:outerShdw>
          </a:effectLst>
        </c:spPr>
      </c:pivotFmt>
      <c:pivotFmt>
        <c:idx val="1947"/>
        <c:spPr>
          <a:solidFill>
            <a:schemeClr val="accent1"/>
          </a:solidFill>
          <a:ln>
            <a:noFill/>
          </a:ln>
          <a:effectLst>
            <a:outerShdw blurRad="254000" sx="102000" sy="102000" algn="ctr" rotWithShape="0">
              <a:prstClr val="black">
                <a:alpha val="20000"/>
              </a:prstClr>
            </a:outerShdw>
          </a:effectLst>
        </c:spPr>
      </c:pivotFmt>
      <c:pivotFmt>
        <c:idx val="1948"/>
        <c:spPr>
          <a:solidFill>
            <a:schemeClr val="accent1"/>
          </a:solidFill>
          <a:ln>
            <a:noFill/>
          </a:ln>
          <a:effectLst>
            <a:outerShdw blurRad="254000" sx="102000" sy="102000" algn="ctr" rotWithShape="0">
              <a:prstClr val="black">
                <a:alpha val="20000"/>
              </a:prstClr>
            </a:outerShdw>
          </a:effectLst>
        </c:spPr>
      </c:pivotFmt>
      <c:pivotFmt>
        <c:idx val="1949"/>
        <c:spPr>
          <a:solidFill>
            <a:schemeClr val="accent1"/>
          </a:solidFill>
          <a:ln>
            <a:noFill/>
          </a:ln>
          <a:effectLst>
            <a:outerShdw blurRad="254000" sx="102000" sy="102000" algn="ctr" rotWithShape="0">
              <a:prstClr val="black">
                <a:alpha val="20000"/>
              </a:prstClr>
            </a:outerShdw>
          </a:effectLst>
        </c:spPr>
      </c:pivotFmt>
      <c:pivotFmt>
        <c:idx val="1950"/>
        <c:spPr>
          <a:solidFill>
            <a:schemeClr val="accent1"/>
          </a:solidFill>
          <a:ln>
            <a:noFill/>
          </a:ln>
          <a:effectLst>
            <a:outerShdw blurRad="254000" sx="102000" sy="102000" algn="ctr" rotWithShape="0">
              <a:prstClr val="black">
                <a:alpha val="20000"/>
              </a:prstClr>
            </a:outerShdw>
          </a:effectLst>
        </c:spPr>
      </c:pivotFmt>
      <c:pivotFmt>
        <c:idx val="1951"/>
        <c:spPr>
          <a:solidFill>
            <a:schemeClr val="accent1"/>
          </a:solidFill>
          <a:ln>
            <a:noFill/>
          </a:ln>
          <a:effectLst>
            <a:outerShdw blurRad="254000" sx="102000" sy="102000" algn="ctr" rotWithShape="0">
              <a:prstClr val="black">
                <a:alpha val="20000"/>
              </a:prstClr>
            </a:outerShdw>
          </a:effectLst>
        </c:spPr>
      </c:pivotFmt>
      <c:pivotFmt>
        <c:idx val="1952"/>
        <c:spPr>
          <a:solidFill>
            <a:schemeClr val="accent1"/>
          </a:solidFill>
          <a:ln>
            <a:noFill/>
          </a:ln>
          <a:effectLst>
            <a:outerShdw blurRad="254000" sx="102000" sy="102000" algn="ctr" rotWithShape="0">
              <a:prstClr val="black">
                <a:alpha val="20000"/>
              </a:prstClr>
            </a:outerShdw>
          </a:effectLst>
        </c:spPr>
      </c:pivotFmt>
      <c:pivotFmt>
        <c:idx val="1953"/>
        <c:spPr>
          <a:solidFill>
            <a:schemeClr val="accent1"/>
          </a:solidFill>
          <a:ln>
            <a:noFill/>
          </a:ln>
          <a:effectLst>
            <a:outerShdw blurRad="254000" sx="102000" sy="102000" algn="ctr" rotWithShape="0">
              <a:prstClr val="black">
                <a:alpha val="20000"/>
              </a:prstClr>
            </a:outerShdw>
          </a:effectLst>
        </c:spPr>
      </c:pivotFmt>
      <c:pivotFmt>
        <c:idx val="1954"/>
        <c:spPr>
          <a:solidFill>
            <a:schemeClr val="accent1"/>
          </a:solidFill>
          <a:ln>
            <a:noFill/>
          </a:ln>
          <a:effectLst>
            <a:outerShdw blurRad="254000" sx="102000" sy="102000" algn="ctr" rotWithShape="0">
              <a:prstClr val="black">
                <a:alpha val="20000"/>
              </a:prstClr>
            </a:outerShdw>
          </a:effectLst>
        </c:spPr>
      </c:pivotFmt>
      <c:pivotFmt>
        <c:idx val="1955"/>
        <c:spPr>
          <a:solidFill>
            <a:schemeClr val="accent1"/>
          </a:solidFill>
          <a:ln>
            <a:noFill/>
          </a:ln>
          <a:effectLst>
            <a:outerShdw blurRad="254000" sx="102000" sy="102000" algn="ctr" rotWithShape="0">
              <a:prstClr val="black">
                <a:alpha val="20000"/>
              </a:prstClr>
            </a:outerShdw>
          </a:effectLst>
        </c:spPr>
      </c:pivotFmt>
      <c:pivotFmt>
        <c:idx val="1956"/>
        <c:spPr>
          <a:solidFill>
            <a:schemeClr val="accent1"/>
          </a:solidFill>
          <a:ln>
            <a:noFill/>
          </a:ln>
          <a:effectLst>
            <a:outerShdw blurRad="254000" sx="102000" sy="102000" algn="ctr" rotWithShape="0">
              <a:prstClr val="black">
                <a:alpha val="20000"/>
              </a:prstClr>
            </a:outerShdw>
          </a:effectLst>
        </c:spPr>
      </c:pivotFmt>
      <c:pivotFmt>
        <c:idx val="1957"/>
        <c:spPr>
          <a:solidFill>
            <a:schemeClr val="accent1"/>
          </a:solidFill>
          <a:ln>
            <a:noFill/>
          </a:ln>
          <a:effectLst>
            <a:outerShdw blurRad="254000" sx="102000" sy="102000" algn="ctr" rotWithShape="0">
              <a:prstClr val="black">
                <a:alpha val="20000"/>
              </a:prstClr>
            </a:outerShdw>
          </a:effectLst>
        </c:spPr>
      </c:pivotFmt>
      <c:pivotFmt>
        <c:idx val="1958"/>
        <c:spPr>
          <a:solidFill>
            <a:schemeClr val="accent1"/>
          </a:solidFill>
          <a:ln>
            <a:noFill/>
          </a:ln>
          <a:effectLst>
            <a:outerShdw blurRad="254000" sx="102000" sy="102000" algn="ctr" rotWithShape="0">
              <a:prstClr val="black">
                <a:alpha val="20000"/>
              </a:prstClr>
            </a:outerShdw>
          </a:effectLst>
        </c:spPr>
      </c:pivotFmt>
      <c:pivotFmt>
        <c:idx val="1959"/>
        <c:spPr>
          <a:solidFill>
            <a:schemeClr val="accent1"/>
          </a:solidFill>
          <a:ln>
            <a:noFill/>
          </a:ln>
          <a:effectLst>
            <a:outerShdw blurRad="254000" sx="102000" sy="102000" algn="ctr" rotWithShape="0">
              <a:prstClr val="black">
                <a:alpha val="20000"/>
              </a:prstClr>
            </a:outerShdw>
          </a:effectLst>
        </c:spPr>
      </c:pivotFmt>
      <c:pivotFmt>
        <c:idx val="1960"/>
        <c:spPr>
          <a:solidFill>
            <a:schemeClr val="accent1"/>
          </a:solidFill>
          <a:ln>
            <a:noFill/>
          </a:ln>
          <a:effectLst>
            <a:outerShdw blurRad="254000" sx="102000" sy="102000" algn="ctr" rotWithShape="0">
              <a:prstClr val="black">
                <a:alpha val="20000"/>
              </a:prstClr>
            </a:outerShdw>
          </a:effectLst>
        </c:spPr>
      </c:pivotFmt>
      <c:pivotFmt>
        <c:idx val="1961"/>
        <c:spPr>
          <a:solidFill>
            <a:schemeClr val="accent1"/>
          </a:solidFill>
          <a:ln>
            <a:noFill/>
          </a:ln>
          <a:effectLst>
            <a:outerShdw blurRad="254000" sx="102000" sy="102000" algn="ctr" rotWithShape="0">
              <a:prstClr val="black">
                <a:alpha val="20000"/>
              </a:prstClr>
            </a:outerShdw>
          </a:effectLst>
        </c:spPr>
      </c:pivotFmt>
      <c:pivotFmt>
        <c:idx val="1962"/>
        <c:spPr>
          <a:solidFill>
            <a:schemeClr val="accent1"/>
          </a:solidFill>
          <a:ln>
            <a:noFill/>
          </a:ln>
          <a:effectLst>
            <a:outerShdw blurRad="254000" sx="102000" sy="102000" algn="ctr" rotWithShape="0">
              <a:prstClr val="black">
                <a:alpha val="20000"/>
              </a:prstClr>
            </a:outerShdw>
          </a:effectLst>
        </c:spPr>
      </c:pivotFmt>
      <c:pivotFmt>
        <c:idx val="1963"/>
        <c:spPr>
          <a:solidFill>
            <a:schemeClr val="accent1"/>
          </a:solidFill>
          <a:ln>
            <a:noFill/>
          </a:ln>
          <a:effectLst>
            <a:outerShdw blurRad="254000" sx="102000" sy="102000" algn="ctr" rotWithShape="0">
              <a:prstClr val="black">
                <a:alpha val="20000"/>
              </a:prstClr>
            </a:outerShdw>
          </a:effectLst>
        </c:spPr>
      </c:pivotFmt>
      <c:pivotFmt>
        <c:idx val="1964"/>
        <c:spPr>
          <a:solidFill>
            <a:schemeClr val="accent1"/>
          </a:solidFill>
          <a:ln>
            <a:noFill/>
          </a:ln>
          <a:effectLst>
            <a:outerShdw blurRad="254000" sx="102000" sy="102000" algn="ctr" rotWithShape="0">
              <a:prstClr val="black">
                <a:alpha val="20000"/>
              </a:prstClr>
            </a:outerShdw>
          </a:effectLst>
        </c:spPr>
      </c:pivotFmt>
      <c:pivotFmt>
        <c:idx val="1965"/>
        <c:spPr>
          <a:solidFill>
            <a:schemeClr val="accent1"/>
          </a:solidFill>
          <a:ln>
            <a:noFill/>
          </a:ln>
          <a:effectLst>
            <a:outerShdw blurRad="254000" sx="102000" sy="102000" algn="ctr" rotWithShape="0">
              <a:prstClr val="black">
                <a:alpha val="20000"/>
              </a:prstClr>
            </a:outerShdw>
          </a:effectLst>
        </c:spPr>
      </c:pivotFmt>
      <c:pivotFmt>
        <c:idx val="1966"/>
        <c:spPr>
          <a:solidFill>
            <a:schemeClr val="accent1"/>
          </a:solidFill>
          <a:ln>
            <a:noFill/>
          </a:ln>
          <a:effectLst>
            <a:outerShdw blurRad="254000" sx="102000" sy="102000" algn="ctr" rotWithShape="0">
              <a:prstClr val="black">
                <a:alpha val="20000"/>
              </a:prstClr>
            </a:outerShdw>
          </a:effectLst>
        </c:spPr>
      </c:pivotFmt>
      <c:pivotFmt>
        <c:idx val="1967"/>
        <c:spPr>
          <a:solidFill>
            <a:schemeClr val="accent1"/>
          </a:solidFill>
          <a:ln>
            <a:noFill/>
          </a:ln>
          <a:effectLst>
            <a:outerShdw blurRad="254000" sx="102000" sy="102000" algn="ctr" rotWithShape="0">
              <a:prstClr val="black">
                <a:alpha val="20000"/>
              </a:prstClr>
            </a:outerShdw>
          </a:effectLst>
        </c:spPr>
      </c:pivotFmt>
      <c:pivotFmt>
        <c:idx val="1968"/>
        <c:spPr>
          <a:solidFill>
            <a:schemeClr val="accent1"/>
          </a:solidFill>
          <a:ln>
            <a:noFill/>
          </a:ln>
          <a:effectLst>
            <a:outerShdw blurRad="254000" sx="102000" sy="102000" algn="ctr" rotWithShape="0">
              <a:prstClr val="black">
                <a:alpha val="20000"/>
              </a:prstClr>
            </a:outerShdw>
          </a:effectLst>
        </c:spPr>
      </c:pivotFmt>
      <c:pivotFmt>
        <c:idx val="1969"/>
        <c:spPr>
          <a:solidFill>
            <a:schemeClr val="accent1"/>
          </a:solidFill>
          <a:ln>
            <a:noFill/>
          </a:ln>
          <a:effectLst>
            <a:outerShdw blurRad="254000" sx="102000" sy="102000" algn="ctr" rotWithShape="0">
              <a:prstClr val="black">
                <a:alpha val="20000"/>
              </a:prstClr>
            </a:outerShdw>
          </a:effectLst>
        </c:spPr>
      </c:pivotFmt>
      <c:pivotFmt>
        <c:idx val="1970"/>
        <c:spPr>
          <a:solidFill>
            <a:schemeClr val="accent1"/>
          </a:solidFill>
          <a:ln>
            <a:noFill/>
          </a:ln>
          <a:effectLst>
            <a:outerShdw blurRad="254000" sx="102000" sy="102000" algn="ctr" rotWithShape="0">
              <a:prstClr val="black">
                <a:alpha val="20000"/>
              </a:prstClr>
            </a:outerShdw>
          </a:effectLst>
        </c:spPr>
      </c:pivotFmt>
      <c:pivotFmt>
        <c:idx val="1971"/>
        <c:spPr>
          <a:solidFill>
            <a:schemeClr val="accent1"/>
          </a:solidFill>
          <a:ln>
            <a:noFill/>
          </a:ln>
          <a:effectLst>
            <a:outerShdw blurRad="254000" sx="102000" sy="102000" algn="ctr" rotWithShape="0">
              <a:prstClr val="black">
                <a:alpha val="20000"/>
              </a:prstClr>
            </a:outerShdw>
          </a:effectLst>
        </c:spPr>
      </c:pivotFmt>
      <c:pivotFmt>
        <c:idx val="1972"/>
        <c:spPr>
          <a:solidFill>
            <a:schemeClr val="accent1"/>
          </a:solidFill>
          <a:ln>
            <a:noFill/>
          </a:ln>
          <a:effectLst>
            <a:outerShdw blurRad="254000" sx="102000" sy="102000" algn="ctr" rotWithShape="0">
              <a:prstClr val="black">
                <a:alpha val="20000"/>
              </a:prstClr>
            </a:outerShdw>
          </a:effectLst>
        </c:spPr>
      </c:pivotFmt>
      <c:pivotFmt>
        <c:idx val="1973"/>
        <c:spPr>
          <a:solidFill>
            <a:schemeClr val="accent1"/>
          </a:solidFill>
          <a:ln>
            <a:noFill/>
          </a:ln>
          <a:effectLst>
            <a:outerShdw blurRad="254000" sx="102000" sy="102000" algn="ctr" rotWithShape="0">
              <a:prstClr val="black">
                <a:alpha val="20000"/>
              </a:prstClr>
            </a:outerShdw>
          </a:effectLst>
        </c:spPr>
      </c:pivotFmt>
      <c:pivotFmt>
        <c:idx val="1974"/>
        <c:spPr>
          <a:solidFill>
            <a:schemeClr val="accent1"/>
          </a:solidFill>
          <a:ln>
            <a:noFill/>
          </a:ln>
          <a:effectLst>
            <a:outerShdw blurRad="254000" sx="102000" sy="102000" algn="ctr" rotWithShape="0">
              <a:prstClr val="black">
                <a:alpha val="20000"/>
              </a:prstClr>
            </a:outerShdw>
          </a:effectLst>
        </c:spPr>
      </c:pivotFmt>
      <c:pivotFmt>
        <c:idx val="1975"/>
        <c:spPr>
          <a:solidFill>
            <a:schemeClr val="accent1"/>
          </a:solidFill>
          <a:ln>
            <a:noFill/>
          </a:ln>
          <a:effectLst>
            <a:outerShdw blurRad="254000" sx="102000" sy="102000" algn="ctr" rotWithShape="0">
              <a:prstClr val="black">
                <a:alpha val="20000"/>
              </a:prstClr>
            </a:outerShdw>
          </a:effectLst>
        </c:spPr>
      </c:pivotFmt>
      <c:pivotFmt>
        <c:idx val="1976"/>
        <c:spPr>
          <a:solidFill>
            <a:schemeClr val="accent1"/>
          </a:solidFill>
          <a:ln>
            <a:noFill/>
          </a:ln>
          <a:effectLst>
            <a:outerShdw blurRad="254000" sx="102000" sy="102000" algn="ctr" rotWithShape="0">
              <a:prstClr val="black">
                <a:alpha val="20000"/>
              </a:prstClr>
            </a:outerShdw>
          </a:effectLst>
        </c:spPr>
      </c:pivotFmt>
      <c:pivotFmt>
        <c:idx val="1977"/>
        <c:spPr>
          <a:solidFill>
            <a:schemeClr val="accent1"/>
          </a:solidFill>
          <a:ln>
            <a:noFill/>
          </a:ln>
          <a:effectLst>
            <a:outerShdw blurRad="254000" sx="102000" sy="102000" algn="ctr" rotWithShape="0">
              <a:prstClr val="black">
                <a:alpha val="20000"/>
              </a:prstClr>
            </a:outerShdw>
          </a:effectLst>
        </c:spPr>
      </c:pivotFmt>
      <c:pivotFmt>
        <c:idx val="1978"/>
        <c:spPr>
          <a:solidFill>
            <a:schemeClr val="accent1"/>
          </a:solidFill>
          <a:ln>
            <a:noFill/>
          </a:ln>
          <a:effectLst>
            <a:outerShdw blurRad="254000" sx="102000" sy="102000" algn="ctr" rotWithShape="0">
              <a:prstClr val="black">
                <a:alpha val="20000"/>
              </a:prstClr>
            </a:outerShdw>
          </a:effectLst>
        </c:spPr>
      </c:pivotFmt>
      <c:pivotFmt>
        <c:idx val="1979"/>
        <c:spPr>
          <a:solidFill>
            <a:schemeClr val="accent1"/>
          </a:solidFill>
          <a:ln>
            <a:noFill/>
          </a:ln>
          <a:effectLst>
            <a:outerShdw blurRad="254000" sx="102000" sy="102000" algn="ctr" rotWithShape="0">
              <a:prstClr val="black">
                <a:alpha val="20000"/>
              </a:prstClr>
            </a:outerShdw>
          </a:effectLst>
        </c:spPr>
      </c:pivotFmt>
      <c:pivotFmt>
        <c:idx val="1980"/>
        <c:spPr>
          <a:solidFill>
            <a:schemeClr val="accent1"/>
          </a:solidFill>
          <a:ln>
            <a:noFill/>
          </a:ln>
          <a:effectLst>
            <a:outerShdw blurRad="254000" sx="102000" sy="102000" algn="ctr" rotWithShape="0">
              <a:prstClr val="black">
                <a:alpha val="20000"/>
              </a:prstClr>
            </a:outerShdw>
          </a:effectLst>
        </c:spPr>
      </c:pivotFmt>
      <c:pivotFmt>
        <c:idx val="1981"/>
        <c:spPr>
          <a:solidFill>
            <a:schemeClr val="accent1"/>
          </a:solidFill>
          <a:ln>
            <a:noFill/>
          </a:ln>
          <a:effectLst>
            <a:outerShdw blurRad="254000" sx="102000" sy="102000" algn="ctr" rotWithShape="0">
              <a:prstClr val="black">
                <a:alpha val="20000"/>
              </a:prstClr>
            </a:outerShdw>
          </a:effectLst>
        </c:spPr>
      </c:pivotFmt>
      <c:pivotFmt>
        <c:idx val="1982"/>
        <c:spPr>
          <a:solidFill>
            <a:schemeClr val="accent1"/>
          </a:solidFill>
          <a:ln>
            <a:noFill/>
          </a:ln>
          <a:effectLst>
            <a:outerShdw blurRad="254000" sx="102000" sy="102000" algn="ctr" rotWithShape="0">
              <a:prstClr val="black">
                <a:alpha val="20000"/>
              </a:prstClr>
            </a:outerShdw>
          </a:effectLst>
        </c:spPr>
      </c:pivotFmt>
      <c:pivotFmt>
        <c:idx val="1983"/>
        <c:spPr>
          <a:solidFill>
            <a:schemeClr val="accent1"/>
          </a:solidFill>
          <a:ln>
            <a:noFill/>
          </a:ln>
          <a:effectLst>
            <a:outerShdw blurRad="254000" sx="102000" sy="102000" algn="ctr" rotWithShape="0">
              <a:prstClr val="black">
                <a:alpha val="20000"/>
              </a:prstClr>
            </a:outerShdw>
          </a:effectLst>
        </c:spPr>
      </c:pivotFmt>
      <c:pivotFmt>
        <c:idx val="1984"/>
        <c:spPr>
          <a:solidFill>
            <a:schemeClr val="accent1"/>
          </a:solidFill>
          <a:ln>
            <a:noFill/>
          </a:ln>
          <a:effectLst>
            <a:outerShdw blurRad="254000" sx="102000" sy="102000" algn="ctr" rotWithShape="0">
              <a:prstClr val="black">
                <a:alpha val="20000"/>
              </a:prstClr>
            </a:outerShdw>
          </a:effectLst>
        </c:spPr>
      </c:pivotFmt>
      <c:pivotFmt>
        <c:idx val="1985"/>
        <c:spPr>
          <a:solidFill>
            <a:schemeClr val="accent1"/>
          </a:solidFill>
          <a:ln>
            <a:noFill/>
          </a:ln>
          <a:effectLst>
            <a:outerShdw blurRad="254000" sx="102000" sy="102000" algn="ctr" rotWithShape="0">
              <a:prstClr val="black">
                <a:alpha val="20000"/>
              </a:prstClr>
            </a:outerShdw>
          </a:effectLst>
        </c:spPr>
      </c:pivotFmt>
      <c:pivotFmt>
        <c:idx val="1986"/>
        <c:spPr>
          <a:solidFill>
            <a:schemeClr val="accent1"/>
          </a:solidFill>
          <a:ln>
            <a:noFill/>
          </a:ln>
          <a:effectLst>
            <a:outerShdw blurRad="254000" sx="102000" sy="102000" algn="ctr" rotWithShape="0">
              <a:prstClr val="black">
                <a:alpha val="20000"/>
              </a:prstClr>
            </a:outerShdw>
          </a:effectLst>
        </c:spPr>
      </c:pivotFmt>
      <c:pivotFmt>
        <c:idx val="1987"/>
        <c:spPr>
          <a:solidFill>
            <a:schemeClr val="accent1"/>
          </a:solidFill>
          <a:ln>
            <a:noFill/>
          </a:ln>
          <a:effectLst>
            <a:outerShdw blurRad="254000" sx="102000" sy="102000" algn="ctr" rotWithShape="0">
              <a:prstClr val="black">
                <a:alpha val="20000"/>
              </a:prstClr>
            </a:outerShdw>
          </a:effectLst>
        </c:spPr>
      </c:pivotFmt>
      <c:pivotFmt>
        <c:idx val="1988"/>
        <c:spPr>
          <a:solidFill>
            <a:schemeClr val="accent1"/>
          </a:solidFill>
          <a:ln>
            <a:noFill/>
          </a:ln>
          <a:effectLst>
            <a:outerShdw blurRad="254000" sx="102000" sy="102000" algn="ctr" rotWithShape="0">
              <a:prstClr val="black">
                <a:alpha val="20000"/>
              </a:prstClr>
            </a:outerShdw>
          </a:effectLst>
        </c:spPr>
      </c:pivotFmt>
      <c:pivotFmt>
        <c:idx val="1989"/>
        <c:spPr>
          <a:solidFill>
            <a:schemeClr val="accent1"/>
          </a:solidFill>
          <a:ln>
            <a:noFill/>
          </a:ln>
          <a:effectLst>
            <a:outerShdw blurRad="254000" sx="102000" sy="102000" algn="ctr" rotWithShape="0">
              <a:prstClr val="black">
                <a:alpha val="20000"/>
              </a:prstClr>
            </a:outerShdw>
          </a:effectLst>
        </c:spPr>
      </c:pivotFmt>
      <c:pivotFmt>
        <c:idx val="1990"/>
        <c:spPr>
          <a:solidFill>
            <a:schemeClr val="accent1"/>
          </a:solidFill>
          <a:ln>
            <a:noFill/>
          </a:ln>
          <a:effectLst>
            <a:outerShdw blurRad="254000" sx="102000" sy="102000" algn="ctr" rotWithShape="0">
              <a:prstClr val="black">
                <a:alpha val="20000"/>
              </a:prstClr>
            </a:outerShdw>
          </a:effectLst>
        </c:spPr>
      </c:pivotFmt>
      <c:pivotFmt>
        <c:idx val="1991"/>
        <c:spPr>
          <a:solidFill>
            <a:schemeClr val="accent1"/>
          </a:solidFill>
          <a:ln>
            <a:noFill/>
          </a:ln>
          <a:effectLst>
            <a:outerShdw blurRad="254000" sx="102000" sy="102000" algn="ctr" rotWithShape="0">
              <a:prstClr val="black">
                <a:alpha val="20000"/>
              </a:prstClr>
            </a:outerShdw>
          </a:effectLst>
        </c:spPr>
      </c:pivotFmt>
      <c:pivotFmt>
        <c:idx val="1992"/>
        <c:spPr>
          <a:solidFill>
            <a:schemeClr val="accent1"/>
          </a:solidFill>
          <a:ln>
            <a:noFill/>
          </a:ln>
          <a:effectLst>
            <a:outerShdw blurRad="254000" sx="102000" sy="102000" algn="ctr" rotWithShape="0">
              <a:prstClr val="black">
                <a:alpha val="20000"/>
              </a:prstClr>
            </a:outerShdw>
          </a:effectLst>
        </c:spPr>
      </c:pivotFmt>
      <c:pivotFmt>
        <c:idx val="1993"/>
        <c:spPr>
          <a:solidFill>
            <a:schemeClr val="accent1"/>
          </a:solidFill>
          <a:ln>
            <a:noFill/>
          </a:ln>
          <a:effectLst>
            <a:outerShdw blurRad="254000" sx="102000" sy="102000" algn="ctr" rotWithShape="0">
              <a:prstClr val="black">
                <a:alpha val="20000"/>
              </a:prstClr>
            </a:outerShdw>
          </a:effectLst>
        </c:spPr>
      </c:pivotFmt>
      <c:pivotFmt>
        <c:idx val="1994"/>
        <c:spPr>
          <a:solidFill>
            <a:schemeClr val="accent1"/>
          </a:solidFill>
          <a:ln>
            <a:noFill/>
          </a:ln>
          <a:effectLst>
            <a:outerShdw blurRad="254000" sx="102000" sy="102000" algn="ctr" rotWithShape="0">
              <a:prstClr val="black">
                <a:alpha val="20000"/>
              </a:prstClr>
            </a:outerShdw>
          </a:effectLst>
        </c:spPr>
      </c:pivotFmt>
      <c:pivotFmt>
        <c:idx val="1995"/>
        <c:spPr>
          <a:solidFill>
            <a:schemeClr val="accent1"/>
          </a:solidFill>
          <a:ln>
            <a:noFill/>
          </a:ln>
          <a:effectLst>
            <a:outerShdw blurRad="254000" sx="102000" sy="102000" algn="ctr" rotWithShape="0">
              <a:prstClr val="black">
                <a:alpha val="20000"/>
              </a:prstClr>
            </a:outerShdw>
          </a:effectLst>
        </c:spPr>
      </c:pivotFmt>
      <c:pivotFmt>
        <c:idx val="1996"/>
        <c:spPr>
          <a:solidFill>
            <a:schemeClr val="accent1"/>
          </a:solidFill>
          <a:ln>
            <a:noFill/>
          </a:ln>
          <a:effectLst>
            <a:outerShdw blurRad="254000" sx="102000" sy="102000" algn="ctr" rotWithShape="0">
              <a:prstClr val="black">
                <a:alpha val="20000"/>
              </a:prstClr>
            </a:outerShdw>
          </a:effectLst>
        </c:spPr>
      </c:pivotFmt>
      <c:pivotFmt>
        <c:idx val="1997"/>
        <c:spPr>
          <a:solidFill>
            <a:schemeClr val="accent1"/>
          </a:solidFill>
          <a:ln>
            <a:noFill/>
          </a:ln>
          <a:effectLst>
            <a:outerShdw blurRad="254000" sx="102000" sy="102000" algn="ctr" rotWithShape="0">
              <a:prstClr val="black">
                <a:alpha val="20000"/>
              </a:prstClr>
            </a:outerShdw>
          </a:effectLst>
        </c:spPr>
      </c:pivotFmt>
      <c:pivotFmt>
        <c:idx val="1998"/>
        <c:spPr>
          <a:solidFill>
            <a:schemeClr val="accent1"/>
          </a:solidFill>
          <a:ln>
            <a:noFill/>
          </a:ln>
          <a:effectLst>
            <a:outerShdw blurRad="254000" sx="102000" sy="102000" algn="ctr" rotWithShape="0">
              <a:prstClr val="black">
                <a:alpha val="20000"/>
              </a:prstClr>
            </a:outerShdw>
          </a:effectLst>
        </c:spPr>
      </c:pivotFmt>
      <c:pivotFmt>
        <c:idx val="1999"/>
        <c:spPr>
          <a:solidFill>
            <a:schemeClr val="accent1"/>
          </a:solidFill>
          <a:ln>
            <a:noFill/>
          </a:ln>
          <a:effectLst>
            <a:outerShdw blurRad="254000" sx="102000" sy="102000" algn="ctr" rotWithShape="0">
              <a:prstClr val="black">
                <a:alpha val="20000"/>
              </a:prstClr>
            </a:outerShdw>
          </a:effectLst>
        </c:spPr>
      </c:pivotFmt>
      <c:pivotFmt>
        <c:idx val="2000"/>
        <c:spPr>
          <a:solidFill>
            <a:schemeClr val="accent1"/>
          </a:solidFill>
          <a:ln>
            <a:noFill/>
          </a:ln>
          <a:effectLst>
            <a:outerShdw blurRad="254000" sx="102000" sy="102000" algn="ctr" rotWithShape="0">
              <a:prstClr val="black">
                <a:alpha val="20000"/>
              </a:prstClr>
            </a:outerShdw>
          </a:effectLst>
        </c:spPr>
      </c:pivotFmt>
      <c:pivotFmt>
        <c:idx val="2001"/>
        <c:spPr>
          <a:solidFill>
            <a:schemeClr val="accent1"/>
          </a:solidFill>
          <a:ln>
            <a:noFill/>
          </a:ln>
          <a:effectLst>
            <a:outerShdw blurRad="254000" sx="102000" sy="102000" algn="ctr" rotWithShape="0">
              <a:prstClr val="black">
                <a:alpha val="20000"/>
              </a:prstClr>
            </a:outerShdw>
          </a:effectLst>
        </c:spPr>
      </c:pivotFmt>
      <c:pivotFmt>
        <c:idx val="2002"/>
        <c:spPr>
          <a:solidFill>
            <a:schemeClr val="accent1"/>
          </a:solidFill>
          <a:ln>
            <a:noFill/>
          </a:ln>
          <a:effectLst>
            <a:outerShdw blurRad="254000" sx="102000" sy="102000" algn="ctr" rotWithShape="0">
              <a:prstClr val="black">
                <a:alpha val="20000"/>
              </a:prstClr>
            </a:outerShdw>
          </a:effectLst>
        </c:spPr>
      </c:pivotFmt>
      <c:pivotFmt>
        <c:idx val="2003"/>
        <c:spPr>
          <a:solidFill>
            <a:schemeClr val="accent1"/>
          </a:solidFill>
          <a:ln>
            <a:noFill/>
          </a:ln>
          <a:effectLst>
            <a:outerShdw blurRad="254000" sx="102000" sy="102000" algn="ctr" rotWithShape="0">
              <a:prstClr val="black">
                <a:alpha val="20000"/>
              </a:prstClr>
            </a:outerShdw>
          </a:effectLst>
        </c:spPr>
      </c:pivotFmt>
      <c:pivotFmt>
        <c:idx val="2004"/>
        <c:spPr>
          <a:solidFill>
            <a:schemeClr val="accent1"/>
          </a:solidFill>
          <a:ln>
            <a:noFill/>
          </a:ln>
          <a:effectLst>
            <a:outerShdw blurRad="254000" sx="102000" sy="102000" algn="ctr" rotWithShape="0">
              <a:prstClr val="black">
                <a:alpha val="20000"/>
              </a:prstClr>
            </a:outerShdw>
          </a:effectLst>
        </c:spPr>
      </c:pivotFmt>
      <c:pivotFmt>
        <c:idx val="2005"/>
        <c:spPr>
          <a:solidFill>
            <a:schemeClr val="accent1"/>
          </a:solidFill>
          <a:ln>
            <a:noFill/>
          </a:ln>
          <a:effectLst>
            <a:outerShdw blurRad="254000" sx="102000" sy="102000" algn="ctr" rotWithShape="0">
              <a:prstClr val="black">
                <a:alpha val="20000"/>
              </a:prstClr>
            </a:outerShdw>
          </a:effectLst>
        </c:spPr>
      </c:pivotFmt>
      <c:pivotFmt>
        <c:idx val="2006"/>
        <c:spPr>
          <a:solidFill>
            <a:schemeClr val="accent1"/>
          </a:solidFill>
          <a:ln>
            <a:noFill/>
          </a:ln>
          <a:effectLst>
            <a:outerShdw blurRad="254000" sx="102000" sy="102000" algn="ctr" rotWithShape="0">
              <a:prstClr val="black">
                <a:alpha val="20000"/>
              </a:prstClr>
            </a:outerShdw>
          </a:effectLst>
        </c:spPr>
      </c:pivotFmt>
      <c:pivotFmt>
        <c:idx val="2007"/>
        <c:spPr>
          <a:solidFill>
            <a:schemeClr val="accent1"/>
          </a:solidFill>
          <a:ln>
            <a:noFill/>
          </a:ln>
          <a:effectLst>
            <a:outerShdw blurRad="254000" sx="102000" sy="102000" algn="ctr" rotWithShape="0">
              <a:prstClr val="black">
                <a:alpha val="20000"/>
              </a:prstClr>
            </a:outerShdw>
          </a:effectLst>
        </c:spPr>
      </c:pivotFmt>
      <c:pivotFmt>
        <c:idx val="2008"/>
        <c:spPr>
          <a:solidFill>
            <a:schemeClr val="accent1"/>
          </a:solidFill>
          <a:ln>
            <a:noFill/>
          </a:ln>
          <a:effectLst>
            <a:outerShdw blurRad="254000" sx="102000" sy="102000" algn="ctr" rotWithShape="0">
              <a:prstClr val="black">
                <a:alpha val="20000"/>
              </a:prstClr>
            </a:outerShdw>
          </a:effectLst>
        </c:spPr>
      </c:pivotFmt>
      <c:pivotFmt>
        <c:idx val="2009"/>
        <c:spPr>
          <a:solidFill>
            <a:schemeClr val="accent1"/>
          </a:solidFill>
          <a:ln>
            <a:noFill/>
          </a:ln>
          <a:effectLst>
            <a:outerShdw blurRad="254000" sx="102000" sy="102000" algn="ctr" rotWithShape="0">
              <a:prstClr val="black">
                <a:alpha val="20000"/>
              </a:prstClr>
            </a:outerShdw>
          </a:effectLst>
        </c:spPr>
      </c:pivotFmt>
      <c:pivotFmt>
        <c:idx val="2010"/>
        <c:spPr>
          <a:solidFill>
            <a:schemeClr val="accent1"/>
          </a:solidFill>
          <a:ln>
            <a:noFill/>
          </a:ln>
          <a:effectLst>
            <a:outerShdw blurRad="254000" sx="102000" sy="102000" algn="ctr" rotWithShape="0">
              <a:prstClr val="black">
                <a:alpha val="20000"/>
              </a:prstClr>
            </a:outerShdw>
          </a:effectLst>
        </c:spPr>
      </c:pivotFmt>
      <c:pivotFmt>
        <c:idx val="2011"/>
        <c:spPr>
          <a:solidFill>
            <a:schemeClr val="accent1"/>
          </a:solidFill>
          <a:ln>
            <a:noFill/>
          </a:ln>
          <a:effectLst>
            <a:outerShdw blurRad="254000" sx="102000" sy="102000" algn="ctr" rotWithShape="0">
              <a:prstClr val="black">
                <a:alpha val="20000"/>
              </a:prstClr>
            </a:outerShdw>
          </a:effectLst>
        </c:spPr>
      </c:pivotFmt>
      <c:pivotFmt>
        <c:idx val="2012"/>
        <c:spPr>
          <a:solidFill>
            <a:schemeClr val="accent1"/>
          </a:solidFill>
          <a:ln>
            <a:noFill/>
          </a:ln>
          <a:effectLst>
            <a:outerShdw blurRad="254000" sx="102000" sy="102000" algn="ctr" rotWithShape="0">
              <a:prstClr val="black">
                <a:alpha val="20000"/>
              </a:prstClr>
            </a:outerShdw>
          </a:effectLst>
        </c:spPr>
      </c:pivotFmt>
      <c:pivotFmt>
        <c:idx val="2013"/>
        <c:spPr>
          <a:solidFill>
            <a:schemeClr val="accent1"/>
          </a:solidFill>
          <a:ln>
            <a:noFill/>
          </a:ln>
          <a:effectLst>
            <a:outerShdw blurRad="254000" sx="102000" sy="102000" algn="ctr" rotWithShape="0">
              <a:prstClr val="black">
                <a:alpha val="20000"/>
              </a:prstClr>
            </a:outerShdw>
          </a:effectLst>
        </c:spPr>
      </c:pivotFmt>
      <c:pivotFmt>
        <c:idx val="2014"/>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3.6056352956680089E-2"/>
          <c:y val="2.7420837010967043E-2"/>
          <c:w val="0.93709585950514307"/>
          <c:h val="0.60947761598241135"/>
        </c:manualLayout>
      </c:layout>
      <c:pieChart>
        <c:varyColors val="1"/>
        <c:ser>
          <c:idx val="0"/>
          <c:order val="0"/>
          <c:tx>
            <c:strRef>
              <c:f>'REV PROD '!$C$36</c:f>
              <c:strCache>
                <c:ptCount val="1"/>
                <c:pt idx="0">
                  <c:v>Sum of Amount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B26-40D5-9C96-F76E8ACEAD7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B26-40D5-9C96-F76E8ACEAD7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B26-40D5-9C96-F76E8ACEAD7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B26-40D5-9C96-F76E8ACEAD7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B26-40D5-9C96-F76E8ACEAD7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B26-40D5-9C96-F76E8ACEAD7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FB26-40D5-9C96-F76E8ACEAD7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FB26-40D5-9C96-F76E8ACEAD79}"/>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FB26-40D5-9C96-F76E8ACEAD7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EE8F-4FDC-A54B-111E611873AB}"/>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EE8F-4FDC-A54B-111E611873AB}"/>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EE8F-4FDC-A54B-111E611873AB}"/>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6BE4-42C6-A523-6C7AADC65648}"/>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9809-4283-9AF6-3B1F1CE3C708}"/>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ADC8-4A4C-8BD6-A628D1034FAC}"/>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ADC8-4A4C-8BD6-A628D1034FAC}"/>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ADC8-4A4C-8BD6-A628D1034FAC}"/>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ADC8-4A4C-8BD6-A628D1034FAC}"/>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ADC8-4A4C-8BD6-A628D1034FAC}"/>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0F88-4694-B851-8B4E6181024F}"/>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0F88-4694-B851-8B4E6181024F}"/>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0F88-4694-B851-8B4E6181024F}"/>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0F88-4694-B851-8B4E6181024F}"/>
              </c:ext>
            </c:extLst>
          </c:dPt>
          <c:dPt>
            <c:idx val="23"/>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0F88-4694-B851-8B4E6181024F}"/>
              </c:ext>
            </c:extLst>
          </c:dPt>
          <c:dPt>
            <c:idx val="24"/>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0F88-4694-B851-8B4E6181024F}"/>
              </c:ext>
            </c:extLst>
          </c:dPt>
          <c:dPt>
            <c:idx val="25"/>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1F70-4BAF-AD95-047454CB8CA9}"/>
              </c:ext>
            </c:extLst>
          </c:dPt>
          <c:dPt>
            <c:idx val="26"/>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1F70-4BAF-AD95-047454CB8CA9}"/>
              </c:ext>
            </c:extLst>
          </c:dPt>
          <c:dPt>
            <c:idx val="27"/>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1F70-4BAF-AD95-047454CB8CA9}"/>
              </c:ext>
            </c:extLst>
          </c:dPt>
          <c:dPt>
            <c:idx val="28"/>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1F70-4BAF-AD95-047454CB8CA9}"/>
              </c:ext>
            </c:extLst>
          </c:dPt>
          <c:dPt>
            <c:idx val="29"/>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1F70-4BAF-AD95-047454CB8CA9}"/>
              </c:ext>
            </c:extLst>
          </c:dPt>
          <c:dPt>
            <c:idx val="30"/>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1F70-4BAF-AD95-047454CB8CA9}"/>
              </c:ext>
            </c:extLst>
          </c:dPt>
          <c:dPt>
            <c:idx val="31"/>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1F70-4BAF-AD95-047454CB8CA9}"/>
              </c:ext>
            </c:extLst>
          </c:dPt>
          <c:dPt>
            <c:idx val="32"/>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1F70-4BAF-AD95-047454CB8CA9}"/>
              </c:ext>
            </c:extLst>
          </c:dPt>
          <c:dPt>
            <c:idx val="33"/>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8AEB-4DA4-B272-9D27529FC6A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'REV PROD '!$B$37:$B$49</c:f>
              <c:strCache>
                <c:ptCount val="12"/>
                <c:pt idx="0">
                  <c:v>C- ACWA POWER</c:v>
                </c:pt>
                <c:pt idx="1">
                  <c:v>T- Desert Gate Touris</c:v>
                </c:pt>
                <c:pt idx="2">
                  <c:v>T- Booking.com</c:v>
                </c:pt>
                <c:pt idx="3">
                  <c:v>T- Expedia</c:v>
                </c:pt>
                <c:pt idx="4">
                  <c:v>T- Skymax Holidays c/</c:v>
                </c:pt>
                <c:pt idx="5">
                  <c:v>T- TRIPACTIONS</c:v>
                </c:pt>
                <c:pt idx="6">
                  <c:v>T- Almosafer Internat</c:v>
                </c:pt>
                <c:pt idx="7">
                  <c:v>C- Abu Dhabi Commerci</c:v>
                </c:pt>
                <c:pt idx="8">
                  <c:v>T- Agoda.com Company </c:v>
                </c:pt>
                <c:pt idx="9">
                  <c:v>C- UPS Supply Chain S</c:v>
                </c:pt>
                <c:pt idx="10">
                  <c:v>T- Darina Holidays</c:v>
                </c:pt>
                <c:pt idx="11">
                  <c:v>M&amp;C / RESV/ OTHERS</c:v>
                </c:pt>
              </c:strCache>
            </c:strRef>
          </c:cat>
          <c:val>
            <c:numRef>
              <c:f>'REV PROD '!$C$37:$C$49</c:f>
              <c:numCache>
                <c:formatCode>_(* #,##0.00_);_(* \(#,##0.00\);_(* "-"??_);_(@_)</c:formatCode>
                <c:ptCount val="12"/>
                <c:pt idx="0">
                  <c:v>4400</c:v>
                </c:pt>
                <c:pt idx="1">
                  <c:v>3666.2780000000002</c:v>
                </c:pt>
                <c:pt idx="2">
                  <c:v>3171.96</c:v>
                </c:pt>
                <c:pt idx="3">
                  <c:v>1914</c:v>
                </c:pt>
                <c:pt idx="4">
                  <c:v>1364.9349999999999</c:v>
                </c:pt>
                <c:pt idx="5">
                  <c:v>963.6</c:v>
                </c:pt>
                <c:pt idx="6">
                  <c:v>897.98500000000013</c:v>
                </c:pt>
                <c:pt idx="7">
                  <c:v>605</c:v>
                </c:pt>
                <c:pt idx="8">
                  <c:v>527.12</c:v>
                </c:pt>
                <c:pt idx="9">
                  <c:v>467.50000000000006</c:v>
                </c:pt>
                <c:pt idx="10">
                  <c:v>413.072</c:v>
                </c:pt>
                <c:pt idx="11">
                  <c:v>0</c:v>
                </c:pt>
              </c:numCache>
            </c:numRef>
          </c:val>
          <c:extLst>
            <c:ext xmlns:c16="http://schemas.microsoft.com/office/drawing/2014/chart" uri="{C3380CC4-5D6E-409C-BE32-E72D297353CC}">
              <c16:uniqueId val="{00000000-B029-4F94-A849-926EE04D08D1}"/>
            </c:ext>
          </c:extLst>
        </c:ser>
        <c:ser>
          <c:idx val="1"/>
          <c:order val="1"/>
          <c:tx>
            <c:strRef>
              <c:f>'REV PROD '!$D$36</c:f>
              <c:strCache>
                <c:ptCount val="1"/>
                <c:pt idx="0">
                  <c:v>Room Nights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315A-46AF-9F6A-8A87C4926F5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315A-46AF-9F6A-8A87C4926F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315A-46AF-9F6A-8A87C4926F5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315A-46AF-9F6A-8A87C4926F5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315A-46AF-9F6A-8A87C4926F55}"/>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315A-46AF-9F6A-8A87C4926F55}"/>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315A-46AF-9F6A-8A87C4926F55}"/>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315A-46AF-9F6A-8A87C4926F55}"/>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315A-46AF-9F6A-8A87C4926F55}"/>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5-315A-46AF-9F6A-8A87C4926F55}"/>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7-315A-46AF-9F6A-8A87C4926F55}"/>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9-315A-46AF-9F6A-8A87C4926F55}"/>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B-315A-46AF-9F6A-8A87C4926F55}"/>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315A-46AF-9F6A-8A87C4926F55}"/>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F-315A-46AF-9F6A-8A87C4926F55}"/>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1-315A-46AF-9F6A-8A87C4926F55}"/>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3-315A-46AF-9F6A-8A87C4926F55}"/>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5-315A-46AF-9F6A-8A87C4926F55}"/>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7-315A-46AF-9F6A-8A87C4926F55}"/>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9-315A-46AF-9F6A-8A87C4926F55}"/>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B-315A-46AF-9F6A-8A87C4926F55}"/>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D-315A-46AF-9F6A-8A87C4926F55}"/>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F-315A-46AF-9F6A-8A87C4926F55}"/>
              </c:ext>
            </c:extLst>
          </c:dPt>
          <c:dPt>
            <c:idx val="23"/>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315A-46AF-9F6A-8A87C4926F55}"/>
              </c:ext>
            </c:extLst>
          </c:dPt>
          <c:dPt>
            <c:idx val="24"/>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315A-46AF-9F6A-8A87C4926F55}"/>
              </c:ext>
            </c:extLst>
          </c:dPt>
          <c:dPt>
            <c:idx val="25"/>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5-1F70-4BAF-AD95-047454CB8CA9}"/>
              </c:ext>
            </c:extLst>
          </c:dPt>
          <c:dPt>
            <c:idx val="26"/>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7-1F70-4BAF-AD95-047454CB8CA9}"/>
              </c:ext>
            </c:extLst>
          </c:dPt>
          <c:dPt>
            <c:idx val="27"/>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9-1F70-4BAF-AD95-047454CB8CA9}"/>
              </c:ext>
            </c:extLst>
          </c:dPt>
          <c:dPt>
            <c:idx val="28"/>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B-1F70-4BAF-AD95-047454CB8CA9}"/>
              </c:ext>
            </c:extLst>
          </c:dPt>
          <c:dPt>
            <c:idx val="29"/>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D-1F70-4BAF-AD95-047454CB8CA9}"/>
              </c:ext>
            </c:extLst>
          </c:dPt>
          <c:dPt>
            <c:idx val="30"/>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F-1F70-4BAF-AD95-047454CB8CA9}"/>
              </c:ext>
            </c:extLst>
          </c:dPt>
          <c:dPt>
            <c:idx val="31"/>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1-1F70-4BAF-AD95-047454CB8CA9}"/>
              </c:ext>
            </c:extLst>
          </c:dPt>
          <c:dPt>
            <c:idx val="32"/>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3-1F70-4BAF-AD95-047454CB8CA9}"/>
              </c:ext>
            </c:extLst>
          </c:dPt>
          <c:dPt>
            <c:idx val="33"/>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7-8AEB-4DA4-B272-9D27529FC6A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'REV PROD '!$B$37:$B$49</c:f>
              <c:strCache>
                <c:ptCount val="12"/>
                <c:pt idx="0">
                  <c:v>C- ACWA POWER</c:v>
                </c:pt>
                <c:pt idx="1">
                  <c:v>T- Desert Gate Touris</c:v>
                </c:pt>
                <c:pt idx="2">
                  <c:v>T- Booking.com</c:v>
                </c:pt>
                <c:pt idx="3">
                  <c:v>T- Expedia</c:v>
                </c:pt>
                <c:pt idx="4">
                  <c:v>T- Skymax Holidays c/</c:v>
                </c:pt>
                <c:pt idx="5">
                  <c:v>T- TRIPACTIONS</c:v>
                </c:pt>
                <c:pt idx="6">
                  <c:v>T- Almosafer Internat</c:v>
                </c:pt>
                <c:pt idx="7">
                  <c:v>C- Abu Dhabi Commerci</c:v>
                </c:pt>
                <c:pt idx="8">
                  <c:v>T- Agoda.com Company </c:v>
                </c:pt>
                <c:pt idx="9">
                  <c:v>C- UPS Supply Chain S</c:v>
                </c:pt>
                <c:pt idx="10">
                  <c:v>T- Darina Holidays</c:v>
                </c:pt>
                <c:pt idx="11">
                  <c:v>M&amp;C / RESV/ OTHERS</c:v>
                </c:pt>
              </c:strCache>
            </c:strRef>
          </c:cat>
          <c:val>
            <c:numRef>
              <c:f>'REV PROD '!$D$37:$D$49</c:f>
              <c:numCache>
                <c:formatCode>General</c:formatCode>
                <c:ptCount val="12"/>
                <c:pt idx="0">
                  <c:v>8</c:v>
                </c:pt>
                <c:pt idx="1">
                  <c:v>10</c:v>
                </c:pt>
                <c:pt idx="2">
                  <c:v>12</c:v>
                </c:pt>
                <c:pt idx="3">
                  <c:v>7</c:v>
                </c:pt>
                <c:pt idx="4">
                  <c:v>5</c:v>
                </c:pt>
                <c:pt idx="5">
                  <c:v>3</c:v>
                </c:pt>
                <c:pt idx="6">
                  <c:v>5</c:v>
                </c:pt>
                <c:pt idx="7">
                  <c:v>1</c:v>
                </c:pt>
                <c:pt idx="8">
                  <c:v>2</c:v>
                </c:pt>
                <c:pt idx="9">
                  <c:v>1</c:v>
                </c:pt>
                <c:pt idx="10">
                  <c:v>1</c:v>
                </c:pt>
                <c:pt idx="11">
                  <c:v>0</c:v>
                </c:pt>
              </c:numCache>
            </c:numRef>
          </c:val>
          <c:extLst>
            <c:ext xmlns:c16="http://schemas.microsoft.com/office/drawing/2014/chart" uri="{C3380CC4-5D6E-409C-BE32-E72D297353CC}">
              <c16:uniqueId val="{00000066-41A1-46DB-9ED8-651FE1B4D226}"/>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
          <c:y val="0.68653429044669634"/>
          <c:w val="1"/>
          <c:h val="0.3134656726307928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[23-08-2025 Entered On.xlsm]REV PROD !PivotTable5</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578646419197593E-2"/>
          <c:y val="9.8516595038425886E-2"/>
          <c:w val="0.8750513625997195"/>
          <c:h val="0.83660419014480691"/>
        </c:manualLayout>
      </c:layout>
      <c:barChart>
        <c:barDir val="col"/>
        <c:grouping val="stacked"/>
        <c:varyColors val="0"/>
        <c:ser>
          <c:idx val="0"/>
          <c:order val="0"/>
          <c:tx>
            <c:strRef>
              <c:f>'REV PROD '!$C$76</c:f>
              <c:strCache>
                <c:ptCount val="1"/>
                <c:pt idx="0">
                  <c:v> JUL 25</c:v>
                </c:pt>
              </c:strCache>
            </c:strRef>
          </c:tx>
          <c:spPr>
            <a:solidFill>
              <a:schemeClr val="accent1"/>
            </a:solidFill>
            <a:ln>
              <a:noFill/>
            </a:ln>
            <a:effectLst/>
          </c:spPr>
          <c:invertIfNegative val="0"/>
          <c:cat>
            <c:strRef>
              <c:f>'REV PROD '!$B$77:$B$83</c:f>
              <c:strCache>
                <c:ptCount val="6"/>
                <c:pt idx="0">
                  <c:v>0</c:v>
                </c:pt>
                <c:pt idx="1">
                  <c:v>SK</c:v>
                </c:pt>
                <c:pt idx="2">
                  <c:v>1BA</c:v>
                </c:pt>
                <c:pt idx="3">
                  <c:v>PM</c:v>
                </c:pt>
                <c:pt idx="4">
                  <c:v>BS</c:v>
                </c:pt>
                <c:pt idx="5">
                  <c:v>FS</c:v>
                </c:pt>
              </c:strCache>
            </c:strRef>
          </c:cat>
          <c:val>
            <c:numRef>
              <c:f>'REV PROD '!$C$77:$C$83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D64-402D-9AF5-AB56AABBDE11}"/>
            </c:ext>
          </c:extLst>
        </c:ser>
        <c:ser>
          <c:idx val="1"/>
          <c:order val="1"/>
          <c:tx>
            <c:strRef>
              <c:f>'REV PROD '!$D$76</c:f>
              <c:strCache>
                <c:ptCount val="1"/>
                <c:pt idx="0">
                  <c:v> AUG 25</c:v>
                </c:pt>
              </c:strCache>
            </c:strRef>
          </c:tx>
          <c:spPr>
            <a:solidFill>
              <a:schemeClr val="accent2"/>
            </a:solidFill>
            <a:ln>
              <a:noFill/>
            </a:ln>
            <a:effectLst/>
          </c:spPr>
          <c:invertIfNegative val="0"/>
          <c:cat>
            <c:strRef>
              <c:f>'REV PROD '!$B$77:$B$83</c:f>
              <c:strCache>
                <c:ptCount val="6"/>
                <c:pt idx="0">
                  <c:v>0</c:v>
                </c:pt>
                <c:pt idx="1">
                  <c:v>SK</c:v>
                </c:pt>
                <c:pt idx="2">
                  <c:v>1BA</c:v>
                </c:pt>
                <c:pt idx="3">
                  <c:v>PM</c:v>
                </c:pt>
                <c:pt idx="4">
                  <c:v>BS</c:v>
                </c:pt>
                <c:pt idx="5">
                  <c:v>FS</c:v>
                </c:pt>
              </c:strCache>
            </c:strRef>
          </c:cat>
          <c:val>
            <c:numRef>
              <c:f>'REV PROD '!$D$77:$D$83</c:f>
              <c:numCache>
                <c:formatCode>General</c:formatCode>
                <c:ptCount val="6"/>
                <c:pt idx="0">
                  <c:v>0</c:v>
                </c:pt>
                <c:pt idx="1">
                  <c:v>18</c:v>
                </c:pt>
                <c:pt idx="2">
                  <c:v>1</c:v>
                </c:pt>
                <c:pt idx="3">
                  <c:v>0</c:v>
                </c:pt>
                <c:pt idx="4">
                  <c:v>10</c:v>
                </c:pt>
                <c:pt idx="5">
                  <c:v>1</c:v>
                </c:pt>
              </c:numCache>
            </c:numRef>
          </c:val>
          <c:extLst>
            <c:ext xmlns:c16="http://schemas.microsoft.com/office/drawing/2014/chart" uri="{C3380CC4-5D6E-409C-BE32-E72D297353CC}">
              <c16:uniqueId val="{00000001-2D64-402D-9AF5-AB56AABBDE11}"/>
            </c:ext>
          </c:extLst>
        </c:ser>
        <c:ser>
          <c:idx val="2"/>
          <c:order val="2"/>
          <c:tx>
            <c:strRef>
              <c:f>'REV PROD '!$E$76</c:f>
              <c:strCache>
                <c:ptCount val="1"/>
                <c:pt idx="0">
                  <c:v>SEPT 25</c:v>
                </c:pt>
              </c:strCache>
            </c:strRef>
          </c:tx>
          <c:spPr>
            <a:solidFill>
              <a:schemeClr val="accent3"/>
            </a:solidFill>
            <a:ln>
              <a:noFill/>
            </a:ln>
            <a:effectLst/>
          </c:spPr>
          <c:invertIfNegative val="0"/>
          <c:cat>
            <c:strRef>
              <c:f>'REV PROD '!$B$77:$B$83</c:f>
              <c:strCache>
                <c:ptCount val="6"/>
                <c:pt idx="0">
                  <c:v>0</c:v>
                </c:pt>
                <c:pt idx="1">
                  <c:v>SK</c:v>
                </c:pt>
                <c:pt idx="2">
                  <c:v>1BA</c:v>
                </c:pt>
                <c:pt idx="3">
                  <c:v>PM</c:v>
                </c:pt>
                <c:pt idx="4">
                  <c:v>BS</c:v>
                </c:pt>
                <c:pt idx="5">
                  <c:v>FS</c:v>
                </c:pt>
              </c:strCache>
            </c:strRef>
          </c:cat>
          <c:val>
            <c:numRef>
              <c:f>'REV PROD '!$E$77:$E$83</c:f>
              <c:numCache>
                <c:formatCode>General</c:formatCode>
                <c:ptCount val="6"/>
                <c:pt idx="0">
                  <c:v>0</c:v>
                </c:pt>
                <c:pt idx="1">
                  <c:v>19</c:v>
                </c:pt>
                <c:pt idx="2">
                  <c:v>0</c:v>
                </c:pt>
                <c:pt idx="3">
                  <c:v>0</c:v>
                </c:pt>
                <c:pt idx="4">
                  <c:v>0</c:v>
                </c:pt>
                <c:pt idx="5">
                  <c:v>0</c:v>
                </c:pt>
              </c:numCache>
            </c:numRef>
          </c:val>
          <c:extLst>
            <c:ext xmlns:c16="http://schemas.microsoft.com/office/drawing/2014/chart" uri="{C3380CC4-5D6E-409C-BE32-E72D297353CC}">
              <c16:uniqueId val="{00000002-2D64-402D-9AF5-AB56AABBDE11}"/>
            </c:ext>
          </c:extLst>
        </c:ser>
        <c:ser>
          <c:idx val="3"/>
          <c:order val="3"/>
          <c:tx>
            <c:strRef>
              <c:f>'REV PROD '!$F$76</c:f>
              <c:strCache>
                <c:ptCount val="1"/>
                <c:pt idx="0">
                  <c:v>OCT 25</c:v>
                </c:pt>
              </c:strCache>
            </c:strRef>
          </c:tx>
          <c:spPr>
            <a:solidFill>
              <a:schemeClr val="accent4"/>
            </a:solidFill>
            <a:ln>
              <a:noFill/>
            </a:ln>
            <a:effectLst/>
          </c:spPr>
          <c:invertIfNegative val="0"/>
          <c:cat>
            <c:strRef>
              <c:f>'REV PROD '!$B$77:$B$83</c:f>
              <c:strCache>
                <c:ptCount val="6"/>
                <c:pt idx="0">
                  <c:v>0</c:v>
                </c:pt>
                <c:pt idx="1">
                  <c:v>SK</c:v>
                </c:pt>
                <c:pt idx="2">
                  <c:v>1BA</c:v>
                </c:pt>
                <c:pt idx="3">
                  <c:v>PM</c:v>
                </c:pt>
                <c:pt idx="4">
                  <c:v>BS</c:v>
                </c:pt>
                <c:pt idx="5">
                  <c:v>FS</c:v>
                </c:pt>
              </c:strCache>
            </c:strRef>
          </c:cat>
          <c:val>
            <c:numRef>
              <c:f>'REV PROD '!$F$77:$F$83</c:f>
              <c:numCache>
                <c:formatCode>General</c:formatCode>
                <c:ptCount val="6"/>
                <c:pt idx="0">
                  <c:v>0</c:v>
                </c:pt>
                <c:pt idx="1">
                  <c:v>3</c:v>
                </c:pt>
                <c:pt idx="2">
                  <c:v>0</c:v>
                </c:pt>
                <c:pt idx="3">
                  <c:v>0</c:v>
                </c:pt>
                <c:pt idx="4">
                  <c:v>0</c:v>
                </c:pt>
                <c:pt idx="5">
                  <c:v>0</c:v>
                </c:pt>
              </c:numCache>
            </c:numRef>
          </c:val>
          <c:extLst>
            <c:ext xmlns:c16="http://schemas.microsoft.com/office/drawing/2014/chart" uri="{C3380CC4-5D6E-409C-BE32-E72D297353CC}">
              <c16:uniqueId val="{00000003-2D64-402D-9AF5-AB56AABBDE11}"/>
            </c:ext>
          </c:extLst>
        </c:ser>
        <c:ser>
          <c:idx val="4"/>
          <c:order val="4"/>
          <c:tx>
            <c:strRef>
              <c:f>'REV PROD '!$G$76</c:f>
              <c:strCache>
                <c:ptCount val="1"/>
                <c:pt idx="0">
                  <c:v> NOV 25</c:v>
                </c:pt>
              </c:strCache>
            </c:strRef>
          </c:tx>
          <c:spPr>
            <a:solidFill>
              <a:schemeClr val="accent5"/>
            </a:solidFill>
            <a:ln>
              <a:noFill/>
            </a:ln>
            <a:effectLst/>
          </c:spPr>
          <c:invertIfNegative val="0"/>
          <c:cat>
            <c:strRef>
              <c:f>'REV PROD '!$B$77:$B$83</c:f>
              <c:strCache>
                <c:ptCount val="6"/>
                <c:pt idx="0">
                  <c:v>0</c:v>
                </c:pt>
                <c:pt idx="1">
                  <c:v>SK</c:v>
                </c:pt>
                <c:pt idx="2">
                  <c:v>1BA</c:v>
                </c:pt>
                <c:pt idx="3">
                  <c:v>PM</c:v>
                </c:pt>
                <c:pt idx="4">
                  <c:v>BS</c:v>
                </c:pt>
                <c:pt idx="5">
                  <c:v>FS</c:v>
                </c:pt>
              </c:strCache>
            </c:strRef>
          </c:cat>
          <c:val>
            <c:numRef>
              <c:f>'REV PROD '!$G$77:$G$83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2D64-402D-9AF5-AB56AABBDE11}"/>
            </c:ext>
          </c:extLst>
        </c:ser>
        <c:ser>
          <c:idx val="5"/>
          <c:order val="5"/>
          <c:tx>
            <c:strRef>
              <c:f>'REV PROD '!$H$76</c:f>
              <c:strCache>
                <c:ptCount val="1"/>
                <c:pt idx="0">
                  <c:v>DEC 25</c:v>
                </c:pt>
              </c:strCache>
            </c:strRef>
          </c:tx>
          <c:spPr>
            <a:solidFill>
              <a:schemeClr val="accent6"/>
            </a:solidFill>
            <a:ln>
              <a:noFill/>
            </a:ln>
            <a:effectLst/>
          </c:spPr>
          <c:invertIfNegative val="0"/>
          <c:cat>
            <c:strRef>
              <c:f>'REV PROD '!$B$77:$B$83</c:f>
              <c:strCache>
                <c:ptCount val="6"/>
                <c:pt idx="0">
                  <c:v>0</c:v>
                </c:pt>
                <c:pt idx="1">
                  <c:v>SK</c:v>
                </c:pt>
                <c:pt idx="2">
                  <c:v>1BA</c:v>
                </c:pt>
                <c:pt idx="3">
                  <c:v>PM</c:v>
                </c:pt>
                <c:pt idx="4">
                  <c:v>BS</c:v>
                </c:pt>
                <c:pt idx="5">
                  <c:v>FS</c:v>
                </c:pt>
              </c:strCache>
            </c:strRef>
          </c:cat>
          <c:val>
            <c:numRef>
              <c:f>'REV PROD '!$H$77:$H$83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2D64-402D-9AF5-AB56AABBDE11}"/>
            </c:ext>
          </c:extLst>
        </c:ser>
        <c:dLbls>
          <c:showLegendKey val="0"/>
          <c:showVal val="0"/>
          <c:showCatName val="0"/>
          <c:showSerName val="0"/>
          <c:showPercent val="0"/>
          <c:showBubbleSize val="0"/>
        </c:dLbls>
        <c:gapWidth val="150"/>
        <c:overlap val="100"/>
        <c:axId val="596592536"/>
        <c:axId val="596594696"/>
      </c:barChart>
      <c:catAx>
        <c:axId val="59659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594696"/>
        <c:crosses val="autoZero"/>
        <c:auto val="1"/>
        <c:lblAlgn val="ctr"/>
        <c:lblOffset val="100"/>
        <c:noMultiLvlLbl val="0"/>
      </c:catAx>
      <c:valAx>
        <c:axId val="5965946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592536"/>
        <c:crosses val="autoZero"/>
        <c:crossBetween val="between"/>
      </c:valAx>
      <c:spPr>
        <a:noFill/>
        <a:ln>
          <a:noFill/>
        </a:ln>
        <a:effectLst/>
      </c:spPr>
    </c:plotArea>
    <c:legend>
      <c:legendPos val="r"/>
      <c:layout>
        <c:manualLayout>
          <c:xMode val="edge"/>
          <c:yMode val="edge"/>
          <c:x val="0.21384917510311216"/>
          <c:y val="2.6929755863133842E-2"/>
          <c:w val="0.44091272965879263"/>
          <c:h val="7.72664369099877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[23-08-2025 Entered On.xlsm]COMPANY PROD!PivotTable1</c:name>
    <c:fmtId val="1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1"/>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6"/>
        <c:dLbl>
          <c:idx val="0"/>
          <c:showLegendKey val="0"/>
          <c:showVal val="1"/>
          <c:showCatName val="0"/>
          <c:showSerName val="0"/>
          <c:showPercent val="0"/>
          <c:showBubbleSize val="0"/>
          <c:extLst>
            <c:ext xmlns:c15="http://schemas.microsoft.com/office/drawing/2012/chart" uri="{CE6537A1-D6FC-4f65-9D91-7224C49458BB}"/>
          </c:extLst>
        </c:dLbl>
      </c:pivotFmt>
      <c:pivotFmt>
        <c:idx val="127"/>
      </c:pivotFmt>
      <c:pivotFmt>
        <c:idx val="128"/>
      </c:pivotFmt>
      <c:pivotFmt>
        <c:idx val="129"/>
      </c:pivotFmt>
      <c:pivotFmt>
        <c:idx val="130"/>
        <c:dLbl>
          <c:idx val="0"/>
          <c:layout>
            <c:manualLayout>
              <c:x val="0"/>
              <c:y val="1.305184311109971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31"/>
        <c:dLbl>
          <c:idx val="0"/>
          <c:showLegendKey val="0"/>
          <c:showVal val="1"/>
          <c:showCatName val="0"/>
          <c:showSerName val="0"/>
          <c:showPercent val="0"/>
          <c:showBubbleSize val="0"/>
          <c:extLst>
            <c:ext xmlns:c15="http://schemas.microsoft.com/office/drawing/2012/chart" uri="{CE6537A1-D6FC-4f65-9D91-7224C49458BB}"/>
          </c:extLst>
        </c:dLbl>
      </c:pivotFmt>
      <c:pivotFmt>
        <c:idx val="132"/>
        <c:dLbl>
          <c:idx val="0"/>
          <c:showLegendKey val="1"/>
          <c:showVal val="1"/>
          <c:showCatName val="1"/>
          <c:showSerName val="1"/>
          <c:showPercent val="1"/>
          <c:showBubbleSize val="1"/>
          <c:extLst>
            <c:ext xmlns:c15="http://schemas.microsoft.com/office/drawing/2012/chart" uri="{CE6537A1-D6FC-4f65-9D91-7224C49458BB}"/>
          </c:extLst>
        </c:dLbl>
      </c:pivotFmt>
      <c:pivotFmt>
        <c:idx val="133"/>
        <c:dLbl>
          <c:idx val="0"/>
          <c:showLegendKey val="0"/>
          <c:showVal val="1"/>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5"/>
        <c:dLbl>
          <c:idx val="0"/>
          <c:showLegendKey val="0"/>
          <c:showVal val="1"/>
          <c:showCatName val="0"/>
          <c:showSerName val="0"/>
          <c:showPercent val="0"/>
          <c:showBubbleSize val="0"/>
          <c:extLst>
            <c:ext xmlns:c15="http://schemas.microsoft.com/office/drawing/2012/chart" uri="{CE6537A1-D6FC-4f65-9D91-7224C49458BB}"/>
          </c:extLst>
        </c:dLbl>
      </c:pivotFmt>
      <c:pivotFmt>
        <c:idx val="136"/>
        <c:dLbl>
          <c:idx val="0"/>
          <c:showLegendKey val="0"/>
          <c:showVal val="1"/>
          <c:showCatName val="0"/>
          <c:showSerName val="0"/>
          <c:showPercent val="0"/>
          <c:showBubbleSize val="0"/>
          <c:extLst>
            <c:ext xmlns:c15="http://schemas.microsoft.com/office/drawing/2012/chart" uri="{CE6537A1-D6FC-4f65-9D91-7224C49458BB}"/>
          </c:extLst>
        </c:dLbl>
      </c:pivotFmt>
      <c:pivotFmt>
        <c:idx val="137"/>
        <c:dLbl>
          <c:idx val="0"/>
          <c:showLegendKey val="0"/>
          <c:showVal val="1"/>
          <c:showCatName val="0"/>
          <c:showSerName val="0"/>
          <c:showPercent val="0"/>
          <c:showBubbleSize val="0"/>
          <c:extLst>
            <c:ext xmlns:c15="http://schemas.microsoft.com/office/drawing/2012/chart" uri="{CE6537A1-D6FC-4f65-9D91-7224C49458BB}"/>
          </c:extLst>
        </c:dLbl>
      </c:pivotFmt>
      <c:pivotFmt>
        <c:idx val="138"/>
        <c:dLbl>
          <c:idx val="0"/>
          <c:showLegendKey val="0"/>
          <c:showVal val="1"/>
          <c:showCatName val="0"/>
          <c:showSerName val="0"/>
          <c:showPercent val="0"/>
          <c:showBubbleSize val="0"/>
          <c:extLst>
            <c:ext xmlns:c15="http://schemas.microsoft.com/office/drawing/2012/chart" uri="{CE6537A1-D6FC-4f65-9D91-7224C49458BB}"/>
          </c:extLst>
        </c:dLbl>
      </c:pivotFmt>
      <c:pivotFmt>
        <c:idx val="13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5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5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5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5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5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55"/>
        <c:dLbl>
          <c:idx val="0"/>
          <c:showLegendKey val="0"/>
          <c:showVal val="1"/>
          <c:showCatName val="0"/>
          <c:showSerName val="0"/>
          <c:showPercent val="0"/>
          <c:showBubbleSize val="0"/>
          <c:extLst>
            <c:ext xmlns:c15="http://schemas.microsoft.com/office/drawing/2012/chart" uri="{CE6537A1-D6FC-4f65-9D91-7224C49458BB}"/>
          </c:extLst>
        </c:dLbl>
      </c:pivotFmt>
      <c:pivotFmt>
        <c:idx val="156"/>
        <c:dLbl>
          <c:idx val="0"/>
          <c:showLegendKey val="0"/>
          <c:showVal val="1"/>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8"/>
        <c:dLbl>
          <c:idx val="0"/>
          <c:showLegendKey val="0"/>
          <c:showVal val="1"/>
          <c:showCatName val="0"/>
          <c:showSerName val="0"/>
          <c:showPercent val="0"/>
          <c:showBubbleSize val="0"/>
          <c:extLst>
            <c:ext xmlns:c15="http://schemas.microsoft.com/office/drawing/2012/chart" uri="{CE6537A1-D6FC-4f65-9D91-7224C49458BB}"/>
          </c:extLst>
        </c:dLbl>
      </c:pivotFmt>
      <c:pivotFmt>
        <c:idx val="159"/>
        <c:dLbl>
          <c:idx val="0"/>
          <c:showLegendKey val="0"/>
          <c:showVal val="1"/>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3"/>
        <c:dLbl>
          <c:idx val="0"/>
          <c:showLegendKey val="0"/>
          <c:showVal val="1"/>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5"/>
      </c:pivotFmt>
      <c:pivotFmt>
        <c:idx val="286"/>
      </c:pivotFmt>
      <c:pivotFmt>
        <c:idx val="287"/>
      </c:pivotFmt>
      <c:pivotFmt>
        <c:idx val="288"/>
      </c:pivotFmt>
      <c:pivotFmt>
        <c:idx val="289"/>
      </c:pivotFmt>
      <c:pivotFmt>
        <c:idx val="290"/>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41306310640658E-2"/>
          <c:y val="2.7060264205973343E-2"/>
          <c:w val="0.98358693689359356"/>
          <c:h val="0.89446720277133929"/>
        </c:manualLayout>
      </c:layout>
      <c:barChart>
        <c:barDir val="col"/>
        <c:grouping val="clustered"/>
        <c:varyColors val="0"/>
        <c:ser>
          <c:idx val="0"/>
          <c:order val="0"/>
          <c:tx>
            <c:strRef>
              <c:f>'COMPANY PROD'!$B$81:$B$82</c:f>
              <c:strCache>
                <c:ptCount val="1"/>
                <c:pt idx="0">
                  <c:v>C- Abu Dhabi Commerci</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0-0CFE-4D39-BC38-2604F73CCD27}"/>
              </c:ext>
            </c:extLst>
          </c:dPt>
          <c:dPt>
            <c:idx val="1"/>
            <c:invertIfNegative val="0"/>
            <c:bubble3D val="0"/>
            <c:extLst>
              <c:ext xmlns:c16="http://schemas.microsoft.com/office/drawing/2014/chart" uri="{C3380CC4-5D6E-409C-BE32-E72D297353CC}">
                <c16:uniqueId val="{00000001-0CFE-4D39-BC38-2604F73CCD27}"/>
              </c:ext>
            </c:extLst>
          </c:dPt>
          <c:dPt>
            <c:idx val="2"/>
            <c:invertIfNegative val="0"/>
            <c:bubble3D val="0"/>
            <c:extLst>
              <c:ext xmlns:c16="http://schemas.microsoft.com/office/drawing/2014/chart" uri="{C3380CC4-5D6E-409C-BE32-E72D297353CC}">
                <c16:uniqueId val="{00000002-0CFE-4D39-BC38-2604F73CCD27}"/>
              </c:ext>
            </c:extLst>
          </c:dPt>
          <c:dPt>
            <c:idx val="5"/>
            <c:invertIfNegative val="0"/>
            <c:bubble3D val="0"/>
            <c:extLst>
              <c:ext xmlns:c16="http://schemas.microsoft.com/office/drawing/2014/chart" uri="{C3380CC4-5D6E-409C-BE32-E72D297353CC}">
                <c16:uniqueId val="{00000003-0CFE-4D39-BC38-2604F73CCD27}"/>
              </c:ext>
            </c:extLst>
          </c:dPt>
          <c:dPt>
            <c:idx val="6"/>
            <c:invertIfNegative val="0"/>
            <c:bubble3D val="0"/>
            <c:extLst>
              <c:ext xmlns:c16="http://schemas.microsoft.com/office/drawing/2014/chart" uri="{C3380CC4-5D6E-409C-BE32-E72D297353CC}">
                <c16:uniqueId val="{00000004-0CFE-4D39-BC38-2604F73CCD27}"/>
              </c:ext>
            </c:extLst>
          </c:dPt>
          <c:dPt>
            <c:idx val="8"/>
            <c:invertIfNegative val="0"/>
            <c:bubble3D val="0"/>
            <c:extLst>
              <c:ext xmlns:c16="http://schemas.microsoft.com/office/drawing/2014/chart" uri="{C3380CC4-5D6E-409C-BE32-E72D297353CC}">
                <c16:uniqueId val="{00000005-0CFE-4D39-BC38-2604F73CCD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PROD'!$B$83:$B$87</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335E-4E0A-B07A-70B38A6F9155}"/>
            </c:ext>
          </c:extLst>
        </c:ser>
        <c:ser>
          <c:idx val="1"/>
          <c:order val="1"/>
          <c:tx>
            <c:strRef>
              <c:f>'COMPANY PROD'!$C$81:$C$82</c:f>
              <c:strCache>
                <c:ptCount val="1"/>
                <c:pt idx="0">
                  <c:v>C- ACWA POWER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PROD'!$C$83:$C$87</c:f>
              <c:numCache>
                <c:formatCode>General</c:formatCode>
                <c:ptCount val="5"/>
                <c:pt idx="0">
                  <c:v>8</c:v>
                </c:pt>
                <c:pt idx="1">
                  <c:v>0</c:v>
                </c:pt>
                <c:pt idx="2">
                  <c:v>0</c:v>
                </c:pt>
                <c:pt idx="3">
                  <c:v>0</c:v>
                </c:pt>
                <c:pt idx="4">
                  <c:v>0</c:v>
                </c:pt>
              </c:numCache>
            </c:numRef>
          </c:val>
          <c:extLst>
            <c:ext xmlns:c16="http://schemas.microsoft.com/office/drawing/2014/chart" uri="{C3380CC4-5D6E-409C-BE32-E72D297353CC}">
              <c16:uniqueId val="{00000006-CBED-40F9-8AF8-5CD4B09E8BC8}"/>
            </c:ext>
          </c:extLst>
        </c:ser>
        <c:ser>
          <c:idx val="2"/>
          <c:order val="2"/>
          <c:tx>
            <c:strRef>
              <c:f>'COMPANY PROD'!$D$81:$D$82</c:f>
              <c:strCache>
                <c:ptCount val="1"/>
                <c:pt idx="0">
                  <c:v>C- UPS Supply Chain 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PROD'!$D$83:$D$87</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7-CBED-40F9-8AF8-5CD4B09E8BC8}"/>
            </c:ext>
          </c:extLst>
        </c:ser>
        <c:ser>
          <c:idx val="3"/>
          <c:order val="3"/>
          <c:tx>
            <c:strRef>
              <c:f>'COMPANY PROD'!$E$81:$E$82</c:f>
              <c:strCache>
                <c:ptCount val="1"/>
                <c:pt idx="0">
                  <c:v>M&amp;C / RESV/ OTHERS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PROD'!$E$83:$E$87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8-CBED-40F9-8AF8-5CD4B09E8BC8}"/>
            </c:ext>
          </c:extLst>
        </c:ser>
        <c:ser>
          <c:idx val="4"/>
          <c:order val="4"/>
          <c:tx>
            <c:strRef>
              <c:f>'COMPANY PROD'!$F$81:$F$82</c:f>
              <c:strCache>
                <c:ptCount val="1"/>
                <c:pt idx="0">
                  <c:v>T- Agoda.com Company </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PROD'!$F$83:$F$87</c:f>
              <c:numCache>
                <c:formatCode>General</c:formatCode>
                <c:ptCount val="5"/>
                <c:pt idx="0">
                  <c:v>2</c:v>
                </c:pt>
                <c:pt idx="1">
                  <c:v>0</c:v>
                </c:pt>
                <c:pt idx="2">
                  <c:v>0</c:v>
                </c:pt>
                <c:pt idx="3">
                  <c:v>0</c:v>
                </c:pt>
                <c:pt idx="4">
                  <c:v>0</c:v>
                </c:pt>
              </c:numCache>
            </c:numRef>
          </c:val>
          <c:extLst>
            <c:ext xmlns:c16="http://schemas.microsoft.com/office/drawing/2014/chart" uri="{C3380CC4-5D6E-409C-BE32-E72D297353CC}">
              <c16:uniqueId val="{00000009-CBED-40F9-8AF8-5CD4B09E8BC8}"/>
            </c:ext>
          </c:extLst>
        </c:ser>
        <c:ser>
          <c:idx val="5"/>
          <c:order val="5"/>
          <c:tx>
            <c:strRef>
              <c:f>'COMPANY PROD'!$G$81:$G$82</c:f>
              <c:strCache>
                <c:ptCount val="1"/>
                <c:pt idx="0">
                  <c:v>T- Almosafer Internat</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PROD'!$G$83:$G$87</c:f>
              <c:numCache>
                <c:formatCode>General</c:formatCode>
                <c:ptCount val="5"/>
                <c:pt idx="0">
                  <c:v>0</c:v>
                </c:pt>
                <c:pt idx="1">
                  <c:v>5</c:v>
                </c:pt>
                <c:pt idx="2">
                  <c:v>0</c:v>
                </c:pt>
                <c:pt idx="3">
                  <c:v>0</c:v>
                </c:pt>
                <c:pt idx="4">
                  <c:v>0</c:v>
                </c:pt>
              </c:numCache>
            </c:numRef>
          </c:val>
          <c:extLst>
            <c:ext xmlns:c16="http://schemas.microsoft.com/office/drawing/2014/chart" uri="{C3380CC4-5D6E-409C-BE32-E72D297353CC}">
              <c16:uniqueId val="{00000006-CCD2-4281-98F2-D5D51E59A033}"/>
            </c:ext>
          </c:extLst>
        </c:ser>
        <c:ser>
          <c:idx val="6"/>
          <c:order val="6"/>
          <c:tx>
            <c:strRef>
              <c:f>'COMPANY PROD'!$H$81:$H$82</c:f>
              <c:strCache>
                <c:ptCount val="1"/>
                <c:pt idx="0">
                  <c:v>T- Booking.com</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PROD'!$H$83:$H$87</c:f>
              <c:numCache>
                <c:formatCode>General</c:formatCode>
                <c:ptCount val="5"/>
                <c:pt idx="0">
                  <c:v>5</c:v>
                </c:pt>
                <c:pt idx="1">
                  <c:v>7</c:v>
                </c:pt>
                <c:pt idx="2">
                  <c:v>0</c:v>
                </c:pt>
                <c:pt idx="3">
                  <c:v>0</c:v>
                </c:pt>
                <c:pt idx="4">
                  <c:v>0</c:v>
                </c:pt>
              </c:numCache>
            </c:numRef>
          </c:val>
          <c:extLst>
            <c:ext xmlns:c16="http://schemas.microsoft.com/office/drawing/2014/chart" uri="{C3380CC4-5D6E-409C-BE32-E72D297353CC}">
              <c16:uniqueId val="{00000007-CCD2-4281-98F2-D5D51E59A033}"/>
            </c:ext>
          </c:extLst>
        </c:ser>
        <c:ser>
          <c:idx val="7"/>
          <c:order val="7"/>
          <c:tx>
            <c:strRef>
              <c:f>'COMPANY PROD'!$I$81:$I$82</c:f>
              <c:strCache>
                <c:ptCount val="1"/>
                <c:pt idx="0">
                  <c:v>T- Darina Holidays</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PROD'!$I$83:$I$87</c:f>
              <c:numCache>
                <c:formatCode>General</c:formatCode>
                <c:ptCount val="5"/>
                <c:pt idx="0">
                  <c:v>0</c:v>
                </c:pt>
                <c:pt idx="1">
                  <c:v>0</c:v>
                </c:pt>
                <c:pt idx="2">
                  <c:v>1</c:v>
                </c:pt>
                <c:pt idx="3">
                  <c:v>0</c:v>
                </c:pt>
                <c:pt idx="4">
                  <c:v>0</c:v>
                </c:pt>
              </c:numCache>
            </c:numRef>
          </c:val>
          <c:extLst>
            <c:ext xmlns:c16="http://schemas.microsoft.com/office/drawing/2014/chart" uri="{C3380CC4-5D6E-409C-BE32-E72D297353CC}">
              <c16:uniqueId val="{00000008-CCD2-4281-98F2-D5D51E59A033}"/>
            </c:ext>
          </c:extLst>
        </c:ser>
        <c:ser>
          <c:idx val="8"/>
          <c:order val="8"/>
          <c:tx>
            <c:strRef>
              <c:f>'COMPANY PROD'!$J$81:$J$82</c:f>
              <c:strCache>
                <c:ptCount val="1"/>
                <c:pt idx="0">
                  <c:v>T- Desert Gate Touris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PROD'!$J$83:$J$87</c:f>
              <c:numCache>
                <c:formatCode>General</c:formatCode>
                <c:ptCount val="5"/>
                <c:pt idx="0">
                  <c:v>6</c:v>
                </c:pt>
                <c:pt idx="1">
                  <c:v>1</c:v>
                </c:pt>
                <c:pt idx="2">
                  <c:v>0</c:v>
                </c:pt>
                <c:pt idx="3">
                  <c:v>0</c:v>
                </c:pt>
                <c:pt idx="4">
                  <c:v>0</c:v>
                </c:pt>
              </c:numCache>
            </c:numRef>
          </c:val>
          <c:extLst>
            <c:ext xmlns:c16="http://schemas.microsoft.com/office/drawing/2014/chart" uri="{C3380CC4-5D6E-409C-BE32-E72D297353CC}">
              <c16:uniqueId val="{00000009-CCD2-4281-98F2-D5D51E59A033}"/>
            </c:ext>
          </c:extLst>
        </c:ser>
        <c:ser>
          <c:idx val="9"/>
          <c:order val="9"/>
          <c:tx>
            <c:strRef>
              <c:f>'COMPANY PROD'!$K$81:$K$82</c:f>
              <c:strCache>
                <c:ptCount val="1"/>
                <c:pt idx="0">
                  <c:v>T- Expedia</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PROD'!$K$83:$K$87</c:f>
              <c:numCache>
                <c:formatCode>General</c:formatCode>
                <c:ptCount val="5"/>
                <c:pt idx="0">
                  <c:v>7</c:v>
                </c:pt>
                <c:pt idx="1">
                  <c:v>0</c:v>
                </c:pt>
                <c:pt idx="2">
                  <c:v>0</c:v>
                </c:pt>
                <c:pt idx="3">
                  <c:v>0</c:v>
                </c:pt>
                <c:pt idx="4">
                  <c:v>0</c:v>
                </c:pt>
              </c:numCache>
            </c:numRef>
          </c:val>
          <c:extLst>
            <c:ext xmlns:c16="http://schemas.microsoft.com/office/drawing/2014/chart" uri="{C3380CC4-5D6E-409C-BE32-E72D297353CC}">
              <c16:uniqueId val="{0000000A-CCD2-4281-98F2-D5D51E59A033}"/>
            </c:ext>
          </c:extLst>
        </c:ser>
        <c:ser>
          <c:idx val="10"/>
          <c:order val="10"/>
          <c:tx>
            <c:strRef>
              <c:f>'COMPANY PROD'!$L$81:$L$82</c:f>
              <c:strCache>
                <c:ptCount val="1"/>
                <c:pt idx="0">
                  <c:v>T- Skymax Holidays c/</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PROD'!$L$83:$L$87</c:f>
              <c:numCache>
                <c:formatCode>General</c:formatCode>
                <c:ptCount val="5"/>
                <c:pt idx="0">
                  <c:v>0</c:v>
                </c:pt>
                <c:pt idx="1">
                  <c:v>3</c:v>
                </c:pt>
                <c:pt idx="2">
                  <c:v>2</c:v>
                </c:pt>
                <c:pt idx="3">
                  <c:v>0</c:v>
                </c:pt>
                <c:pt idx="4">
                  <c:v>0</c:v>
                </c:pt>
              </c:numCache>
            </c:numRef>
          </c:val>
          <c:extLst>
            <c:ext xmlns:c16="http://schemas.microsoft.com/office/drawing/2014/chart" uri="{C3380CC4-5D6E-409C-BE32-E72D297353CC}">
              <c16:uniqueId val="{0000000B-CCD2-4281-98F2-D5D51E59A033}"/>
            </c:ext>
          </c:extLst>
        </c:ser>
        <c:ser>
          <c:idx val="11"/>
          <c:order val="11"/>
          <c:tx>
            <c:strRef>
              <c:f>'COMPANY PROD'!$M$81:$M$82</c:f>
              <c:strCache>
                <c:ptCount val="1"/>
                <c:pt idx="0">
                  <c:v>T- TRIPACTIONS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'COMPANY PROD'!$A$83:$A$87</c:f>
              <c:strCache>
                <c:ptCount val="5"/>
                <c:pt idx="0">
                  <c:v>AUG 25</c:v>
                </c:pt>
                <c:pt idx="1">
                  <c:v>SEP 25</c:v>
                </c:pt>
                <c:pt idx="2">
                  <c:v>OCT 25</c:v>
                </c:pt>
                <c:pt idx="3">
                  <c:v>NOV 25</c:v>
                </c:pt>
                <c:pt idx="4">
                  <c:v>DEC 25</c:v>
                </c:pt>
              </c:strCache>
            </c:strRef>
          </c:cat>
          <c:val>
            <c:numRef>
              <c:f>'COMPANY PROD'!$M$83:$M$87</c:f>
              <c:numCache>
                <c:formatCode>General</c:formatCode>
                <c:ptCount val="5"/>
                <c:pt idx="0">
                  <c:v>0</c:v>
                </c:pt>
                <c:pt idx="1">
                  <c:v>3</c:v>
                </c:pt>
                <c:pt idx="2">
                  <c:v>0</c:v>
                </c:pt>
                <c:pt idx="3">
                  <c:v>0</c:v>
                </c:pt>
                <c:pt idx="4">
                  <c:v>0</c:v>
                </c:pt>
              </c:numCache>
            </c:numRef>
          </c:val>
          <c:extLst>
            <c:ext xmlns:c16="http://schemas.microsoft.com/office/drawing/2014/chart" uri="{C3380CC4-5D6E-409C-BE32-E72D297353CC}">
              <c16:uniqueId val="{0000000C-CCD2-4281-98F2-D5D51E59A033}"/>
            </c:ext>
          </c:extLst>
        </c:ser>
        <c:dLbls>
          <c:showLegendKey val="0"/>
          <c:showVal val="1"/>
          <c:showCatName val="0"/>
          <c:showSerName val="0"/>
          <c:showPercent val="0"/>
          <c:showBubbleSize val="0"/>
        </c:dLbls>
        <c:gapWidth val="100"/>
        <c:overlap val="-24"/>
        <c:axId val="223891296"/>
        <c:axId val="223889216"/>
      </c:barChart>
      <c:dateAx>
        <c:axId val="22389129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3889216"/>
        <c:crosses val="autoZero"/>
        <c:auto val="0"/>
        <c:lblOffset val="100"/>
        <c:baseTimeUnit val="days"/>
      </c:dateAx>
      <c:valAx>
        <c:axId val="223889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3891296"/>
        <c:crossesAt val="1"/>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[23-08-2025 Entered On.xlsm]COMPANY PROD!PivotTable1</c:name>
    <c:fmtId val="18"/>
  </c:pivotSource>
  <c:chart>
    <c:title>
      <c:tx>
        <c:strRef>
          <c:f>'COMPANY PROD'!$S$47</c:f>
          <c:strCache>
            <c:ptCount val="1"/>
            <c:pt idx="0">
              <c:v>M&amp;C / RESV/ OTHERS</c:v>
            </c:pt>
          </c:strCache>
        </c:strRef>
      </c:tx>
      <c:layout>
        <c:manualLayout>
          <c:xMode val="edge"/>
          <c:yMode val="edge"/>
          <c:x val="0.38655771139202411"/>
          <c:y val="2.7092013441136612E-3"/>
        </c:manualLayout>
      </c:layout>
      <c:overlay val="0"/>
      <c:spPr>
        <a:noFill/>
        <a:ln>
          <a:noFill/>
        </a:ln>
        <a:effectLst/>
      </c:spPr>
      <c:txPr>
        <a:bodyPr rot="0" spcFirstLastPara="1" vertOverflow="ellipsis" vert="horz" wrap="square" anchor="ctr" anchorCtr="1"/>
        <a:lstStyle/>
        <a:p>
          <a:pPr>
            <a:defRPr sz="2400" b="1" i="1" u="none" strike="noStrike" kern="1200" baseline="0">
              <a:solidFill>
                <a:srgbClr val="FFC000"/>
              </a:solidFill>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1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3"/>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outEnd"/>
          <c:showLegendKey val="0"/>
          <c:showVal val="1"/>
          <c:showCatName val="1"/>
          <c:showSerName val="0"/>
          <c:showPercent val="1"/>
          <c:showBubbleSize val="0"/>
          <c:extLst>
            <c:ext xmlns:c15="http://schemas.microsoft.com/office/drawing/2012/chart" uri="{CE6537A1-D6FC-4f65-9D91-7224C49458BB}"/>
          </c:extLst>
        </c:dLbl>
      </c:pivotFmt>
      <c:pivotFmt>
        <c:idx val="30"/>
        <c:dLbl>
          <c:idx val="0"/>
          <c:dLblPos val="outEnd"/>
          <c:showLegendKey val="0"/>
          <c:showVal val="1"/>
          <c:showCatName val="1"/>
          <c:showSerName val="0"/>
          <c:showPercent val="1"/>
          <c:showBubbleSize val="0"/>
          <c:extLst>
            <c:ext xmlns:c15="http://schemas.microsoft.com/office/drawing/2012/chart" uri="{CE6537A1-D6FC-4f65-9D91-7224C49458BB}"/>
          </c:extLst>
        </c:dLbl>
      </c:pivotFmt>
      <c:pivotFmt>
        <c:idx val="3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3"/>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4"/>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5"/>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6"/>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7"/>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8"/>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9"/>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4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41"/>
        <c:dLbl>
          <c:idx val="0"/>
          <c:dLblPos val="outEnd"/>
          <c:showLegendKey val="0"/>
          <c:showVal val="1"/>
          <c:showCatName val="1"/>
          <c:showSerName val="0"/>
          <c:showPercent val="1"/>
          <c:showBubbleSize val="0"/>
          <c:extLst>
            <c:ext xmlns:c15="http://schemas.microsoft.com/office/drawing/2012/chart" uri="{CE6537A1-D6FC-4f65-9D91-7224C49458BB}"/>
          </c:extLst>
        </c:dLbl>
      </c:pivotFmt>
      <c:pivotFmt>
        <c:idx val="42"/>
        <c:spPr>
          <a:solidFill>
            <a:schemeClr val="accent6"/>
          </a:solidFill>
          <a:ln>
            <a:noFill/>
          </a:ln>
          <a:effectLst>
            <a:outerShdw blurRad="254000" sx="102000" sy="102000" algn="ctr" rotWithShape="0">
              <a:prstClr val="black">
                <a:alpha val="20000"/>
              </a:prstClr>
            </a:outerShdw>
          </a:effectLst>
        </c:spPr>
      </c:pivotFmt>
      <c:pivotFmt>
        <c:idx val="43"/>
        <c:spPr>
          <a:solidFill>
            <a:schemeClr val="accent6"/>
          </a:solidFill>
          <a:ln>
            <a:noFill/>
          </a:ln>
          <a:effectLst>
            <a:outerShdw blurRad="254000" sx="102000" sy="102000" algn="ctr" rotWithShape="0">
              <a:prstClr val="black">
                <a:alpha val="20000"/>
              </a:prstClr>
            </a:outerShdw>
          </a:effectLst>
        </c:spPr>
      </c:pivotFmt>
      <c:pivotFmt>
        <c:idx val="44"/>
        <c:spPr>
          <a:solidFill>
            <a:schemeClr val="accent6"/>
          </a:solidFill>
          <a:ln>
            <a:noFill/>
          </a:ln>
          <a:effectLst>
            <a:outerShdw blurRad="254000" sx="102000" sy="102000" algn="ctr" rotWithShape="0">
              <a:prstClr val="black">
                <a:alpha val="20000"/>
              </a:prstClr>
            </a:outerShdw>
          </a:effectLst>
        </c:spPr>
      </c:pivotFmt>
      <c:pivotFmt>
        <c:idx val="45"/>
        <c:spPr>
          <a:solidFill>
            <a:schemeClr val="accent6"/>
          </a:solidFill>
          <a:ln>
            <a:noFill/>
          </a:ln>
          <a:effectLst>
            <a:outerShdw blurRad="254000" sx="102000" sy="102000" algn="ctr" rotWithShape="0">
              <a:prstClr val="black">
                <a:alpha val="20000"/>
              </a:prstClr>
            </a:outerShdw>
          </a:effectLst>
        </c:spPr>
      </c:pivotFmt>
      <c:pivotFmt>
        <c:idx val="46"/>
        <c:spPr>
          <a:solidFill>
            <a:schemeClr val="accent6"/>
          </a:solidFill>
          <a:ln>
            <a:noFill/>
          </a:ln>
          <a:effectLst>
            <a:outerShdw blurRad="254000" sx="102000" sy="102000" algn="ctr" rotWithShape="0">
              <a:prstClr val="black">
                <a:alpha val="20000"/>
              </a:prstClr>
            </a:outerShdw>
          </a:effectLst>
        </c:spPr>
      </c:pivotFmt>
      <c:pivotFmt>
        <c:idx val="47"/>
        <c:spPr>
          <a:solidFill>
            <a:schemeClr val="accent6"/>
          </a:solidFill>
          <a:ln>
            <a:noFill/>
          </a:ln>
          <a:effectLst>
            <a:outerShdw blurRad="254000" sx="102000" sy="102000" algn="ctr" rotWithShape="0">
              <a:prstClr val="black">
                <a:alpha val="20000"/>
              </a:prstClr>
            </a:outerShdw>
          </a:effectLst>
        </c:spPr>
      </c:pivotFmt>
      <c:pivotFmt>
        <c:idx val="48"/>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49"/>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0"/>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1"/>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2"/>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3"/>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4"/>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5"/>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6"/>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7"/>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8"/>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59"/>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0"/>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1"/>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2"/>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3"/>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4"/>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5"/>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6"/>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7"/>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8"/>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69"/>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7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1"/>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72"/>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73"/>
        <c:dLbl>
          <c:idx val="0"/>
          <c:dLblPos val="inEnd"/>
          <c:showLegendKey val="0"/>
          <c:showVal val="0"/>
          <c:showCatName val="0"/>
          <c:showSerName val="0"/>
          <c:showPercent val="0"/>
          <c:showBubbleSize val="0"/>
          <c:extLst>
            <c:ext xmlns:c15="http://schemas.microsoft.com/office/drawing/2012/chart" uri="{CE6537A1-D6FC-4f65-9D91-7224C49458BB}"/>
          </c:extLst>
        </c:dLbl>
      </c:pivotFmt>
      <c:pivotFmt>
        <c:idx val="7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6"/>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CBAA4437-FDDE-4F05-AE51-53D3BDE1102C}" type="PERCENTAGE">
                  <a:rPr lang="en-US" baseline="0"/>
                  <a:pPr>
                    <a:defRPr sz="1000" b="1" i="0" u="none" strike="noStrike" kern="1200" baseline="0">
                      <a:solidFill>
                        <a:schemeClr val="lt1"/>
                      </a:solidFill>
                      <a:latin typeface="+mn-lt"/>
                      <a:ea typeface="+mn-ea"/>
                      <a:cs typeface="+mn-cs"/>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77"/>
      </c:pivotFmt>
      <c:pivotFmt>
        <c:idx val="78"/>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baseline="0"/>
                  <a:t> </a:t>
                </a:r>
                <a:fld id="{78572DDA-9236-4485-8DE1-FBF9795268E4}" type="PERCENTAGE">
                  <a:rPr lang="en-US" baseline="0"/>
                  <a:pPr>
                    <a:defRPr sz="1000" b="1" i="0" u="none" strike="noStrike" kern="1200" baseline="0">
                      <a:solidFill>
                        <a:schemeClr val="lt1"/>
                      </a:solidFill>
                      <a:latin typeface="+mn-lt"/>
                      <a:ea typeface="+mn-ea"/>
                      <a:cs typeface="+mn-cs"/>
                    </a:defRPr>
                  </a:pPr>
                  <a:t>[PERCENTAGE]</a:t>
                </a:fld>
                <a:endParaRPr lang="en-US" baseline="0"/>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79"/>
      </c:pivotFmt>
      <c:pivotFmt>
        <c:idx val="80"/>
      </c:pivotFmt>
      <c:pivotFmt>
        <c:idx val="81"/>
      </c:pivotFmt>
      <c:pivotFmt>
        <c:idx val="82"/>
      </c:pivotFmt>
      <c:pivotFmt>
        <c:idx val="83"/>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a:t>0%</a:t>
                </a:r>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showDataLabelsRange val="0"/>
            </c:ext>
          </c:extLst>
        </c:dLbl>
      </c:pivotFmt>
      <c:pivotFmt>
        <c:idx val="84"/>
      </c:pivotFmt>
      <c:pivotFmt>
        <c:idx val="85"/>
      </c:pivotFmt>
      <c:pivotFmt>
        <c:idx val="86"/>
      </c:pivotFmt>
      <c:pivotFmt>
        <c:idx val="8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0"/>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01"/>
        <c:spPr>
          <a:solidFill>
            <a:schemeClr val="accent6"/>
          </a:solidFill>
          <a:ln>
            <a:noFill/>
          </a:ln>
          <a:effectLst>
            <a:outerShdw blurRad="254000" sx="102000" sy="102000" algn="ctr" rotWithShape="0">
              <a:prstClr val="black">
                <a:alpha val="20000"/>
              </a:prstClr>
            </a:outerShdw>
          </a:effectLst>
        </c:spPr>
        <c:marker>
          <c:spPr>
            <a:solidFill>
              <a:schemeClr val="accent6">
                <a:alpha val="85000"/>
              </a:schemeClr>
            </a:solidFill>
            <a:ln>
              <a:noFill/>
            </a:ln>
            <a:effectLst/>
          </c:spPr>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02"/>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0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05"/>
        <c:spPr>
          <a:solidFill>
            <a:schemeClr val="accent6"/>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06"/>
        <c:spPr>
          <a:solidFill>
            <a:schemeClr val="accent6"/>
          </a:solidFill>
          <a:ln>
            <a:noFill/>
          </a:ln>
          <a:effectLst>
            <a:outerShdw blurRad="254000" sx="102000" sy="102000" algn="ctr" rotWithShape="0">
              <a:prstClr val="black">
                <a:alpha val="20000"/>
              </a:prstClr>
            </a:outerShdw>
          </a:effectLst>
        </c:spPr>
        <c:marker>
          <c:spPr>
            <a:solidFill>
              <a:schemeClr val="accent6">
                <a:alpha val="85000"/>
              </a:schemeClr>
            </a:solidFill>
            <a:ln>
              <a:noFill/>
            </a:ln>
            <a:effectLst/>
          </c:spPr>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07"/>
        <c:spPr>
          <a:solidFill>
            <a:schemeClr val="accent6"/>
          </a:solidFill>
          <a:ln>
            <a:noFill/>
          </a:ln>
          <a:effectLst>
            <a:outerShdw blurRad="254000" sx="102000" sy="102000" algn="ctr" rotWithShape="0">
              <a:prstClr val="black">
                <a:alpha val="20000"/>
              </a:prstClr>
            </a:outerShdw>
          </a:effectLst>
        </c:spPr>
        <c:marker>
          <c:spPr>
            <a:solidFill>
              <a:schemeClr val="accent6">
                <a:alpha val="85000"/>
              </a:schemeClr>
            </a:solidFill>
            <a:ln>
              <a:noFill/>
            </a:ln>
            <a:effectLst/>
          </c:spPr>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08"/>
        <c:spPr>
          <a:solidFill>
            <a:schemeClr val="accent6"/>
          </a:solidFill>
          <a:ln>
            <a:noFill/>
          </a:ln>
          <a:effectLst>
            <a:outerShdw blurRad="254000" sx="102000" sy="102000" algn="ctr" rotWithShape="0">
              <a:prstClr val="black">
                <a:alpha val="20000"/>
              </a:prstClr>
            </a:outerShdw>
          </a:effectLst>
        </c:spPr>
        <c:marker>
          <c:spPr>
            <a:solidFill>
              <a:schemeClr val="accent6">
                <a:alpha val="85000"/>
              </a:schemeClr>
            </a:solidFill>
            <a:ln>
              <a:noFill/>
            </a:ln>
            <a:effectLst/>
          </c:spPr>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09"/>
        <c:spPr>
          <a:solidFill>
            <a:schemeClr val="accent6"/>
          </a:solidFill>
          <a:ln>
            <a:noFill/>
          </a:ln>
          <a:effectLst>
            <a:outerShdw blurRad="254000" sx="102000" sy="102000" algn="ctr" rotWithShape="0">
              <a:prstClr val="black">
                <a:alpha val="20000"/>
              </a:prstClr>
            </a:outerShdw>
          </a:effectLst>
        </c:spPr>
        <c:marker>
          <c:spPr>
            <a:solidFill>
              <a:schemeClr val="accent6">
                <a:alpha val="85000"/>
              </a:schemeClr>
            </a:solidFill>
            <a:ln>
              <a:noFill/>
            </a:ln>
            <a:effectLst/>
          </c:spPr>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10"/>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11"/>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12"/>
        <c:spPr>
          <a:solidFill>
            <a:schemeClr val="accent6"/>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13"/>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14"/>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15"/>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16"/>
        <c:spPr>
          <a:solidFill>
            <a:schemeClr val="accent6"/>
          </a:solidFill>
          <a:ln>
            <a:noFill/>
          </a:ln>
          <a:effectLst>
            <a:outerShdw blurRad="254000" sx="102000" sy="102000" algn="ctr" rotWithShape="0">
              <a:prstClr val="black">
                <a:alpha val="20000"/>
              </a:prstClr>
            </a:outerShdw>
          </a:effectLst>
        </c:spPr>
      </c:pivotFmt>
      <c:pivotFmt>
        <c:idx val="117"/>
        <c:spPr>
          <a:solidFill>
            <a:schemeClr val="accent6"/>
          </a:solidFill>
          <a:ln>
            <a:noFill/>
          </a:ln>
          <a:effectLst>
            <a:outerShdw blurRad="254000" sx="102000" sy="102000" algn="ctr" rotWithShape="0">
              <a:prstClr val="black">
                <a:alpha val="20000"/>
              </a:prstClr>
            </a:outerShdw>
          </a:effectLst>
        </c:spPr>
      </c:pivotFmt>
      <c:pivotFmt>
        <c:idx val="118"/>
        <c:spPr>
          <a:solidFill>
            <a:schemeClr val="accent6"/>
          </a:solidFill>
          <a:ln>
            <a:noFill/>
          </a:ln>
          <a:effectLst>
            <a:outerShdw blurRad="254000" sx="102000" sy="102000" algn="ctr" rotWithShape="0">
              <a:prstClr val="black">
                <a:alpha val="20000"/>
              </a:prstClr>
            </a:outerShdw>
          </a:effectLst>
        </c:spPr>
      </c:pivotFmt>
      <c:pivotFmt>
        <c:idx val="119"/>
        <c:spPr>
          <a:solidFill>
            <a:schemeClr val="accent6"/>
          </a:solidFill>
          <a:ln>
            <a:noFill/>
          </a:ln>
          <a:effectLst>
            <a:outerShdw blurRad="254000" sx="102000" sy="102000" algn="ctr" rotWithShape="0">
              <a:prstClr val="black">
                <a:alpha val="20000"/>
              </a:prstClr>
            </a:outerShdw>
          </a:effectLst>
        </c:spPr>
      </c:pivotFmt>
      <c:pivotFmt>
        <c:idx val="120"/>
        <c:spPr>
          <a:solidFill>
            <a:schemeClr val="accent6"/>
          </a:solidFill>
          <a:ln>
            <a:noFill/>
          </a:ln>
          <a:effectLst>
            <a:outerShdw blurRad="254000" sx="102000" sy="102000" algn="ctr" rotWithShape="0">
              <a:prstClr val="black">
                <a:alpha val="20000"/>
              </a:prstClr>
            </a:outerShdw>
          </a:effectLst>
        </c:spPr>
      </c:pivotFmt>
      <c:pivotFmt>
        <c:idx val="121"/>
        <c:spPr>
          <a:solidFill>
            <a:schemeClr val="accent6"/>
          </a:solidFill>
          <a:ln>
            <a:noFill/>
          </a:ln>
          <a:effectLst>
            <a:outerShdw blurRad="254000" sx="102000" sy="102000" algn="ctr" rotWithShape="0">
              <a:prstClr val="black">
                <a:alpha val="20000"/>
              </a:prstClr>
            </a:outerShdw>
          </a:effectLst>
        </c:spPr>
      </c:pivotFmt>
      <c:pivotFmt>
        <c:idx val="122"/>
        <c:spPr>
          <a:solidFill>
            <a:schemeClr val="accent6"/>
          </a:solidFill>
          <a:ln>
            <a:noFill/>
          </a:ln>
          <a:effectLst>
            <a:outerShdw blurRad="254000" sx="102000" sy="102000" algn="ctr" rotWithShape="0">
              <a:prstClr val="black">
                <a:alpha val="20000"/>
              </a:prstClr>
            </a:outerShdw>
          </a:effectLst>
        </c:spPr>
      </c:pivotFmt>
      <c:pivotFmt>
        <c:idx val="123"/>
        <c:spPr>
          <a:solidFill>
            <a:schemeClr val="accent6"/>
          </a:solidFill>
          <a:ln>
            <a:noFill/>
          </a:ln>
          <a:effectLst>
            <a:outerShdw blurRad="254000" sx="102000" sy="102000" algn="ctr" rotWithShape="0">
              <a:prstClr val="black">
                <a:alpha val="20000"/>
              </a:prstClr>
            </a:outerShdw>
          </a:effectLst>
        </c:spPr>
      </c:pivotFmt>
      <c:pivotFmt>
        <c:idx val="124"/>
        <c:spPr>
          <a:solidFill>
            <a:schemeClr val="accent6"/>
          </a:solidFill>
          <a:ln>
            <a:noFill/>
          </a:ln>
          <a:effectLst>
            <a:outerShdw blurRad="254000" sx="102000" sy="102000" algn="ctr" rotWithShape="0">
              <a:prstClr val="black">
                <a:alpha val="20000"/>
              </a:prstClr>
            </a:outerShdw>
          </a:effectLst>
        </c:spPr>
      </c:pivotFmt>
      <c:pivotFmt>
        <c:idx val="125"/>
        <c:spPr>
          <a:solidFill>
            <a:schemeClr val="accent6"/>
          </a:solidFill>
          <a:ln>
            <a:noFill/>
          </a:ln>
          <a:effectLst>
            <a:outerShdw blurRad="254000" sx="102000" sy="102000" algn="ctr" rotWithShape="0">
              <a:prstClr val="black">
                <a:alpha val="20000"/>
              </a:prstClr>
            </a:outerShdw>
          </a:effectLst>
        </c:spPr>
      </c:pivotFmt>
      <c:pivotFmt>
        <c:idx val="126"/>
        <c:spPr>
          <a:solidFill>
            <a:schemeClr val="accent6"/>
          </a:solidFill>
          <a:ln>
            <a:noFill/>
          </a:ln>
          <a:effectLst>
            <a:outerShdw blurRad="254000" sx="102000" sy="102000" algn="ctr" rotWithShape="0">
              <a:prstClr val="black">
                <a:alpha val="20000"/>
              </a:prstClr>
            </a:outerShdw>
          </a:effectLst>
        </c:spPr>
      </c:pivotFmt>
      <c:pivotFmt>
        <c:idx val="12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28"/>
        <c:spPr>
          <a:solidFill>
            <a:schemeClr val="accent6"/>
          </a:solidFill>
          <a:ln>
            <a:noFill/>
          </a:ln>
          <a:effectLst>
            <a:outerShdw blurRad="254000" sx="102000" sy="102000" algn="ctr" rotWithShape="0">
              <a:prstClr val="black">
                <a:alpha val="20000"/>
              </a:prstClr>
            </a:outerShdw>
          </a:effectLst>
        </c:spPr>
      </c:pivotFmt>
      <c:pivotFmt>
        <c:idx val="129"/>
        <c:spPr>
          <a:solidFill>
            <a:schemeClr val="accent6"/>
          </a:solidFill>
          <a:ln>
            <a:noFill/>
          </a:ln>
          <a:effectLst>
            <a:outerShdw blurRad="254000" sx="102000" sy="102000" algn="ctr" rotWithShape="0">
              <a:prstClr val="black">
                <a:alpha val="20000"/>
              </a:prstClr>
            </a:outerShdw>
          </a:effectLst>
        </c:spPr>
      </c:pivotFmt>
      <c:pivotFmt>
        <c:idx val="130"/>
        <c:spPr>
          <a:solidFill>
            <a:schemeClr val="accent6"/>
          </a:solidFill>
          <a:ln>
            <a:noFill/>
          </a:ln>
          <a:effectLst>
            <a:outerShdw blurRad="254000" sx="102000" sy="102000" algn="ctr" rotWithShape="0">
              <a:prstClr val="black">
                <a:alpha val="20000"/>
              </a:prstClr>
            </a:outerShdw>
          </a:effectLst>
        </c:spPr>
      </c:pivotFmt>
      <c:pivotFmt>
        <c:idx val="131"/>
        <c:spPr>
          <a:solidFill>
            <a:schemeClr val="accent6"/>
          </a:solidFill>
          <a:ln>
            <a:noFill/>
          </a:ln>
          <a:effectLst>
            <a:outerShdw blurRad="254000" sx="102000" sy="102000" algn="ctr" rotWithShape="0">
              <a:prstClr val="black">
                <a:alpha val="20000"/>
              </a:prstClr>
            </a:outerShdw>
          </a:effectLst>
        </c:spPr>
      </c:pivotFmt>
      <c:pivotFmt>
        <c:idx val="132"/>
        <c:spPr>
          <a:solidFill>
            <a:schemeClr val="accent6"/>
          </a:solidFill>
          <a:ln>
            <a:noFill/>
          </a:ln>
          <a:effectLst>
            <a:outerShdw blurRad="254000" sx="102000" sy="102000" algn="ctr" rotWithShape="0">
              <a:prstClr val="black">
                <a:alpha val="20000"/>
              </a:prstClr>
            </a:outerShdw>
          </a:effectLst>
        </c:spPr>
      </c:pivotFmt>
      <c:pivotFmt>
        <c:idx val="133"/>
        <c:spPr>
          <a:solidFill>
            <a:schemeClr val="accent6"/>
          </a:solidFill>
          <a:ln>
            <a:noFill/>
          </a:ln>
          <a:effectLst>
            <a:outerShdw blurRad="254000" sx="102000" sy="102000" algn="ctr" rotWithShape="0">
              <a:prstClr val="black">
                <a:alpha val="20000"/>
              </a:prstClr>
            </a:outerShdw>
          </a:effectLst>
        </c:spPr>
      </c:pivotFmt>
      <c:pivotFmt>
        <c:idx val="134"/>
        <c:spPr>
          <a:solidFill>
            <a:schemeClr val="accent6"/>
          </a:solidFill>
          <a:ln>
            <a:noFill/>
          </a:ln>
          <a:effectLst>
            <a:outerShdw blurRad="254000" sx="102000" sy="102000" algn="ctr" rotWithShape="0">
              <a:prstClr val="black">
                <a:alpha val="20000"/>
              </a:prstClr>
            </a:outerShdw>
          </a:effectLst>
        </c:spPr>
      </c:pivotFmt>
      <c:pivotFmt>
        <c:idx val="135"/>
        <c:spPr>
          <a:solidFill>
            <a:schemeClr val="accent6"/>
          </a:solidFill>
          <a:ln>
            <a:noFill/>
          </a:ln>
          <a:effectLst>
            <a:outerShdw blurRad="254000" sx="102000" sy="102000" algn="ctr" rotWithShape="0">
              <a:prstClr val="black">
                <a:alpha val="20000"/>
              </a:prstClr>
            </a:outerShdw>
          </a:effectLst>
        </c:spPr>
      </c:pivotFmt>
      <c:pivotFmt>
        <c:idx val="136"/>
        <c:spPr>
          <a:solidFill>
            <a:schemeClr val="accent6"/>
          </a:solidFill>
          <a:ln>
            <a:noFill/>
          </a:ln>
          <a:effectLst>
            <a:outerShdw blurRad="254000" sx="102000" sy="102000" algn="ctr" rotWithShape="0">
              <a:prstClr val="black">
                <a:alpha val="20000"/>
              </a:prstClr>
            </a:outerShdw>
          </a:effectLst>
        </c:spPr>
      </c:pivotFmt>
      <c:pivotFmt>
        <c:idx val="137"/>
        <c:spPr>
          <a:solidFill>
            <a:schemeClr val="accent6"/>
          </a:solidFill>
          <a:ln>
            <a:noFill/>
          </a:ln>
          <a:effectLst>
            <a:outerShdw blurRad="254000" sx="102000" sy="102000" algn="ctr" rotWithShape="0">
              <a:prstClr val="black">
                <a:alpha val="20000"/>
              </a:prstClr>
            </a:outerShdw>
          </a:effectLst>
        </c:spPr>
      </c:pivotFmt>
      <c:pivotFmt>
        <c:idx val="138"/>
        <c:spPr>
          <a:solidFill>
            <a:schemeClr val="accent6"/>
          </a:solidFill>
          <a:ln>
            <a:noFill/>
          </a:ln>
          <a:effectLst>
            <a:outerShdw blurRad="254000" sx="102000" sy="102000" algn="ctr" rotWithShape="0">
              <a:prstClr val="black">
                <a:alpha val="20000"/>
              </a:prstClr>
            </a:outerShdw>
          </a:effectLst>
        </c:spPr>
      </c:pivotFmt>
      <c:pivotFmt>
        <c:idx val="13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9"/>
        <c:spPr>
          <a:solidFill>
            <a:schemeClr val="accent6"/>
          </a:solidFill>
          <a:ln>
            <a:noFill/>
          </a:ln>
          <a:effectLst>
            <a:outerShdw blurRad="254000" sx="102000" sy="102000" algn="ctr" rotWithShape="0">
              <a:prstClr val="black">
                <a:alpha val="20000"/>
              </a:prstClr>
            </a:outerShdw>
          </a:effectLst>
        </c:spPr>
      </c:pivotFmt>
      <c:pivotFmt>
        <c:idx val="180"/>
        <c:spPr>
          <a:solidFill>
            <a:schemeClr val="accent6"/>
          </a:solidFill>
          <a:ln>
            <a:noFill/>
          </a:ln>
          <a:effectLst>
            <a:outerShdw blurRad="254000" sx="102000" sy="102000" algn="ctr" rotWithShape="0">
              <a:prstClr val="black">
                <a:alpha val="20000"/>
              </a:prstClr>
            </a:outerShdw>
          </a:effectLst>
        </c:spPr>
      </c:pivotFmt>
      <c:pivotFmt>
        <c:idx val="181"/>
        <c:spPr>
          <a:solidFill>
            <a:schemeClr val="accent6"/>
          </a:solidFill>
          <a:ln>
            <a:noFill/>
          </a:ln>
          <a:effectLst>
            <a:outerShdw blurRad="254000" sx="102000" sy="102000" algn="ctr" rotWithShape="0">
              <a:prstClr val="black">
                <a:alpha val="20000"/>
              </a:prstClr>
            </a:outerShdw>
          </a:effectLst>
        </c:spPr>
      </c:pivotFmt>
      <c:pivotFmt>
        <c:idx val="182"/>
        <c:spPr>
          <a:solidFill>
            <a:schemeClr val="accent6"/>
          </a:solidFill>
          <a:ln>
            <a:noFill/>
          </a:ln>
          <a:effectLst>
            <a:outerShdw blurRad="254000" sx="102000" sy="102000" algn="ctr" rotWithShape="0">
              <a:prstClr val="black">
                <a:alpha val="20000"/>
              </a:prstClr>
            </a:outerShdw>
          </a:effectLst>
        </c:spPr>
      </c:pivotFmt>
      <c:pivotFmt>
        <c:idx val="183"/>
        <c:spPr>
          <a:solidFill>
            <a:schemeClr val="accent6"/>
          </a:solidFill>
          <a:ln>
            <a:noFill/>
          </a:ln>
          <a:effectLst>
            <a:outerShdw blurRad="254000" sx="102000" sy="102000" algn="ctr" rotWithShape="0">
              <a:prstClr val="black">
                <a:alpha val="20000"/>
              </a:prstClr>
            </a:outerShdw>
          </a:effectLst>
        </c:spPr>
      </c:pivotFmt>
      <c:pivotFmt>
        <c:idx val="184"/>
        <c:spPr>
          <a:solidFill>
            <a:schemeClr val="accent6"/>
          </a:solidFill>
          <a:ln>
            <a:noFill/>
          </a:ln>
          <a:effectLst>
            <a:outerShdw blurRad="254000" sx="102000" sy="102000" algn="ctr" rotWithShape="0">
              <a:prstClr val="black">
                <a:alpha val="20000"/>
              </a:prstClr>
            </a:outerShdw>
          </a:effectLst>
        </c:spPr>
      </c:pivotFmt>
      <c:pivotFmt>
        <c:idx val="185"/>
        <c:spPr>
          <a:solidFill>
            <a:schemeClr val="accent6"/>
          </a:solidFill>
          <a:ln>
            <a:noFill/>
          </a:ln>
          <a:effectLst>
            <a:outerShdw blurRad="254000" sx="102000" sy="102000" algn="ctr" rotWithShape="0">
              <a:prstClr val="black">
                <a:alpha val="20000"/>
              </a:prstClr>
            </a:outerShdw>
          </a:effectLst>
        </c:spPr>
      </c:pivotFmt>
      <c:pivotFmt>
        <c:idx val="186"/>
        <c:spPr>
          <a:solidFill>
            <a:schemeClr val="accent6"/>
          </a:solidFill>
          <a:ln>
            <a:noFill/>
          </a:ln>
          <a:effectLst>
            <a:outerShdw blurRad="254000" sx="102000" sy="102000" algn="ctr" rotWithShape="0">
              <a:prstClr val="black">
                <a:alpha val="20000"/>
              </a:prstClr>
            </a:outerShdw>
          </a:effectLst>
        </c:spPr>
      </c:pivotFmt>
      <c:pivotFmt>
        <c:idx val="187"/>
        <c:spPr>
          <a:solidFill>
            <a:schemeClr val="accent6"/>
          </a:solidFill>
          <a:ln>
            <a:noFill/>
          </a:ln>
          <a:effectLst>
            <a:outerShdw blurRad="254000" sx="102000" sy="102000" algn="ctr" rotWithShape="0">
              <a:prstClr val="black">
                <a:alpha val="20000"/>
              </a:prstClr>
            </a:outerShdw>
          </a:effectLst>
        </c:spPr>
      </c:pivotFmt>
      <c:pivotFmt>
        <c:idx val="188"/>
        <c:spPr>
          <a:solidFill>
            <a:schemeClr val="accent6"/>
          </a:solidFill>
          <a:ln>
            <a:noFill/>
          </a:ln>
          <a:effectLst>
            <a:outerShdw blurRad="254000" sx="102000" sy="102000" algn="ctr" rotWithShape="0">
              <a:prstClr val="black">
                <a:alpha val="20000"/>
              </a:prstClr>
            </a:outerShdw>
          </a:effectLst>
        </c:spPr>
      </c:pivotFmt>
      <c:pivotFmt>
        <c:idx val="189"/>
        <c:spPr>
          <a:solidFill>
            <a:schemeClr val="accent6"/>
          </a:solidFill>
          <a:ln>
            <a:noFill/>
          </a:ln>
          <a:effectLst>
            <a:outerShdw blurRad="254000" sx="102000" sy="102000" algn="ctr" rotWithShape="0">
              <a:prstClr val="black">
                <a:alpha val="20000"/>
              </a:prstClr>
            </a:outerShdw>
          </a:effectLst>
        </c:spPr>
      </c:pivotFmt>
      <c:pivotFmt>
        <c:idx val="19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9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9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9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9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9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0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0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0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0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0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9"/>
        <c:spPr>
          <a:solidFill>
            <a:schemeClr val="accent6"/>
          </a:solidFill>
          <a:ln>
            <a:noFill/>
          </a:ln>
          <a:effectLst>
            <a:outerShdw blurRad="254000" sx="102000" sy="102000" algn="ctr" rotWithShape="0">
              <a:prstClr val="black">
                <a:alpha val="20000"/>
              </a:prstClr>
            </a:outerShdw>
          </a:effectLst>
        </c:spPr>
      </c:pivotFmt>
      <c:pivotFmt>
        <c:idx val="210"/>
        <c:spPr>
          <a:solidFill>
            <a:schemeClr val="accent6"/>
          </a:solidFill>
          <a:ln>
            <a:noFill/>
          </a:ln>
          <a:effectLst>
            <a:outerShdw blurRad="254000" sx="102000" sy="102000" algn="ctr" rotWithShape="0">
              <a:prstClr val="black">
                <a:alpha val="20000"/>
              </a:prstClr>
            </a:outerShdw>
          </a:effectLst>
        </c:spPr>
      </c:pivotFmt>
      <c:pivotFmt>
        <c:idx val="211"/>
        <c:spPr>
          <a:solidFill>
            <a:schemeClr val="accent6"/>
          </a:solidFill>
          <a:ln>
            <a:noFill/>
          </a:ln>
          <a:effectLst>
            <a:outerShdw blurRad="254000" sx="102000" sy="102000" algn="ctr" rotWithShape="0">
              <a:prstClr val="black">
                <a:alpha val="20000"/>
              </a:prstClr>
            </a:outerShdw>
          </a:effectLst>
        </c:spPr>
      </c:pivotFmt>
      <c:pivotFmt>
        <c:idx val="212"/>
        <c:spPr>
          <a:solidFill>
            <a:schemeClr val="accent6"/>
          </a:solidFill>
          <a:ln>
            <a:noFill/>
          </a:ln>
          <a:effectLst>
            <a:outerShdw blurRad="254000" sx="102000" sy="102000" algn="ctr" rotWithShape="0">
              <a:prstClr val="black">
                <a:alpha val="20000"/>
              </a:prstClr>
            </a:outerShdw>
          </a:effectLst>
        </c:spPr>
      </c:pivotFmt>
      <c:pivotFmt>
        <c:idx val="213"/>
        <c:spPr>
          <a:solidFill>
            <a:schemeClr val="accent6"/>
          </a:solidFill>
          <a:ln>
            <a:noFill/>
          </a:ln>
          <a:effectLst>
            <a:outerShdw blurRad="254000" sx="102000" sy="102000" algn="ctr" rotWithShape="0">
              <a:prstClr val="black">
                <a:alpha val="20000"/>
              </a:prstClr>
            </a:outerShdw>
          </a:effectLst>
        </c:spPr>
      </c:pivotFmt>
      <c:pivotFmt>
        <c:idx val="214"/>
        <c:spPr>
          <a:solidFill>
            <a:schemeClr val="accent6"/>
          </a:solidFill>
          <a:ln>
            <a:noFill/>
          </a:ln>
          <a:effectLst>
            <a:outerShdw blurRad="254000" sx="102000" sy="102000" algn="ctr" rotWithShape="0">
              <a:prstClr val="black">
                <a:alpha val="20000"/>
              </a:prstClr>
            </a:outerShdw>
          </a:effectLst>
        </c:spPr>
      </c:pivotFmt>
      <c:pivotFmt>
        <c:idx val="215"/>
        <c:spPr>
          <a:solidFill>
            <a:schemeClr val="accent6"/>
          </a:solidFill>
          <a:ln>
            <a:noFill/>
          </a:ln>
          <a:effectLst>
            <a:outerShdw blurRad="254000" sx="102000" sy="102000" algn="ctr" rotWithShape="0">
              <a:prstClr val="black">
                <a:alpha val="20000"/>
              </a:prstClr>
            </a:outerShdw>
          </a:effectLst>
        </c:spPr>
      </c:pivotFmt>
      <c:pivotFmt>
        <c:idx val="216"/>
        <c:spPr>
          <a:solidFill>
            <a:schemeClr val="accent6"/>
          </a:solidFill>
          <a:ln>
            <a:noFill/>
          </a:ln>
          <a:effectLst>
            <a:outerShdw blurRad="254000" sx="102000" sy="102000" algn="ctr" rotWithShape="0">
              <a:prstClr val="black">
                <a:alpha val="20000"/>
              </a:prstClr>
            </a:outerShdw>
          </a:effectLst>
        </c:spPr>
      </c:pivotFmt>
      <c:pivotFmt>
        <c:idx val="217"/>
        <c:spPr>
          <a:solidFill>
            <a:schemeClr val="accent6"/>
          </a:solidFill>
          <a:ln>
            <a:noFill/>
          </a:ln>
          <a:effectLst>
            <a:outerShdw blurRad="254000" sx="102000" sy="102000" algn="ctr" rotWithShape="0">
              <a:prstClr val="black">
                <a:alpha val="20000"/>
              </a:prstClr>
            </a:outerShdw>
          </a:effectLst>
        </c:spPr>
      </c:pivotFmt>
      <c:pivotFmt>
        <c:idx val="218"/>
        <c:spPr>
          <a:solidFill>
            <a:schemeClr val="accent6"/>
          </a:solidFill>
          <a:ln>
            <a:noFill/>
          </a:ln>
          <a:effectLst>
            <a:outerShdw blurRad="254000" sx="102000" sy="102000" algn="ctr" rotWithShape="0">
              <a:prstClr val="black">
                <a:alpha val="20000"/>
              </a:prstClr>
            </a:outerShdw>
          </a:effectLst>
        </c:spPr>
      </c:pivotFmt>
      <c:pivotFmt>
        <c:idx val="219"/>
        <c:spPr>
          <a:solidFill>
            <a:schemeClr val="accent6"/>
          </a:solidFill>
          <a:ln>
            <a:noFill/>
          </a:ln>
          <a:effectLst>
            <a:outerShdw blurRad="254000" sx="102000" sy="102000" algn="ctr" rotWithShape="0">
              <a:prstClr val="black">
                <a:alpha val="20000"/>
              </a:prstClr>
            </a:outerShdw>
          </a:effectLst>
        </c:spPr>
      </c:pivotFmt>
      <c:pivotFmt>
        <c:idx val="220"/>
        <c:spPr>
          <a:solidFill>
            <a:schemeClr val="accent6"/>
          </a:solidFill>
          <a:ln>
            <a:noFill/>
          </a:ln>
          <a:effectLst>
            <a:outerShdw blurRad="254000" sx="102000" sy="102000" algn="ctr" rotWithShape="0">
              <a:prstClr val="black">
                <a:alpha val="20000"/>
              </a:prstClr>
            </a:outerShdw>
          </a:effectLst>
        </c:spPr>
      </c:pivotFmt>
      <c:pivotFmt>
        <c:idx val="221"/>
        <c:spPr>
          <a:solidFill>
            <a:schemeClr val="accent6"/>
          </a:solidFill>
          <a:ln>
            <a:noFill/>
          </a:ln>
          <a:effectLst>
            <a:outerShdw blurRad="254000" sx="102000" sy="102000" algn="ctr" rotWithShape="0">
              <a:prstClr val="black">
                <a:alpha val="20000"/>
              </a:prstClr>
            </a:outerShdw>
          </a:effectLst>
        </c:spPr>
      </c:pivotFmt>
      <c:pivotFmt>
        <c:idx val="222"/>
        <c:spPr>
          <a:solidFill>
            <a:schemeClr val="accent6"/>
          </a:solidFill>
          <a:ln>
            <a:noFill/>
          </a:ln>
          <a:effectLst>
            <a:outerShdw blurRad="254000" sx="102000" sy="102000" algn="ctr" rotWithShape="0">
              <a:prstClr val="black">
                <a:alpha val="20000"/>
              </a:prstClr>
            </a:outerShdw>
          </a:effectLst>
        </c:spPr>
      </c:pivotFmt>
      <c:pivotFmt>
        <c:idx val="223"/>
        <c:spPr>
          <a:solidFill>
            <a:schemeClr val="accent6"/>
          </a:solidFill>
          <a:ln>
            <a:noFill/>
          </a:ln>
          <a:effectLst>
            <a:outerShdw blurRad="254000" sx="102000" sy="102000" algn="ctr" rotWithShape="0">
              <a:prstClr val="black">
                <a:alpha val="20000"/>
              </a:prstClr>
            </a:outerShdw>
          </a:effectLst>
        </c:spPr>
      </c:pivotFmt>
      <c:pivotFmt>
        <c:idx val="224"/>
        <c:spPr>
          <a:solidFill>
            <a:schemeClr val="accent6"/>
          </a:solidFill>
          <a:ln>
            <a:noFill/>
          </a:ln>
          <a:effectLst>
            <a:outerShdw blurRad="254000" sx="102000" sy="102000" algn="ctr" rotWithShape="0">
              <a:prstClr val="black">
                <a:alpha val="20000"/>
              </a:prstClr>
            </a:outerShdw>
          </a:effectLst>
        </c:spPr>
      </c:pivotFmt>
      <c:pivotFmt>
        <c:idx val="225"/>
        <c:spPr>
          <a:solidFill>
            <a:schemeClr val="accent6"/>
          </a:solidFill>
          <a:ln>
            <a:noFill/>
          </a:ln>
          <a:effectLst>
            <a:outerShdw blurRad="254000" sx="102000" sy="102000" algn="ctr" rotWithShape="0">
              <a:prstClr val="black">
                <a:alpha val="20000"/>
              </a:prstClr>
            </a:outerShdw>
          </a:effectLst>
        </c:spPr>
      </c:pivotFmt>
      <c:pivotFmt>
        <c:idx val="226"/>
        <c:spPr>
          <a:solidFill>
            <a:schemeClr val="accent6"/>
          </a:solidFill>
          <a:ln>
            <a:noFill/>
          </a:ln>
          <a:effectLst>
            <a:outerShdw blurRad="254000" sx="102000" sy="102000" algn="ctr" rotWithShape="0">
              <a:prstClr val="black">
                <a:alpha val="20000"/>
              </a:prstClr>
            </a:outerShdw>
          </a:effectLst>
        </c:spPr>
      </c:pivotFmt>
      <c:pivotFmt>
        <c:idx val="227"/>
        <c:spPr>
          <a:solidFill>
            <a:schemeClr val="accent6"/>
          </a:solidFill>
          <a:ln>
            <a:noFill/>
          </a:ln>
          <a:effectLst>
            <a:outerShdw blurRad="254000" sx="102000" sy="102000" algn="ctr" rotWithShape="0">
              <a:prstClr val="black">
                <a:alpha val="20000"/>
              </a:prstClr>
            </a:outerShdw>
          </a:effectLst>
        </c:spPr>
      </c:pivotFmt>
      <c:pivotFmt>
        <c:idx val="228"/>
        <c:spPr>
          <a:solidFill>
            <a:schemeClr val="accent6"/>
          </a:solidFill>
          <a:ln>
            <a:noFill/>
          </a:ln>
          <a:effectLst>
            <a:outerShdw blurRad="254000" sx="102000" sy="102000" algn="ctr" rotWithShape="0">
              <a:prstClr val="black">
                <a:alpha val="20000"/>
              </a:prstClr>
            </a:outerShdw>
          </a:effectLst>
        </c:spPr>
      </c:pivotFmt>
      <c:pivotFmt>
        <c:idx val="229"/>
        <c:spPr>
          <a:solidFill>
            <a:schemeClr val="accent6"/>
          </a:solidFill>
          <a:ln>
            <a:noFill/>
          </a:ln>
          <a:effectLst>
            <a:outerShdw blurRad="254000" sx="102000" sy="102000" algn="ctr" rotWithShape="0">
              <a:prstClr val="black">
                <a:alpha val="20000"/>
              </a:prstClr>
            </a:outerShdw>
          </a:effectLst>
        </c:spPr>
      </c:pivotFmt>
      <c:pivotFmt>
        <c:idx val="230"/>
        <c:spPr>
          <a:solidFill>
            <a:schemeClr val="accent6"/>
          </a:solidFill>
          <a:ln>
            <a:noFill/>
          </a:ln>
          <a:effectLst>
            <a:outerShdw blurRad="254000" sx="102000" sy="102000" algn="ctr" rotWithShape="0">
              <a:prstClr val="black">
                <a:alpha val="20000"/>
              </a:prstClr>
            </a:outerShdw>
          </a:effectLst>
        </c:spPr>
      </c:pivotFmt>
      <c:pivotFmt>
        <c:idx val="231"/>
        <c:spPr>
          <a:solidFill>
            <a:schemeClr val="accent6"/>
          </a:solidFill>
          <a:ln>
            <a:noFill/>
          </a:ln>
          <a:effectLst>
            <a:outerShdw blurRad="254000" sx="102000" sy="102000" algn="ctr" rotWithShape="0">
              <a:prstClr val="black">
                <a:alpha val="20000"/>
              </a:prstClr>
            </a:outerShdw>
          </a:effectLst>
        </c:spPr>
      </c:pivotFmt>
      <c:pivotFmt>
        <c:idx val="232"/>
        <c:spPr>
          <a:solidFill>
            <a:schemeClr val="accent6"/>
          </a:solidFill>
          <a:ln>
            <a:noFill/>
          </a:ln>
          <a:effectLst>
            <a:outerShdw blurRad="254000" sx="102000" sy="102000" algn="ctr" rotWithShape="0">
              <a:prstClr val="black">
                <a:alpha val="20000"/>
              </a:prstClr>
            </a:outerShdw>
          </a:effectLst>
        </c:spPr>
      </c:pivotFmt>
      <c:pivotFmt>
        <c:idx val="233"/>
        <c:spPr>
          <a:solidFill>
            <a:schemeClr val="accent6"/>
          </a:solidFill>
          <a:ln>
            <a:noFill/>
          </a:ln>
          <a:effectLst>
            <a:outerShdw blurRad="254000" sx="102000" sy="102000" algn="ctr" rotWithShape="0">
              <a:prstClr val="black">
                <a:alpha val="20000"/>
              </a:prstClr>
            </a:outerShdw>
          </a:effectLst>
        </c:spPr>
      </c:pivotFmt>
      <c:pivotFmt>
        <c:idx val="234"/>
        <c:spPr>
          <a:solidFill>
            <a:schemeClr val="accent6"/>
          </a:solidFill>
          <a:ln>
            <a:noFill/>
          </a:ln>
          <a:effectLst>
            <a:outerShdw blurRad="254000" sx="102000" sy="102000" algn="ctr" rotWithShape="0">
              <a:prstClr val="black">
                <a:alpha val="20000"/>
              </a:prstClr>
            </a:outerShdw>
          </a:effectLst>
        </c:spPr>
      </c:pivotFmt>
      <c:pivotFmt>
        <c:idx val="235"/>
        <c:spPr>
          <a:solidFill>
            <a:schemeClr val="accent6"/>
          </a:solidFill>
          <a:ln>
            <a:noFill/>
          </a:ln>
          <a:effectLst>
            <a:outerShdw blurRad="254000" sx="102000" sy="102000" algn="ctr" rotWithShape="0">
              <a:prstClr val="black">
                <a:alpha val="20000"/>
              </a:prstClr>
            </a:outerShdw>
          </a:effectLst>
        </c:spPr>
      </c:pivotFmt>
      <c:pivotFmt>
        <c:idx val="236"/>
        <c:spPr>
          <a:solidFill>
            <a:schemeClr val="accent6"/>
          </a:solidFill>
          <a:ln>
            <a:noFill/>
          </a:ln>
          <a:effectLst>
            <a:outerShdw blurRad="254000" sx="102000" sy="102000" algn="ctr" rotWithShape="0">
              <a:prstClr val="black">
                <a:alpha val="20000"/>
              </a:prstClr>
            </a:outerShdw>
          </a:effectLst>
        </c:spPr>
      </c:pivotFmt>
      <c:pivotFmt>
        <c:idx val="237"/>
        <c:spPr>
          <a:solidFill>
            <a:schemeClr val="accent6"/>
          </a:solidFill>
          <a:ln>
            <a:noFill/>
          </a:ln>
          <a:effectLst>
            <a:outerShdw blurRad="254000" sx="102000" sy="102000" algn="ctr" rotWithShape="0">
              <a:prstClr val="black">
                <a:alpha val="20000"/>
              </a:prstClr>
            </a:outerShdw>
          </a:effectLst>
        </c:spPr>
      </c:pivotFmt>
      <c:pivotFmt>
        <c:idx val="238"/>
        <c:spPr>
          <a:solidFill>
            <a:schemeClr val="accent6"/>
          </a:solidFill>
          <a:ln>
            <a:noFill/>
          </a:ln>
          <a:effectLst>
            <a:outerShdw blurRad="254000" sx="102000" sy="102000" algn="ctr" rotWithShape="0">
              <a:prstClr val="black">
                <a:alpha val="20000"/>
              </a:prstClr>
            </a:outerShdw>
          </a:effectLst>
        </c:spPr>
      </c:pivotFmt>
      <c:pivotFmt>
        <c:idx val="239"/>
        <c:spPr>
          <a:solidFill>
            <a:schemeClr val="accent6"/>
          </a:solidFill>
          <a:ln>
            <a:noFill/>
          </a:ln>
          <a:effectLst>
            <a:outerShdw blurRad="254000" sx="102000" sy="102000" algn="ctr" rotWithShape="0">
              <a:prstClr val="black">
                <a:alpha val="20000"/>
              </a:prstClr>
            </a:outerShdw>
          </a:effectLst>
        </c:spPr>
      </c:pivotFmt>
      <c:pivotFmt>
        <c:idx val="240"/>
        <c:spPr>
          <a:solidFill>
            <a:schemeClr val="accent6"/>
          </a:solidFill>
          <a:ln>
            <a:noFill/>
          </a:ln>
          <a:effectLst>
            <a:outerShdw blurRad="254000" sx="102000" sy="102000" algn="ctr" rotWithShape="0">
              <a:prstClr val="black">
                <a:alpha val="20000"/>
              </a:prstClr>
            </a:outerShdw>
          </a:effectLst>
        </c:spPr>
      </c:pivotFmt>
      <c:pivotFmt>
        <c:idx val="241"/>
        <c:spPr>
          <a:solidFill>
            <a:schemeClr val="accent6"/>
          </a:solidFill>
          <a:ln>
            <a:noFill/>
          </a:ln>
          <a:effectLst>
            <a:outerShdw blurRad="254000" sx="102000" sy="102000" algn="ctr" rotWithShape="0">
              <a:prstClr val="black">
                <a:alpha val="20000"/>
              </a:prstClr>
            </a:outerShdw>
          </a:effectLst>
        </c:spPr>
      </c:pivotFmt>
      <c:pivotFmt>
        <c:idx val="242"/>
        <c:spPr>
          <a:solidFill>
            <a:schemeClr val="accent6"/>
          </a:solidFill>
          <a:ln>
            <a:noFill/>
          </a:ln>
          <a:effectLst>
            <a:outerShdw blurRad="254000" sx="102000" sy="102000" algn="ctr" rotWithShape="0">
              <a:prstClr val="black">
                <a:alpha val="20000"/>
              </a:prstClr>
            </a:outerShdw>
          </a:effectLst>
        </c:spPr>
      </c:pivotFmt>
      <c:pivotFmt>
        <c:idx val="243"/>
        <c:spPr>
          <a:solidFill>
            <a:schemeClr val="accent6"/>
          </a:solidFill>
          <a:ln>
            <a:noFill/>
          </a:ln>
          <a:effectLst>
            <a:outerShdw blurRad="254000" sx="102000" sy="102000" algn="ctr" rotWithShape="0">
              <a:prstClr val="black">
                <a:alpha val="20000"/>
              </a:prstClr>
            </a:outerShdw>
          </a:effectLst>
        </c:spPr>
      </c:pivotFmt>
      <c:pivotFmt>
        <c:idx val="244"/>
        <c:spPr>
          <a:solidFill>
            <a:schemeClr val="accent6"/>
          </a:solidFill>
          <a:ln>
            <a:noFill/>
          </a:ln>
          <a:effectLst>
            <a:outerShdw blurRad="254000" sx="102000" sy="102000" algn="ctr" rotWithShape="0">
              <a:prstClr val="black">
                <a:alpha val="20000"/>
              </a:prstClr>
            </a:outerShdw>
          </a:effectLst>
        </c:spPr>
      </c:pivotFmt>
      <c:pivotFmt>
        <c:idx val="245"/>
        <c:spPr>
          <a:solidFill>
            <a:schemeClr val="accent6"/>
          </a:solidFill>
          <a:ln>
            <a:noFill/>
          </a:ln>
          <a:effectLst>
            <a:outerShdw blurRad="254000" sx="102000" sy="102000" algn="ctr" rotWithShape="0">
              <a:prstClr val="black">
                <a:alpha val="20000"/>
              </a:prstClr>
            </a:outerShdw>
          </a:effectLst>
        </c:spPr>
      </c:pivotFmt>
      <c:pivotFmt>
        <c:idx val="246"/>
        <c:spPr>
          <a:solidFill>
            <a:schemeClr val="accent6"/>
          </a:solidFill>
          <a:ln>
            <a:noFill/>
          </a:ln>
          <a:effectLst>
            <a:outerShdw blurRad="254000" sx="102000" sy="102000" algn="ctr" rotWithShape="0">
              <a:prstClr val="black">
                <a:alpha val="20000"/>
              </a:prstClr>
            </a:outerShdw>
          </a:effectLst>
        </c:spPr>
      </c:pivotFmt>
      <c:pivotFmt>
        <c:idx val="247"/>
        <c:spPr>
          <a:solidFill>
            <a:schemeClr val="accent6"/>
          </a:solidFill>
          <a:ln>
            <a:noFill/>
          </a:ln>
          <a:effectLst>
            <a:outerShdw blurRad="254000" sx="102000" sy="102000" algn="ctr" rotWithShape="0">
              <a:prstClr val="black">
                <a:alpha val="20000"/>
              </a:prstClr>
            </a:outerShdw>
          </a:effectLst>
        </c:spPr>
      </c:pivotFmt>
      <c:pivotFmt>
        <c:idx val="248"/>
        <c:spPr>
          <a:solidFill>
            <a:schemeClr val="accent6"/>
          </a:solidFill>
          <a:ln>
            <a:noFill/>
          </a:ln>
          <a:effectLst>
            <a:outerShdw blurRad="254000" sx="102000" sy="102000" algn="ctr" rotWithShape="0">
              <a:prstClr val="black">
                <a:alpha val="20000"/>
              </a:prstClr>
            </a:outerShdw>
          </a:effectLst>
        </c:spPr>
      </c:pivotFmt>
      <c:pivotFmt>
        <c:idx val="249"/>
        <c:spPr>
          <a:solidFill>
            <a:schemeClr val="accent6"/>
          </a:solidFill>
          <a:ln>
            <a:noFill/>
          </a:ln>
          <a:effectLst>
            <a:outerShdw blurRad="254000" sx="102000" sy="102000" algn="ctr" rotWithShape="0">
              <a:prstClr val="black">
                <a:alpha val="20000"/>
              </a:prstClr>
            </a:outerShdw>
          </a:effectLst>
        </c:spPr>
      </c:pivotFmt>
      <c:pivotFmt>
        <c:idx val="250"/>
        <c:spPr>
          <a:solidFill>
            <a:schemeClr val="accent6"/>
          </a:solidFill>
          <a:ln>
            <a:noFill/>
          </a:ln>
          <a:effectLst>
            <a:outerShdw blurRad="254000" sx="102000" sy="102000" algn="ctr" rotWithShape="0">
              <a:prstClr val="black">
                <a:alpha val="20000"/>
              </a:prstClr>
            </a:outerShdw>
          </a:effectLst>
        </c:spPr>
      </c:pivotFmt>
      <c:pivotFmt>
        <c:idx val="251"/>
        <c:spPr>
          <a:solidFill>
            <a:schemeClr val="accent6"/>
          </a:solidFill>
          <a:ln>
            <a:noFill/>
          </a:ln>
          <a:effectLst>
            <a:outerShdw blurRad="254000" sx="102000" sy="102000" algn="ctr" rotWithShape="0">
              <a:prstClr val="black">
                <a:alpha val="20000"/>
              </a:prstClr>
            </a:outerShdw>
          </a:effectLst>
        </c:spPr>
      </c:pivotFmt>
      <c:pivotFmt>
        <c:idx val="252"/>
        <c:spPr>
          <a:solidFill>
            <a:schemeClr val="accent6"/>
          </a:solidFill>
          <a:ln>
            <a:noFill/>
          </a:ln>
          <a:effectLst>
            <a:outerShdw blurRad="254000" sx="102000" sy="102000" algn="ctr" rotWithShape="0">
              <a:prstClr val="black">
                <a:alpha val="20000"/>
              </a:prstClr>
            </a:outerShdw>
          </a:effectLst>
        </c:spPr>
      </c:pivotFmt>
      <c:pivotFmt>
        <c:idx val="253"/>
        <c:spPr>
          <a:solidFill>
            <a:schemeClr val="accent6"/>
          </a:solidFill>
          <a:ln>
            <a:noFill/>
          </a:ln>
          <a:effectLst>
            <a:outerShdw blurRad="254000" sx="102000" sy="102000" algn="ctr" rotWithShape="0">
              <a:prstClr val="black">
                <a:alpha val="20000"/>
              </a:prstClr>
            </a:outerShdw>
          </a:effectLst>
        </c:spPr>
      </c:pivotFmt>
      <c:pivotFmt>
        <c:idx val="254"/>
        <c:spPr>
          <a:solidFill>
            <a:schemeClr val="accent6"/>
          </a:solidFill>
          <a:ln>
            <a:noFill/>
          </a:ln>
          <a:effectLst>
            <a:outerShdw blurRad="254000" sx="102000" sy="102000" algn="ctr" rotWithShape="0">
              <a:prstClr val="black">
                <a:alpha val="20000"/>
              </a:prstClr>
            </a:outerShdw>
          </a:effectLst>
        </c:spPr>
      </c:pivotFmt>
      <c:pivotFmt>
        <c:idx val="255"/>
        <c:spPr>
          <a:solidFill>
            <a:schemeClr val="accent6"/>
          </a:solidFill>
          <a:ln>
            <a:noFill/>
          </a:ln>
          <a:effectLst>
            <a:outerShdw blurRad="254000" sx="102000" sy="102000" algn="ctr" rotWithShape="0">
              <a:prstClr val="black">
                <a:alpha val="20000"/>
              </a:prstClr>
            </a:outerShdw>
          </a:effectLst>
        </c:spPr>
      </c:pivotFmt>
      <c:pivotFmt>
        <c:idx val="256"/>
        <c:spPr>
          <a:solidFill>
            <a:schemeClr val="accent6"/>
          </a:solidFill>
          <a:ln>
            <a:noFill/>
          </a:ln>
          <a:effectLst>
            <a:outerShdw blurRad="254000" sx="102000" sy="102000" algn="ctr" rotWithShape="0">
              <a:prstClr val="black">
                <a:alpha val="20000"/>
              </a:prstClr>
            </a:outerShdw>
          </a:effectLst>
        </c:spPr>
      </c:pivotFmt>
      <c:pivotFmt>
        <c:idx val="257"/>
        <c:spPr>
          <a:solidFill>
            <a:schemeClr val="accent6"/>
          </a:solidFill>
          <a:ln>
            <a:noFill/>
          </a:ln>
          <a:effectLst>
            <a:outerShdw blurRad="254000" sx="102000" sy="102000" algn="ctr" rotWithShape="0">
              <a:prstClr val="black">
                <a:alpha val="20000"/>
              </a:prstClr>
            </a:outerShdw>
          </a:effectLst>
        </c:spPr>
      </c:pivotFmt>
      <c:pivotFmt>
        <c:idx val="258"/>
      </c:pivotFmt>
      <c:pivotFmt>
        <c:idx val="259"/>
      </c:pivotFmt>
      <c:pivotFmt>
        <c:idx val="260"/>
      </c:pivotFmt>
      <c:pivotFmt>
        <c:idx val="261"/>
      </c:pivotFmt>
      <c:pivotFmt>
        <c:idx val="262"/>
      </c:pivotFmt>
      <c:pivotFmt>
        <c:idx val="263"/>
      </c:pivotFmt>
      <c:pivotFmt>
        <c:idx val="264"/>
      </c:pivotFmt>
      <c:pivotFmt>
        <c:idx val="265"/>
      </c:pivotFmt>
      <c:pivotFmt>
        <c:idx val="266"/>
      </c:pivotFmt>
      <c:pivotFmt>
        <c:idx val="267"/>
      </c:pivotFmt>
      <c:pivotFmt>
        <c:idx val="268"/>
      </c:pivotFmt>
      <c:pivotFmt>
        <c:idx val="269"/>
        <c:spPr>
          <a:solidFill>
            <a:schemeClr val="accent6"/>
          </a:solidFill>
          <a:ln>
            <a:noFill/>
          </a:ln>
          <a:effectLst>
            <a:outerShdw blurRad="254000" sx="102000" sy="102000" algn="ctr" rotWithShape="0">
              <a:prstClr val="black">
                <a:alpha val="20000"/>
              </a:prstClr>
            </a:outerShdw>
          </a:effectLst>
        </c:spPr>
      </c:pivotFmt>
      <c:pivotFmt>
        <c:idx val="270"/>
        <c:spPr>
          <a:solidFill>
            <a:schemeClr val="accent6"/>
          </a:solidFill>
          <a:ln>
            <a:noFill/>
          </a:ln>
          <a:effectLst>
            <a:outerShdw blurRad="254000" sx="102000" sy="102000" algn="ctr" rotWithShape="0">
              <a:prstClr val="black">
                <a:alpha val="20000"/>
              </a:prstClr>
            </a:outerShdw>
          </a:effectLst>
        </c:spPr>
      </c:pivotFmt>
      <c:pivotFmt>
        <c:idx val="271"/>
        <c:spPr>
          <a:solidFill>
            <a:schemeClr val="accent6"/>
          </a:solidFill>
          <a:ln>
            <a:noFill/>
          </a:ln>
          <a:effectLst>
            <a:outerShdw blurRad="254000" sx="102000" sy="102000" algn="ctr" rotWithShape="0">
              <a:prstClr val="black">
                <a:alpha val="20000"/>
              </a:prstClr>
            </a:outerShdw>
          </a:effectLst>
        </c:spPr>
      </c:pivotFmt>
      <c:pivotFmt>
        <c:idx val="272"/>
        <c:spPr>
          <a:solidFill>
            <a:schemeClr val="accent6"/>
          </a:solidFill>
          <a:ln>
            <a:noFill/>
          </a:ln>
          <a:effectLst>
            <a:outerShdw blurRad="254000" sx="102000" sy="102000" algn="ctr" rotWithShape="0">
              <a:prstClr val="black">
                <a:alpha val="20000"/>
              </a:prstClr>
            </a:outerShdw>
          </a:effectLst>
        </c:spPr>
      </c:pivotFmt>
      <c:pivotFmt>
        <c:idx val="273"/>
        <c:spPr>
          <a:solidFill>
            <a:schemeClr val="accent6"/>
          </a:solidFill>
          <a:ln>
            <a:noFill/>
          </a:ln>
          <a:effectLst>
            <a:outerShdw blurRad="254000" sx="102000" sy="102000" algn="ctr" rotWithShape="0">
              <a:prstClr val="black">
                <a:alpha val="20000"/>
              </a:prstClr>
            </a:outerShdw>
          </a:effectLst>
        </c:spPr>
      </c:pivotFmt>
      <c:pivotFmt>
        <c:idx val="274"/>
        <c:spPr>
          <a:solidFill>
            <a:schemeClr val="accent6"/>
          </a:solidFill>
          <a:ln>
            <a:noFill/>
          </a:ln>
          <a:effectLst>
            <a:outerShdw blurRad="254000" sx="102000" sy="102000" algn="ctr" rotWithShape="0">
              <a:prstClr val="black">
                <a:alpha val="20000"/>
              </a:prstClr>
            </a:outerShdw>
          </a:effectLst>
        </c:spPr>
      </c:pivotFmt>
      <c:pivotFmt>
        <c:idx val="275"/>
        <c:spPr>
          <a:solidFill>
            <a:schemeClr val="accent6"/>
          </a:solidFill>
          <a:ln>
            <a:noFill/>
          </a:ln>
          <a:effectLst>
            <a:outerShdw blurRad="254000" sx="102000" sy="102000" algn="ctr" rotWithShape="0">
              <a:prstClr val="black">
                <a:alpha val="20000"/>
              </a:prstClr>
            </a:outerShdw>
          </a:effectLst>
        </c:spPr>
      </c:pivotFmt>
      <c:pivotFmt>
        <c:idx val="276"/>
        <c:spPr>
          <a:solidFill>
            <a:schemeClr val="accent6"/>
          </a:solidFill>
          <a:ln>
            <a:noFill/>
          </a:ln>
          <a:effectLst>
            <a:outerShdw blurRad="254000" sx="102000" sy="102000" algn="ctr" rotWithShape="0">
              <a:prstClr val="black">
                <a:alpha val="20000"/>
              </a:prstClr>
            </a:outerShdw>
          </a:effectLst>
        </c:spPr>
      </c:pivotFmt>
      <c:pivotFmt>
        <c:idx val="277"/>
        <c:spPr>
          <a:solidFill>
            <a:schemeClr val="accent6"/>
          </a:solidFill>
          <a:ln>
            <a:noFill/>
          </a:ln>
          <a:effectLst>
            <a:outerShdw blurRad="254000" sx="102000" sy="102000" algn="ctr" rotWithShape="0">
              <a:prstClr val="black">
                <a:alpha val="20000"/>
              </a:prstClr>
            </a:outerShdw>
          </a:effectLst>
        </c:spPr>
      </c:pivotFmt>
      <c:pivotFmt>
        <c:idx val="278"/>
        <c:spPr>
          <a:solidFill>
            <a:schemeClr val="accent6"/>
          </a:solidFill>
          <a:ln>
            <a:noFill/>
          </a:ln>
          <a:effectLst>
            <a:outerShdw blurRad="254000" sx="102000" sy="102000" algn="ctr" rotWithShape="0">
              <a:prstClr val="black">
                <a:alpha val="20000"/>
              </a:prstClr>
            </a:outerShdw>
          </a:effectLst>
        </c:spPr>
      </c:pivotFmt>
      <c:pivotFmt>
        <c:idx val="279"/>
        <c:spPr>
          <a:solidFill>
            <a:schemeClr val="accent6"/>
          </a:solidFill>
          <a:ln>
            <a:noFill/>
          </a:ln>
          <a:effectLst>
            <a:outerShdw blurRad="254000" sx="102000" sy="102000" algn="ctr" rotWithShape="0">
              <a:prstClr val="black">
                <a:alpha val="20000"/>
              </a:prstClr>
            </a:outerShdw>
          </a:effectLst>
        </c:spPr>
      </c:pivotFmt>
      <c:pivotFmt>
        <c:idx val="280"/>
        <c:spPr>
          <a:solidFill>
            <a:schemeClr val="accent6"/>
          </a:solidFill>
          <a:ln>
            <a:noFill/>
          </a:ln>
          <a:effectLst>
            <a:outerShdw blurRad="254000" sx="102000" sy="102000" algn="ctr" rotWithShape="0">
              <a:prstClr val="black">
                <a:alpha val="20000"/>
              </a:prstClr>
            </a:outerShdw>
          </a:effectLst>
        </c:spPr>
      </c:pivotFmt>
      <c:pivotFmt>
        <c:idx val="281"/>
        <c:spPr>
          <a:solidFill>
            <a:schemeClr val="accent6"/>
          </a:solidFill>
          <a:ln>
            <a:noFill/>
          </a:ln>
          <a:effectLst>
            <a:outerShdw blurRad="254000" sx="102000" sy="102000" algn="ctr" rotWithShape="0">
              <a:prstClr val="black">
                <a:alpha val="20000"/>
              </a:prstClr>
            </a:outerShdw>
          </a:effectLst>
        </c:spPr>
      </c:pivotFmt>
      <c:pivotFmt>
        <c:idx val="282"/>
        <c:spPr>
          <a:solidFill>
            <a:schemeClr val="accent6"/>
          </a:solidFill>
          <a:ln>
            <a:noFill/>
          </a:ln>
          <a:effectLst>
            <a:outerShdw blurRad="254000" sx="102000" sy="102000" algn="ctr" rotWithShape="0">
              <a:prstClr val="black">
                <a:alpha val="20000"/>
              </a:prstClr>
            </a:outerShdw>
          </a:effectLst>
        </c:spPr>
      </c:pivotFmt>
      <c:pivotFmt>
        <c:idx val="283"/>
        <c:spPr>
          <a:solidFill>
            <a:schemeClr val="accent6"/>
          </a:solidFill>
          <a:ln>
            <a:noFill/>
          </a:ln>
          <a:effectLst>
            <a:outerShdw blurRad="254000" sx="102000" sy="102000" algn="ctr" rotWithShape="0">
              <a:prstClr val="black">
                <a:alpha val="20000"/>
              </a:prstClr>
            </a:outerShdw>
          </a:effectLst>
        </c:spPr>
      </c:pivotFmt>
      <c:pivotFmt>
        <c:idx val="284"/>
        <c:spPr>
          <a:solidFill>
            <a:schemeClr val="accent6"/>
          </a:solidFill>
          <a:ln>
            <a:noFill/>
          </a:ln>
          <a:effectLst>
            <a:outerShdw blurRad="254000" sx="102000" sy="102000" algn="ctr" rotWithShape="0">
              <a:prstClr val="black">
                <a:alpha val="20000"/>
              </a:prstClr>
            </a:outerShdw>
          </a:effectLst>
        </c:spPr>
      </c:pivotFmt>
      <c:pivotFmt>
        <c:idx val="285"/>
        <c:spPr>
          <a:solidFill>
            <a:schemeClr val="accent6"/>
          </a:solidFill>
          <a:ln>
            <a:noFill/>
          </a:ln>
          <a:effectLst>
            <a:outerShdw blurRad="254000" sx="102000" sy="102000" algn="ctr" rotWithShape="0">
              <a:prstClr val="black">
                <a:alpha val="20000"/>
              </a:prstClr>
            </a:outerShdw>
          </a:effectLst>
        </c:spPr>
      </c:pivotFmt>
      <c:pivotFmt>
        <c:idx val="286"/>
        <c:spPr>
          <a:solidFill>
            <a:schemeClr val="accent6"/>
          </a:solidFill>
          <a:ln>
            <a:noFill/>
          </a:ln>
          <a:effectLst>
            <a:outerShdw blurRad="254000" sx="102000" sy="102000" algn="ctr" rotWithShape="0">
              <a:prstClr val="black">
                <a:alpha val="20000"/>
              </a:prstClr>
            </a:outerShdw>
          </a:effectLst>
        </c:spPr>
      </c:pivotFmt>
      <c:pivotFmt>
        <c:idx val="287"/>
        <c:spPr>
          <a:solidFill>
            <a:schemeClr val="accent6"/>
          </a:solidFill>
          <a:ln>
            <a:noFill/>
          </a:ln>
          <a:effectLst>
            <a:outerShdw blurRad="254000" sx="102000" sy="102000" algn="ctr" rotWithShape="0">
              <a:prstClr val="black">
                <a:alpha val="20000"/>
              </a:prstClr>
            </a:outerShdw>
          </a:effectLst>
        </c:spPr>
      </c:pivotFmt>
      <c:pivotFmt>
        <c:idx val="288"/>
        <c:spPr>
          <a:solidFill>
            <a:schemeClr val="accent6"/>
          </a:solidFill>
          <a:ln>
            <a:noFill/>
          </a:ln>
          <a:effectLst>
            <a:outerShdw blurRad="254000" sx="102000" sy="102000" algn="ctr" rotWithShape="0">
              <a:prstClr val="black">
                <a:alpha val="20000"/>
              </a:prstClr>
            </a:outerShdw>
          </a:effectLst>
        </c:spPr>
      </c:pivotFmt>
      <c:pivotFmt>
        <c:idx val="289"/>
        <c:spPr>
          <a:solidFill>
            <a:schemeClr val="accent6"/>
          </a:solidFill>
          <a:ln>
            <a:noFill/>
          </a:ln>
          <a:effectLst>
            <a:outerShdw blurRad="254000" sx="102000" sy="102000" algn="ctr" rotWithShape="0">
              <a:prstClr val="black">
                <a:alpha val="20000"/>
              </a:prstClr>
            </a:outerShdw>
          </a:effectLst>
        </c:spPr>
      </c:pivotFmt>
      <c:pivotFmt>
        <c:idx val="290"/>
        <c:spPr>
          <a:solidFill>
            <a:schemeClr val="accent6"/>
          </a:solidFill>
          <a:ln>
            <a:noFill/>
          </a:ln>
          <a:effectLst>
            <a:outerShdw blurRad="254000" sx="102000" sy="102000" algn="ctr" rotWithShape="0">
              <a:prstClr val="black">
                <a:alpha val="20000"/>
              </a:prstClr>
            </a:outerShdw>
          </a:effectLst>
        </c:spPr>
      </c:pivotFmt>
      <c:pivotFmt>
        <c:idx val="291"/>
        <c:spPr>
          <a:solidFill>
            <a:schemeClr val="accent6"/>
          </a:solidFill>
          <a:ln>
            <a:noFill/>
          </a:ln>
          <a:effectLst>
            <a:outerShdw blurRad="254000" sx="102000" sy="102000" algn="ctr" rotWithShape="0">
              <a:prstClr val="black">
                <a:alpha val="20000"/>
              </a:prstClr>
            </a:outerShdw>
          </a:effectLst>
        </c:spPr>
      </c:pivotFmt>
      <c:pivotFmt>
        <c:idx val="292"/>
        <c:spPr>
          <a:solidFill>
            <a:schemeClr val="accent6"/>
          </a:solidFill>
          <a:ln>
            <a:noFill/>
          </a:ln>
          <a:effectLst>
            <a:outerShdw blurRad="254000" sx="102000" sy="102000" algn="ctr" rotWithShape="0">
              <a:prstClr val="black">
                <a:alpha val="20000"/>
              </a:prstClr>
            </a:outerShdw>
          </a:effectLst>
        </c:spPr>
      </c:pivotFmt>
      <c:pivotFmt>
        <c:idx val="293"/>
        <c:spPr>
          <a:solidFill>
            <a:schemeClr val="accent6"/>
          </a:solidFill>
          <a:ln>
            <a:noFill/>
          </a:ln>
          <a:effectLst>
            <a:outerShdw blurRad="254000" sx="102000" sy="102000" algn="ctr" rotWithShape="0">
              <a:prstClr val="black">
                <a:alpha val="20000"/>
              </a:prstClr>
            </a:outerShdw>
          </a:effectLst>
        </c:spPr>
      </c:pivotFmt>
      <c:pivotFmt>
        <c:idx val="294"/>
        <c:spPr>
          <a:solidFill>
            <a:schemeClr val="accent6"/>
          </a:solidFill>
          <a:ln>
            <a:noFill/>
          </a:ln>
          <a:effectLst>
            <a:outerShdw blurRad="254000" sx="102000" sy="102000" algn="ctr" rotWithShape="0">
              <a:prstClr val="black">
                <a:alpha val="20000"/>
              </a:prstClr>
            </a:outerShdw>
          </a:effectLst>
        </c:spPr>
      </c:pivotFmt>
      <c:pivotFmt>
        <c:idx val="295"/>
        <c:spPr>
          <a:solidFill>
            <a:schemeClr val="accent6"/>
          </a:solidFill>
          <a:ln>
            <a:noFill/>
          </a:ln>
          <a:effectLst>
            <a:outerShdw blurRad="254000" sx="102000" sy="102000" algn="ctr" rotWithShape="0">
              <a:prstClr val="black">
                <a:alpha val="20000"/>
              </a:prstClr>
            </a:outerShdw>
          </a:effectLst>
        </c:spPr>
      </c:pivotFmt>
      <c:pivotFmt>
        <c:idx val="296"/>
        <c:spPr>
          <a:solidFill>
            <a:schemeClr val="accent6"/>
          </a:solidFill>
          <a:ln>
            <a:noFill/>
          </a:ln>
          <a:effectLst>
            <a:outerShdw blurRad="254000" sx="102000" sy="102000" algn="ctr" rotWithShape="0">
              <a:prstClr val="black">
                <a:alpha val="20000"/>
              </a:prstClr>
            </a:outerShdw>
          </a:effectLst>
        </c:spPr>
      </c:pivotFmt>
      <c:pivotFmt>
        <c:idx val="297"/>
        <c:spPr>
          <a:solidFill>
            <a:schemeClr val="accent6"/>
          </a:solidFill>
          <a:ln>
            <a:noFill/>
          </a:ln>
          <a:effectLst>
            <a:outerShdw blurRad="254000" sx="102000" sy="102000" algn="ctr" rotWithShape="0">
              <a:prstClr val="black">
                <a:alpha val="20000"/>
              </a:prstClr>
            </a:outerShdw>
          </a:effectLst>
        </c:spPr>
      </c:pivotFmt>
      <c:pivotFmt>
        <c:idx val="298"/>
        <c:spPr>
          <a:solidFill>
            <a:schemeClr val="accent6"/>
          </a:solidFill>
          <a:ln>
            <a:noFill/>
          </a:ln>
          <a:effectLst>
            <a:outerShdw blurRad="254000" sx="102000" sy="102000" algn="ctr" rotWithShape="0">
              <a:prstClr val="black">
                <a:alpha val="20000"/>
              </a:prstClr>
            </a:outerShdw>
          </a:effectLst>
        </c:spPr>
      </c:pivotFmt>
      <c:pivotFmt>
        <c:idx val="299"/>
        <c:spPr>
          <a:solidFill>
            <a:schemeClr val="accent6"/>
          </a:solidFill>
          <a:ln>
            <a:noFill/>
          </a:ln>
          <a:effectLst>
            <a:outerShdw blurRad="254000" sx="102000" sy="102000" algn="ctr" rotWithShape="0">
              <a:prstClr val="black">
                <a:alpha val="20000"/>
              </a:prstClr>
            </a:outerShdw>
          </a:effectLst>
        </c:spPr>
      </c:pivotFmt>
      <c:pivotFmt>
        <c:idx val="300"/>
        <c:spPr>
          <a:solidFill>
            <a:schemeClr val="accent6"/>
          </a:solidFill>
          <a:ln>
            <a:noFill/>
          </a:ln>
          <a:effectLst>
            <a:outerShdw blurRad="254000" sx="102000" sy="102000" algn="ctr" rotWithShape="0">
              <a:prstClr val="black">
                <a:alpha val="20000"/>
              </a:prstClr>
            </a:outerShdw>
          </a:effectLst>
        </c:spPr>
      </c:pivotFmt>
      <c:pivotFmt>
        <c:idx val="301"/>
        <c:spPr>
          <a:solidFill>
            <a:schemeClr val="accent6"/>
          </a:solidFill>
          <a:ln>
            <a:noFill/>
          </a:ln>
          <a:effectLst>
            <a:outerShdw blurRad="254000" sx="102000" sy="102000" algn="ctr" rotWithShape="0">
              <a:prstClr val="black">
                <a:alpha val="20000"/>
              </a:prstClr>
            </a:outerShdw>
          </a:effectLst>
        </c:spPr>
      </c:pivotFmt>
      <c:pivotFmt>
        <c:idx val="30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0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4"/>
        <c:spPr>
          <a:solidFill>
            <a:schemeClr val="accent6"/>
          </a:solidFill>
          <a:ln>
            <a:noFill/>
          </a:ln>
          <a:effectLst>
            <a:outerShdw blurRad="254000" sx="102000" sy="102000" algn="ctr" rotWithShape="0">
              <a:prstClr val="black">
                <a:alpha val="20000"/>
              </a:prstClr>
            </a:outerShdw>
          </a:effectLst>
        </c:spPr>
      </c:pivotFmt>
      <c:pivotFmt>
        <c:idx val="305"/>
        <c:spPr>
          <a:solidFill>
            <a:schemeClr val="accent6"/>
          </a:solidFill>
          <a:ln>
            <a:noFill/>
          </a:ln>
          <a:effectLst>
            <a:outerShdw blurRad="254000" sx="102000" sy="102000" algn="ctr" rotWithShape="0">
              <a:prstClr val="black">
                <a:alpha val="20000"/>
              </a:prstClr>
            </a:outerShdw>
          </a:effectLst>
        </c:spPr>
      </c:pivotFmt>
      <c:pivotFmt>
        <c:idx val="306"/>
        <c:spPr>
          <a:solidFill>
            <a:schemeClr val="accent6"/>
          </a:solidFill>
          <a:ln>
            <a:noFill/>
          </a:ln>
          <a:effectLst>
            <a:outerShdw blurRad="254000" sx="102000" sy="102000" algn="ctr" rotWithShape="0">
              <a:prstClr val="black">
                <a:alpha val="20000"/>
              </a:prstClr>
            </a:outerShdw>
          </a:effectLst>
        </c:spPr>
      </c:pivotFmt>
      <c:pivotFmt>
        <c:idx val="307"/>
        <c:spPr>
          <a:solidFill>
            <a:schemeClr val="accent6"/>
          </a:solidFill>
          <a:ln>
            <a:noFill/>
          </a:ln>
          <a:effectLst>
            <a:outerShdw blurRad="254000" sx="102000" sy="102000" algn="ctr" rotWithShape="0">
              <a:prstClr val="black">
                <a:alpha val="20000"/>
              </a:prstClr>
            </a:outerShdw>
          </a:effectLst>
        </c:spPr>
      </c:pivotFmt>
      <c:pivotFmt>
        <c:idx val="308"/>
        <c:spPr>
          <a:solidFill>
            <a:schemeClr val="accent6"/>
          </a:solidFill>
          <a:ln>
            <a:noFill/>
          </a:ln>
          <a:effectLst>
            <a:outerShdw blurRad="254000" sx="102000" sy="102000" algn="ctr" rotWithShape="0">
              <a:prstClr val="black">
                <a:alpha val="20000"/>
              </a:prstClr>
            </a:outerShdw>
          </a:effectLst>
        </c:spPr>
      </c:pivotFmt>
      <c:pivotFmt>
        <c:idx val="309"/>
        <c:spPr>
          <a:solidFill>
            <a:schemeClr val="accent6"/>
          </a:solidFill>
          <a:ln>
            <a:noFill/>
          </a:ln>
          <a:effectLst>
            <a:outerShdw blurRad="254000" sx="102000" sy="102000" algn="ctr" rotWithShape="0">
              <a:prstClr val="black">
                <a:alpha val="20000"/>
              </a:prstClr>
            </a:outerShdw>
          </a:effectLst>
        </c:spPr>
      </c:pivotFmt>
      <c:pivotFmt>
        <c:idx val="310"/>
        <c:spPr>
          <a:solidFill>
            <a:schemeClr val="accent6"/>
          </a:solidFill>
          <a:ln>
            <a:noFill/>
          </a:ln>
          <a:effectLst>
            <a:outerShdw blurRad="254000" sx="102000" sy="102000" algn="ctr" rotWithShape="0">
              <a:prstClr val="black">
                <a:alpha val="20000"/>
              </a:prstClr>
            </a:outerShdw>
          </a:effectLst>
        </c:spPr>
      </c:pivotFmt>
      <c:pivotFmt>
        <c:idx val="311"/>
        <c:spPr>
          <a:solidFill>
            <a:schemeClr val="accent6"/>
          </a:solidFill>
          <a:ln>
            <a:noFill/>
          </a:ln>
          <a:effectLst>
            <a:outerShdw blurRad="254000" sx="102000" sy="102000" algn="ctr" rotWithShape="0">
              <a:prstClr val="black">
                <a:alpha val="20000"/>
              </a:prstClr>
            </a:outerShdw>
          </a:effectLst>
        </c:spPr>
      </c:pivotFmt>
      <c:pivotFmt>
        <c:idx val="312"/>
        <c:spPr>
          <a:solidFill>
            <a:schemeClr val="accent6"/>
          </a:solidFill>
          <a:ln>
            <a:noFill/>
          </a:ln>
          <a:effectLst>
            <a:outerShdw blurRad="254000" sx="102000" sy="102000" algn="ctr" rotWithShape="0">
              <a:prstClr val="black">
                <a:alpha val="20000"/>
              </a:prstClr>
            </a:outerShdw>
          </a:effectLst>
        </c:spPr>
      </c:pivotFmt>
      <c:pivotFmt>
        <c:idx val="313"/>
        <c:spPr>
          <a:solidFill>
            <a:schemeClr val="accent6"/>
          </a:solidFill>
          <a:ln>
            <a:noFill/>
          </a:ln>
          <a:effectLst>
            <a:outerShdw blurRad="254000" sx="102000" sy="102000" algn="ctr" rotWithShape="0">
              <a:prstClr val="black">
                <a:alpha val="20000"/>
              </a:prstClr>
            </a:outerShdw>
          </a:effectLst>
        </c:spPr>
      </c:pivotFmt>
      <c:pivotFmt>
        <c:idx val="314"/>
        <c:spPr>
          <a:solidFill>
            <a:schemeClr val="accent6"/>
          </a:solidFill>
          <a:ln>
            <a:noFill/>
          </a:ln>
          <a:effectLst>
            <a:outerShdw blurRad="254000" sx="102000" sy="102000" algn="ctr" rotWithShape="0">
              <a:prstClr val="black">
                <a:alpha val="20000"/>
              </a:prstClr>
            </a:outerShdw>
          </a:effectLst>
        </c:spPr>
      </c:pivotFmt>
      <c:pivotFmt>
        <c:idx val="31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4"/>
        <c:spPr>
          <a:solidFill>
            <a:schemeClr val="accent6"/>
          </a:solidFill>
          <a:ln>
            <a:noFill/>
          </a:ln>
          <a:effectLst>
            <a:outerShdw blurRad="254000" sx="102000" sy="102000" algn="ctr" rotWithShape="0">
              <a:prstClr val="black">
                <a:alpha val="20000"/>
              </a:prstClr>
            </a:outerShdw>
          </a:effectLst>
        </c:spPr>
      </c:pivotFmt>
      <c:pivotFmt>
        <c:idx val="325"/>
        <c:spPr>
          <a:solidFill>
            <a:schemeClr val="accent6"/>
          </a:solidFill>
          <a:ln>
            <a:noFill/>
          </a:ln>
          <a:effectLst>
            <a:outerShdw blurRad="254000" sx="102000" sy="102000" algn="ctr" rotWithShape="0">
              <a:prstClr val="black">
                <a:alpha val="20000"/>
              </a:prstClr>
            </a:outerShdw>
          </a:effectLst>
        </c:spPr>
      </c:pivotFmt>
      <c:pivotFmt>
        <c:idx val="326"/>
        <c:spPr>
          <a:solidFill>
            <a:schemeClr val="accent6"/>
          </a:solidFill>
          <a:ln>
            <a:noFill/>
          </a:ln>
          <a:effectLst>
            <a:outerShdw blurRad="254000" sx="102000" sy="102000" algn="ctr" rotWithShape="0">
              <a:prstClr val="black">
                <a:alpha val="20000"/>
              </a:prstClr>
            </a:outerShdw>
          </a:effectLst>
        </c:spPr>
      </c:pivotFmt>
      <c:pivotFmt>
        <c:idx val="327"/>
        <c:spPr>
          <a:solidFill>
            <a:schemeClr val="accent6"/>
          </a:solidFill>
          <a:ln>
            <a:noFill/>
          </a:ln>
          <a:effectLst>
            <a:outerShdw blurRad="254000" sx="102000" sy="102000" algn="ctr" rotWithShape="0">
              <a:prstClr val="black">
                <a:alpha val="20000"/>
              </a:prstClr>
            </a:outerShdw>
          </a:effectLst>
        </c:spPr>
      </c:pivotFmt>
      <c:pivotFmt>
        <c:idx val="328"/>
        <c:spPr>
          <a:solidFill>
            <a:schemeClr val="accent6"/>
          </a:solidFill>
          <a:ln>
            <a:noFill/>
          </a:ln>
          <a:effectLst>
            <a:outerShdw blurRad="254000" sx="102000" sy="102000" algn="ctr" rotWithShape="0">
              <a:prstClr val="black">
                <a:alpha val="20000"/>
              </a:prstClr>
            </a:outerShdw>
          </a:effectLst>
        </c:spPr>
      </c:pivotFmt>
      <c:pivotFmt>
        <c:idx val="329"/>
        <c:spPr>
          <a:solidFill>
            <a:schemeClr val="accent6"/>
          </a:solidFill>
          <a:ln>
            <a:noFill/>
          </a:ln>
          <a:effectLst>
            <a:outerShdw blurRad="254000" sx="102000" sy="102000" algn="ctr" rotWithShape="0">
              <a:prstClr val="black">
                <a:alpha val="20000"/>
              </a:prstClr>
            </a:outerShdw>
          </a:effectLst>
        </c:spPr>
      </c:pivotFmt>
      <c:pivotFmt>
        <c:idx val="330"/>
        <c:spPr>
          <a:solidFill>
            <a:schemeClr val="accent6"/>
          </a:solidFill>
          <a:ln>
            <a:noFill/>
          </a:ln>
          <a:effectLst>
            <a:outerShdw blurRad="254000" sx="102000" sy="102000" algn="ctr" rotWithShape="0">
              <a:prstClr val="black">
                <a:alpha val="20000"/>
              </a:prstClr>
            </a:outerShdw>
          </a:effectLst>
        </c:spPr>
      </c:pivotFmt>
      <c:pivotFmt>
        <c:idx val="331"/>
        <c:spPr>
          <a:solidFill>
            <a:schemeClr val="accent6"/>
          </a:solidFill>
          <a:ln>
            <a:noFill/>
          </a:ln>
          <a:effectLst>
            <a:outerShdw blurRad="254000" sx="102000" sy="102000" algn="ctr" rotWithShape="0">
              <a:prstClr val="black">
                <a:alpha val="20000"/>
              </a:prstClr>
            </a:outerShdw>
          </a:effectLst>
        </c:spPr>
      </c:pivotFmt>
      <c:pivotFmt>
        <c:idx val="332"/>
        <c:spPr>
          <a:solidFill>
            <a:schemeClr val="accent6"/>
          </a:solidFill>
          <a:ln>
            <a:noFill/>
          </a:ln>
          <a:effectLst>
            <a:outerShdw blurRad="254000" sx="102000" sy="102000" algn="ctr" rotWithShape="0">
              <a:prstClr val="black">
                <a:alpha val="20000"/>
              </a:prstClr>
            </a:outerShdw>
          </a:effectLst>
        </c:spPr>
      </c:pivotFmt>
      <c:pivotFmt>
        <c:idx val="333"/>
        <c:spPr>
          <a:solidFill>
            <a:schemeClr val="accent6"/>
          </a:solidFill>
          <a:ln>
            <a:noFill/>
          </a:ln>
          <a:effectLst>
            <a:outerShdw blurRad="254000" sx="102000" sy="102000" algn="ctr" rotWithShape="0">
              <a:prstClr val="black">
                <a:alpha val="20000"/>
              </a:prstClr>
            </a:outerShdw>
          </a:effectLst>
        </c:spPr>
      </c:pivotFmt>
      <c:pivotFmt>
        <c:idx val="334"/>
        <c:spPr>
          <a:solidFill>
            <a:schemeClr val="accent6"/>
          </a:solidFill>
          <a:ln>
            <a:noFill/>
          </a:ln>
          <a:effectLst>
            <a:outerShdw blurRad="254000" sx="102000" sy="102000" algn="ctr" rotWithShape="0">
              <a:prstClr val="black">
                <a:alpha val="20000"/>
              </a:prstClr>
            </a:outerShdw>
          </a:effectLst>
        </c:spPr>
      </c:pivotFmt>
      <c:pivotFmt>
        <c:idx val="33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3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3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3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3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4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41"/>
        <c:spPr>
          <a:solidFill>
            <a:schemeClr val="accent6"/>
          </a:solidFill>
          <a:ln>
            <a:noFill/>
          </a:ln>
          <a:effectLst>
            <a:outerShdw blurRad="254000" sx="102000" sy="102000" algn="ctr" rotWithShape="0">
              <a:prstClr val="black">
                <a:alpha val="20000"/>
              </a:prstClr>
            </a:outerShdw>
          </a:effectLst>
        </c:spPr>
      </c:pivotFmt>
      <c:pivotFmt>
        <c:idx val="342"/>
        <c:spPr>
          <a:solidFill>
            <a:schemeClr val="accent6"/>
          </a:solidFill>
          <a:ln>
            <a:noFill/>
          </a:ln>
          <a:effectLst>
            <a:outerShdw blurRad="254000" sx="102000" sy="102000" algn="ctr" rotWithShape="0">
              <a:prstClr val="black">
                <a:alpha val="20000"/>
              </a:prstClr>
            </a:outerShdw>
          </a:effectLst>
        </c:spPr>
      </c:pivotFmt>
      <c:pivotFmt>
        <c:idx val="343"/>
        <c:spPr>
          <a:solidFill>
            <a:schemeClr val="accent6"/>
          </a:solidFill>
          <a:ln>
            <a:noFill/>
          </a:ln>
          <a:effectLst>
            <a:outerShdw blurRad="254000" sx="102000" sy="102000" algn="ctr" rotWithShape="0">
              <a:prstClr val="black">
                <a:alpha val="20000"/>
              </a:prstClr>
            </a:outerShdw>
          </a:effectLst>
        </c:spPr>
      </c:pivotFmt>
      <c:pivotFmt>
        <c:idx val="344"/>
        <c:spPr>
          <a:solidFill>
            <a:schemeClr val="accent6"/>
          </a:solidFill>
          <a:ln>
            <a:noFill/>
          </a:ln>
          <a:effectLst>
            <a:outerShdw blurRad="254000" sx="102000" sy="102000" algn="ctr" rotWithShape="0">
              <a:prstClr val="black">
                <a:alpha val="20000"/>
              </a:prstClr>
            </a:outerShdw>
          </a:effectLst>
        </c:spPr>
      </c:pivotFmt>
      <c:pivotFmt>
        <c:idx val="345"/>
        <c:spPr>
          <a:solidFill>
            <a:schemeClr val="accent6"/>
          </a:solidFill>
          <a:ln>
            <a:noFill/>
          </a:ln>
          <a:effectLst>
            <a:outerShdw blurRad="254000" sx="102000" sy="102000" algn="ctr" rotWithShape="0">
              <a:prstClr val="black">
                <a:alpha val="20000"/>
              </a:prstClr>
            </a:outerShdw>
          </a:effectLst>
        </c:spPr>
      </c:pivotFmt>
      <c:pivotFmt>
        <c:idx val="346"/>
        <c:spPr>
          <a:solidFill>
            <a:schemeClr val="accent6"/>
          </a:solidFill>
          <a:ln>
            <a:noFill/>
          </a:ln>
          <a:effectLst>
            <a:outerShdw blurRad="254000" sx="102000" sy="102000" algn="ctr" rotWithShape="0">
              <a:prstClr val="black">
                <a:alpha val="20000"/>
              </a:prstClr>
            </a:outerShdw>
          </a:effectLst>
        </c:spPr>
      </c:pivotFmt>
      <c:pivotFmt>
        <c:idx val="347"/>
        <c:spPr>
          <a:solidFill>
            <a:schemeClr val="accent6"/>
          </a:solidFill>
          <a:ln>
            <a:noFill/>
          </a:ln>
          <a:effectLst>
            <a:outerShdw blurRad="254000" sx="102000" sy="102000" algn="ctr" rotWithShape="0">
              <a:prstClr val="black">
                <a:alpha val="20000"/>
              </a:prstClr>
            </a:outerShdw>
          </a:effectLst>
        </c:spPr>
      </c:pivotFmt>
      <c:pivotFmt>
        <c:idx val="348"/>
        <c:spPr>
          <a:solidFill>
            <a:schemeClr val="accent6"/>
          </a:solidFill>
          <a:ln>
            <a:noFill/>
          </a:ln>
          <a:effectLst>
            <a:outerShdw blurRad="254000" sx="102000" sy="102000" algn="ctr" rotWithShape="0">
              <a:prstClr val="black">
                <a:alpha val="20000"/>
              </a:prstClr>
            </a:outerShdw>
          </a:effectLst>
        </c:spPr>
      </c:pivotFmt>
      <c:pivotFmt>
        <c:idx val="349"/>
        <c:spPr>
          <a:solidFill>
            <a:schemeClr val="accent6"/>
          </a:solidFill>
          <a:ln>
            <a:noFill/>
          </a:ln>
          <a:effectLst>
            <a:outerShdw blurRad="254000" sx="102000" sy="102000" algn="ctr" rotWithShape="0">
              <a:prstClr val="black">
                <a:alpha val="20000"/>
              </a:prstClr>
            </a:outerShdw>
          </a:effectLst>
        </c:spPr>
      </c:pivotFmt>
      <c:pivotFmt>
        <c:idx val="350"/>
        <c:spPr>
          <a:solidFill>
            <a:schemeClr val="accent6"/>
          </a:solidFill>
          <a:ln>
            <a:noFill/>
          </a:ln>
          <a:effectLst>
            <a:outerShdw blurRad="254000" sx="102000" sy="102000" algn="ctr" rotWithShape="0">
              <a:prstClr val="black">
                <a:alpha val="20000"/>
              </a:prstClr>
            </a:outerShdw>
          </a:effectLst>
        </c:spPr>
      </c:pivotFmt>
      <c:pivotFmt>
        <c:idx val="351"/>
        <c:spPr>
          <a:solidFill>
            <a:schemeClr val="accent6"/>
          </a:solidFill>
          <a:ln>
            <a:noFill/>
          </a:ln>
          <a:effectLst>
            <a:outerShdw blurRad="254000" sx="102000" sy="102000" algn="ctr" rotWithShape="0">
              <a:prstClr val="black">
                <a:alpha val="20000"/>
              </a:prstClr>
            </a:outerShdw>
          </a:effectLst>
        </c:spPr>
      </c:pivotFmt>
      <c:pivotFmt>
        <c:idx val="35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3"/>
        <c:spPr>
          <a:solidFill>
            <a:schemeClr val="accent6"/>
          </a:solidFill>
          <a:ln>
            <a:noFill/>
          </a:ln>
          <a:effectLst>
            <a:outerShdw blurRad="254000" sx="102000" sy="102000" algn="ctr" rotWithShape="0">
              <a:prstClr val="black">
                <a:alpha val="20000"/>
              </a:prstClr>
            </a:outerShdw>
          </a:effectLst>
        </c:spPr>
      </c:pivotFmt>
      <c:pivotFmt>
        <c:idx val="354"/>
        <c:spPr>
          <a:solidFill>
            <a:schemeClr val="accent6"/>
          </a:solidFill>
          <a:ln>
            <a:noFill/>
          </a:ln>
          <a:effectLst>
            <a:outerShdw blurRad="254000" sx="102000" sy="102000" algn="ctr" rotWithShape="0">
              <a:prstClr val="black">
                <a:alpha val="20000"/>
              </a:prstClr>
            </a:outerShdw>
          </a:effectLst>
        </c:spPr>
      </c:pivotFmt>
      <c:pivotFmt>
        <c:idx val="355"/>
        <c:spPr>
          <a:solidFill>
            <a:schemeClr val="accent6"/>
          </a:solidFill>
          <a:ln>
            <a:noFill/>
          </a:ln>
          <a:effectLst>
            <a:outerShdw blurRad="254000" sx="102000" sy="102000" algn="ctr" rotWithShape="0">
              <a:prstClr val="black">
                <a:alpha val="20000"/>
              </a:prstClr>
            </a:outerShdw>
          </a:effectLst>
        </c:spPr>
      </c:pivotFmt>
      <c:pivotFmt>
        <c:idx val="356"/>
        <c:spPr>
          <a:solidFill>
            <a:schemeClr val="accent6"/>
          </a:solidFill>
          <a:ln>
            <a:noFill/>
          </a:ln>
          <a:effectLst>
            <a:outerShdw blurRad="254000" sx="102000" sy="102000" algn="ctr" rotWithShape="0">
              <a:prstClr val="black">
                <a:alpha val="20000"/>
              </a:prstClr>
            </a:outerShdw>
          </a:effectLst>
        </c:spPr>
      </c:pivotFmt>
      <c:pivotFmt>
        <c:idx val="357"/>
        <c:spPr>
          <a:solidFill>
            <a:schemeClr val="accent6"/>
          </a:solidFill>
          <a:ln>
            <a:noFill/>
          </a:ln>
          <a:effectLst>
            <a:outerShdw blurRad="254000" sx="102000" sy="102000" algn="ctr" rotWithShape="0">
              <a:prstClr val="black">
                <a:alpha val="20000"/>
              </a:prstClr>
            </a:outerShdw>
          </a:effectLst>
        </c:spPr>
      </c:pivotFmt>
      <c:pivotFmt>
        <c:idx val="358"/>
        <c:spPr>
          <a:solidFill>
            <a:schemeClr val="accent6"/>
          </a:solidFill>
          <a:ln>
            <a:noFill/>
          </a:ln>
          <a:effectLst>
            <a:outerShdw blurRad="254000" sx="102000" sy="102000" algn="ctr" rotWithShape="0">
              <a:prstClr val="black">
                <a:alpha val="20000"/>
              </a:prstClr>
            </a:outerShdw>
          </a:effectLst>
        </c:spPr>
      </c:pivotFmt>
      <c:pivotFmt>
        <c:idx val="359"/>
        <c:spPr>
          <a:solidFill>
            <a:schemeClr val="accent6"/>
          </a:solidFill>
          <a:ln>
            <a:noFill/>
          </a:ln>
          <a:effectLst>
            <a:outerShdw blurRad="254000" sx="102000" sy="102000" algn="ctr" rotWithShape="0">
              <a:prstClr val="black">
                <a:alpha val="20000"/>
              </a:prstClr>
            </a:outerShdw>
          </a:effectLst>
        </c:spPr>
      </c:pivotFmt>
      <c:pivotFmt>
        <c:idx val="360"/>
        <c:spPr>
          <a:solidFill>
            <a:schemeClr val="accent6"/>
          </a:solidFill>
          <a:ln>
            <a:noFill/>
          </a:ln>
          <a:effectLst>
            <a:outerShdw blurRad="254000" sx="102000" sy="102000" algn="ctr" rotWithShape="0">
              <a:prstClr val="black">
                <a:alpha val="20000"/>
              </a:prstClr>
            </a:outerShdw>
          </a:effectLst>
        </c:spPr>
      </c:pivotFmt>
      <c:pivotFmt>
        <c:idx val="361"/>
        <c:spPr>
          <a:solidFill>
            <a:schemeClr val="accent6"/>
          </a:solidFill>
          <a:ln>
            <a:noFill/>
          </a:ln>
          <a:effectLst>
            <a:outerShdw blurRad="254000" sx="102000" sy="102000" algn="ctr" rotWithShape="0">
              <a:prstClr val="black">
                <a:alpha val="20000"/>
              </a:prstClr>
            </a:outerShdw>
          </a:effectLst>
        </c:spPr>
      </c:pivotFmt>
      <c:pivotFmt>
        <c:idx val="362"/>
        <c:spPr>
          <a:solidFill>
            <a:schemeClr val="accent6"/>
          </a:solidFill>
          <a:ln>
            <a:noFill/>
          </a:ln>
          <a:effectLst>
            <a:outerShdw blurRad="254000" sx="102000" sy="102000" algn="ctr" rotWithShape="0">
              <a:prstClr val="black">
                <a:alpha val="20000"/>
              </a:prstClr>
            </a:outerShdw>
          </a:effectLst>
        </c:spPr>
      </c:pivotFmt>
      <c:pivotFmt>
        <c:idx val="363"/>
        <c:spPr>
          <a:solidFill>
            <a:schemeClr val="accent6"/>
          </a:solidFill>
          <a:ln>
            <a:noFill/>
          </a:ln>
          <a:effectLst>
            <a:outerShdw blurRad="254000" sx="102000" sy="102000" algn="ctr" rotWithShape="0">
              <a:prstClr val="black">
                <a:alpha val="20000"/>
              </a:prstClr>
            </a:outerShdw>
          </a:effectLst>
        </c:spPr>
      </c:pivotFmt>
      <c:pivotFmt>
        <c:idx val="36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0"/>
        <c:spPr>
          <a:solidFill>
            <a:schemeClr val="accent6"/>
          </a:solidFill>
          <a:ln>
            <a:noFill/>
          </a:ln>
          <a:effectLst>
            <a:outerShdw blurRad="254000" sx="102000" sy="102000" algn="ctr" rotWithShape="0">
              <a:prstClr val="black">
                <a:alpha val="20000"/>
              </a:prstClr>
            </a:outerShdw>
          </a:effectLst>
        </c:spPr>
      </c:pivotFmt>
      <c:pivotFmt>
        <c:idx val="381"/>
        <c:spPr>
          <a:solidFill>
            <a:schemeClr val="accent6"/>
          </a:solidFill>
          <a:ln>
            <a:noFill/>
          </a:ln>
          <a:effectLst>
            <a:outerShdw blurRad="254000" sx="102000" sy="102000" algn="ctr" rotWithShape="0">
              <a:prstClr val="black">
                <a:alpha val="20000"/>
              </a:prstClr>
            </a:outerShdw>
          </a:effectLst>
        </c:spPr>
      </c:pivotFmt>
      <c:pivotFmt>
        <c:idx val="382"/>
        <c:spPr>
          <a:solidFill>
            <a:schemeClr val="accent6"/>
          </a:solidFill>
          <a:ln>
            <a:noFill/>
          </a:ln>
          <a:effectLst>
            <a:outerShdw blurRad="254000" sx="102000" sy="102000" algn="ctr" rotWithShape="0">
              <a:prstClr val="black">
                <a:alpha val="20000"/>
              </a:prstClr>
            </a:outerShdw>
          </a:effectLst>
        </c:spPr>
      </c:pivotFmt>
      <c:pivotFmt>
        <c:idx val="383"/>
        <c:spPr>
          <a:solidFill>
            <a:schemeClr val="accent6"/>
          </a:solidFill>
          <a:ln>
            <a:noFill/>
          </a:ln>
          <a:effectLst>
            <a:outerShdw blurRad="254000" sx="102000" sy="102000" algn="ctr" rotWithShape="0">
              <a:prstClr val="black">
                <a:alpha val="20000"/>
              </a:prstClr>
            </a:outerShdw>
          </a:effectLst>
        </c:spPr>
      </c:pivotFmt>
      <c:pivotFmt>
        <c:idx val="384"/>
        <c:spPr>
          <a:solidFill>
            <a:schemeClr val="accent6"/>
          </a:solidFill>
          <a:ln>
            <a:noFill/>
          </a:ln>
          <a:effectLst>
            <a:outerShdw blurRad="254000" sx="102000" sy="102000" algn="ctr" rotWithShape="0">
              <a:prstClr val="black">
                <a:alpha val="20000"/>
              </a:prstClr>
            </a:outerShdw>
          </a:effectLst>
        </c:spPr>
      </c:pivotFmt>
      <c:pivotFmt>
        <c:idx val="385"/>
        <c:spPr>
          <a:solidFill>
            <a:schemeClr val="accent6"/>
          </a:solidFill>
          <a:ln>
            <a:noFill/>
          </a:ln>
          <a:effectLst>
            <a:outerShdw blurRad="254000" sx="102000" sy="102000" algn="ctr" rotWithShape="0">
              <a:prstClr val="black">
                <a:alpha val="20000"/>
              </a:prstClr>
            </a:outerShdw>
          </a:effectLst>
        </c:spPr>
      </c:pivotFmt>
      <c:pivotFmt>
        <c:idx val="386"/>
        <c:spPr>
          <a:solidFill>
            <a:schemeClr val="accent6"/>
          </a:solidFill>
          <a:ln>
            <a:noFill/>
          </a:ln>
          <a:effectLst>
            <a:outerShdw blurRad="254000" sx="102000" sy="102000" algn="ctr" rotWithShape="0">
              <a:prstClr val="black">
                <a:alpha val="20000"/>
              </a:prstClr>
            </a:outerShdw>
          </a:effectLst>
        </c:spPr>
      </c:pivotFmt>
      <c:pivotFmt>
        <c:idx val="387"/>
        <c:spPr>
          <a:solidFill>
            <a:schemeClr val="accent6"/>
          </a:solidFill>
          <a:ln>
            <a:noFill/>
          </a:ln>
          <a:effectLst>
            <a:outerShdw blurRad="254000" sx="102000" sy="102000" algn="ctr" rotWithShape="0">
              <a:prstClr val="black">
                <a:alpha val="20000"/>
              </a:prstClr>
            </a:outerShdw>
          </a:effectLst>
        </c:spPr>
      </c:pivotFmt>
      <c:pivotFmt>
        <c:idx val="388"/>
        <c:spPr>
          <a:solidFill>
            <a:schemeClr val="accent6"/>
          </a:solidFill>
          <a:ln>
            <a:noFill/>
          </a:ln>
          <a:effectLst>
            <a:outerShdw blurRad="254000" sx="102000" sy="102000" algn="ctr" rotWithShape="0">
              <a:prstClr val="black">
                <a:alpha val="20000"/>
              </a:prstClr>
            </a:outerShdw>
          </a:effectLst>
        </c:spPr>
      </c:pivotFmt>
      <c:pivotFmt>
        <c:idx val="389"/>
        <c:spPr>
          <a:solidFill>
            <a:schemeClr val="accent6"/>
          </a:solidFill>
          <a:ln>
            <a:noFill/>
          </a:ln>
          <a:effectLst>
            <a:outerShdw blurRad="254000" sx="102000" sy="102000" algn="ctr" rotWithShape="0">
              <a:prstClr val="black">
                <a:alpha val="20000"/>
              </a:prstClr>
            </a:outerShdw>
          </a:effectLst>
        </c:spPr>
      </c:pivotFmt>
      <c:pivotFmt>
        <c:idx val="390"/>
        <c:spPr>
          <a:solidFill>
            <a:schemeClr val="accent6"/>
          </a:solidFill>
          <a:ln>
            <a:noFill/>
          </a:ln>
          <a:effectLst>
            <a:outerShdw blurRad="254000" sx="102000" sy="102000" algn="ctr" rotWithShape="0">
              <a:prstClr val="black">
                <a:alpha val="20000"/>
              </a:prstClr>
            </a:outerShdw>
          </a:effectLst>
        </c:spPr>
      </c:pivotFmt>
      <c:pivotFmt>
        <c:idx val="391"/>
        <c:spPr>
          <a:solidFill>
            <a:schemeClr val="accent6"/>
          </a:solidFill>
          <a:ln>
            <a:noFill/>
          </a:ln>
          <a:effectLst>
            <a:outerShdw blurRad="254000" sx="102000" sy="102000" algn="ctr" rotWithShape="0">
              <a:prstClr val="black">
                <a:alpha val="20000"/>
              </a:prstClr>
            </a:outerShdw>
          </a:effectLst>
        </c:spPr>
      </c:pivotFmt>
      <c:pivotFmt>
        <c:idx val="392"/>
        <c:spPr>
          <a:solidFill>
            <a:schemeClr val="accent6"/>
          </a:solidFill>
          <a:ln>
            <a:noFill/>
          </a:ln>
          <a:effectLst>
            <a:outerShdw blurRad="254000" sx="102000" sy="102000" algn="ctr" rotWithShape="0">
              <a:prstClr val="black">
                <a:alpha val="20000"/>
              </a:prstClr>
            </a:outerShdw>
          </a:effectLst>
        </c:spPr>
      </c:pivotFmt>
      <c:pivotFmt>
        <c:idx val="393"/>
        <c:spPr>
          <a:solidFill>
            <a:schemeClr val="accent6"/>
          </a:solidFill>
          <a:ln>
            <a:noFill/>
          </a:ln>
          <a:effectLst>
            <a:outerShdw blurRad="254000" sx="102000" sy="102000" algn="ctr" rotWithShape="0">
              <a:prstClr val="black">
                <a:alpha val="20000"/>
              </a:prstClr>
            </a:outerShdw>
          </a:effectLst>
        </c:spPr>
      </c:pivotFmt>
      <c:pivotFmt>
        <c:idx val="394"/>
        <c:spPr>
          <a:solidFill>
            <a:schemeClr val="accent6"/>
          </a:solidFill>
          <a:ln>
            <a:noFill/>
          </a:ln>
          <a:effectLst>
            <a:outerShdw blurRad="254000" sx="102000" sy="102000" algn="ctr" rotWithShape="0">
              <a:prstClr val="black">
                <a:alpha val="20000"/>
              </a:prstClr>
            </a:outerShdw>
          </a:effectLst>
        </c:spPr>
      </c:pivotFmt>
      <c:pivotFmt>
        <c:idx val="395"/>
        <c:spPr>
          <a:solidFill>
            <a:schemeClr val="accent6"/>
          </a:solidFill>
          <a:ln>
            <a:noFill/>
          </a:ln>
          <a:effectLst>
            <a:outerShdw blurRad="254000" sx="102000" sy="102000" algn="ctr" rotWithShape="0">
              <a:prstClr val="black">
                <a:alpha val="20000"/>
              </a:prstClr>
            </a:outerShdw>
          </a:effectLst>
        </c:spPr>
      </c:pivotFmt>
      <c:pivotFmt>
        <c:idx val="396"/>
        <c:spPr>
          <a:solidFill>
            <a:schemeClr val="accent6"/>
          </a:solidFill>
          <a:ln>
            <a:noFill/>
          </a:ln>
          <a:effectLst>
            <a:outerShdw blurRad="254000" sx="102000" sy="102000" algn="ctr" rotWithShape="0">
              <a:prstClr val="black">
                <a:alpha val="20000"/>
              </a:prstClr>
            </a:outerShdw>
          </a:effectLst>
        </c:spPr>
      </c:pivotFmt>
      <c:pivotFmt>
        <c:idx val="397"/>
        <c:spPr>
          <a:solidFill>
            <a:schemeClr val="accent6"/>
          </a:solidFill>
          <a:ln>
            <a:noFill/>
          </a:ln>
          <a:effectLst>
            <a:outerShdw blurRad="254000" sx="102000" sy="102000" algn="ctr" rotWithShape="0">
              <a:prstClr val="black">
                <a:alpha val="20000"/>
              </a:prstClr>
            </a:outerShdw>
          </a:effectLst>
        </c:spPr>
      </c:pivotFmt>
      <c:pivotFmt>
        <c:idx val="398"/>
        <c:spPr>
          <a:solidFill>
            <a:schemeClr val="accent6"/>
          </a:solidFill>
          <a:ln>
            <a:noFill/>
          </a:ln>
          <a:effectLst>
            <a:outerShdw blurRad="254000" sx="102000" sy="102000" algn="ctr" rotWithShape="0">
              <a:prstClr val="black">
                <a:alpha val="20000"/>
              </a:prstClr>
            </a:outerShdw>
          </a:effectLst>
        </c:spPr>
      </c:pivotFmt>
      <c:pivotFmt>
        <c:idx val="399"/>
        <c:spPr>
          <a:solidFill>
            <a:schemeClr val="accent6"/>
          </a:solidFill>
          <a:ln>
            <a:noFill/>
          </a:ln>
          <a:effectLst>
            <a:outerShdw blurRad="254000" sx="102000" sy="102000" algn="ctr" rotWithShape="0">
              <a:prstClr val="black">
                <a:alpha val="20000"/>
              </a:prstClr>
            </a:outerShdw>
          </a:effectLst>
        </c:spPr>
      </c:pivotFmt>
      <c:pivotFmt>
        <c:idx val="400"/>
        <c:spPr>
          <a:solidFill>
            <a:schemeClr val="accent6"/>
          </a:solidFill>
          <a:ln>
            <a:noFill/>
          </a:ln>
          <a:effectLst>
            <a:outerShdw blurRad="254000" sx="102000" sy="102000" algn="ctr" rotWithShape="0">
              <a:prstClr val="black">
                <a:alpha val="20000"/>
              </a:prstClr>
            </a:outerShdw>
          </a:effectLst>
        </c:spPr>
      </c:pivotFmt>
      <c:pivotFmt>
        <c:idx val="401"/>
        <c:spPr>
          <a:solidFill>
            <a:schemeClr val="accent6"/>
          </a:solidFill>
          <a:ln>
            <a:noFill/>
          </a:ln>
          <a:effectLst>
            <a:outerShdw blurRad="254000" sx="102000" sy="102000" algn="ctr" rotWithShape="0">
              <a:prstClr val="black">
                <a:alpha val="20000"/>
              </a:prstClr>
            </a:outerShdw>
          </a:effectLst>
        </c:spPr>
      </c:pivotFmt>
      <c:pivotFmt>
        <c:idx val="402"/>
        <c:spPr>
          <a:solidFill>
            <a:schemeClr val="accent6"/>
          </a:solidFill>
          <a:ln>
            <a:noFill/>
          </a:ln>
          <a:effectLst>
            <a:outerShdw blurRad="254000" sx="102000" sy="102000" algn="ctr" rotWithShape="0">
              <a:prstClr val="black">
                <a:alpha val="20000"/>
              </a:prstClr>
            </a:outerShdw>
          </a:effectLst>
        </c:spPr>
      </c:pivotFmt>
      <c:pivotFmt>
        <c:idx val="403"/>
        <c:spPr>
          <a:solidFill>
            <a:schemeClr val="accent6"/>
          </a:solidFill>
          <a:ln>
            <a:noFill/>
          </a:ln>
          <a:effectLst>
            <a:outerShdw blurRad="254000" sx="102000" sy="102000" algn="ctr" rotWithShape="0">
              <a:prstClr val="black">
                <a:alpha val="20000"/>
              </a:prstClr>
            </a:outerShdw>
          </a:effectLst>
        </c:spPr>
      </c:pivotFmt>
      <c:pivotFmt>
        <c:idx val="404"/>
        <c:spPr>
          <a:solidFill>
            <a:schemeClr val="accent6"/>
          </a:solidFill>
          <a:ln>
            <a:noFill/>
          </a:ln>
          <a:effectLst>
            <a:outerShdw blurRad="254000" sx="102000" sy="102000" algn="ctr" rotWithShape="0">
              <a:prstClr val="black">
                <a:alpha val="20000"/>
              </a:prstClr>
            </a:outerShdw>
          </a:effectLst>
        </c:spPr>
      </c:pivotFmt>
      <c:pivotFmt>
        <c:idx val="405"/>
        <c:spPr>
          <a:solidFill>
            <a:schemeClr val="accent6"/>
          </a:solidFill>
          <a:ln>
            <a:noFill/>
          </a:ln>
          <a:effectLst>
            <a:outerShdw blurRad="254000" sx="102000" sy="102000" algn="ctr" rotWithShape="0">
              <a:prstClr val="black">
                <a:alpha val="20000"/>
              </a:prstClr>
            </a:outerShdw>
          </a:effectLst>
        </c:spPr>
      </c:pivotFmt>
      <c:pivotFmt>
        <c:idx val="406"/>
        <c:spPr>
          <a:solidFill>
            <a:schemeClr val="accent6"/>
          </a:solidFill>
          <a:ln>
            <a:noFill/>
          </a:ln>
          <a:effectLst>
            <a:outerShdw blurRad="254000" sx="102000" sy="102000" algn="ctr" rotWithShape="0">
              <a:prstClr val="black">
                <a:alpha val="20000"/>
              </a:prstClr>
            </a:outerShdw>
          </a:effectLst>
        </c:spPr>
      </c:pivotFmt>
      <c:pivotFmt>
        <c:idx val="407"/>
        <c:spPr>
          <a:solidFill>
            <a:schemeClr val="accent6"/>
          </a:solidFill>
          <a:ln>
            <a:noFill/>
          </a:ln>
          <a:effectLst>
            <a:outerShdw blurRad="254000" sx="102000" sy="102000" algn="ctr" rotWithShape="0">
              <a:prstClr val="black">
                <a:alpha val="20000"/>
              </a:prstClr>
            </a:outerShdw>
          </a:effectLst>
        </c:spPr>
      </c:pivotFmt>
      <c:pivotFmt>
        <c:idx val="408"/>
        <c:spPr>
          <a:solidFill>
            <a:schemeClr val="accent6"/>
          </a:solidFill>
          <a:ln>
            <a:noFill/>
          </a:ln>
          <a:effectLst>
            <a:outerShdw blurRad="254000" sx="102000" sy="102000" algn="ctr" rotWithShape="0">
              <a:prstClr val="black">
                <a:alpha val="20000"/>
              </a:prstClr>
            </a:outerShdw>
          </a:effectLst>
        </c:spPr>
      </c:pivotFmt>
      <c:pivotFmt>
        <c:idx val="409"/>
        <c:spPr>
          <a:solidFill>
            <a:schemeClr val="accent6"/>
          </a:solidFill>
          <a:ln>
            <a:noFill/>
          </a:ln>
          <a:effectLst>
            <a:outerShdw blurRad="254000" sx="102000" sy="102000" algn="ctr" rotWithShape="0">
              <a:prstClr val="black">
                <a:alpha val="20000"/>
              </a:prstClr>
            </a:outerShdw>
          </a:effectLst>
        </c:spPr>
      </c:pivotFmt>
      <c:pivotFmt>
        <c:idx val="410"/>
        <c:spPr>
          <a:solidFill>
            <a:schemeClr val="accent6"/>
          </a:solidFill>
          <a:ln>
            <a:noFill/>
          </a:ln>
          <a:effectLst>
            <a:outerShdw blurRad="254000" sx="102000" sy="102000" algn="ctr" rotWithShape="0">
              <a:prstClr val="black">
                <a:alpha val="20000"/>
              </a:prstClr>
            </a:outerShdw>
          </a:effectLst>
        </c:spPr>
      </c:pivotFmt>
      <c:pivotFmt>
        <c:idx val="411"/>
        <c:spPr>
          <a:solidFill>
            <a:schemeClr val="accent6"/>
          </a:solidFill>
          <a:ln>
            <a:noFill/>
          </a:ln>
          <a:effectLst>
            <a:outerShdw blurRad="254000" sx="102000" sy="102000" algn="ctr" rotWithShape="0">
              <a:prstClr val="black">
                <a:alpha val="20000"/>
              </a:prstClr>
            </a:outerShdw>
          </a:effectLst>
        </c:spPr>
      </c:pivotFmt>
      <c:pivotFmt>
        <c:idx val="412"/>
        <c:spPr>
          <a:solidFill>
            <a:schemeClr val="accent6"/>
          </a:solidFill>
          <a:ln>
            <a:noFill/>
          </a:ln>
          <a:effectLst>
            <a:outerShdw blurRad="254000" sx="102000" sy="102000" algn="ctr" rotWithShape="0">
              <a:prstClr val="black">
                <a:alpha val="20000"/>
              </a:prstClr>
            </a:outerShdw>
          </a:effectLst>
        </c:spPr>
      </c:pivotFmt>
      <c:pivotFmt>
        <c:idx val="413"/>
        <c:spPr>
          <a:solidFill>
            <a:schemeClr val="accent6"/>
          </a:solidFill>
          <a:ln>
            <a:noFill/>
          </a:ln>
          <a:effectLst>
            <a:outerShdw blurRad="254000" sx="102000" sy="102000" algn="ctr" rotWithShape="0">
              <a:prstClr val="black">
                <a:alpha val="20000"/>
              </a:prstClr>
            </a:outerShdw>
          </a:effectLst>
        </c:spPr>
      </c:pivotFmt>
      <c:pivotFmt>
        <c:idx val="414"/>
        <c:spPr>
          <a:solidFill>
            <a:schemeClr val="accent6"/>
          </a:solidFill>
          <a:ln>
            <a:noFill/>
          </a:ln>
          <a:effectLst>
            <a:outerShdw blurRad="254000" sx="102000" sy="102000" algn="ctr" rotWithShape="0">
              <a:prstClr val="black">
                <a:alpha val="20000"/>
              </a:prstClr>
            </a:outerShdw>
          </a:effectLst>
        </c:spPr>
      </c:pivotFmt>
      <c:pivotFmt>
        <c:idx val="415"/>
        <c:spPr>
          <a:solidFill>
            <a:schemeClr val="accent6"/>
          </a:solidFill>
          <a:ln>
            <a:noFill/>
          </a:ln>
          <a:effectLst>
            <a:outerShdw blurRad="254000" sx="102000" sy="102000" algn="ctr" rotWithShape="0">
              <a:prstClr val="black">
                <a:alpha val="20000"/>
              </a:prstClr>
            </a:outerShdw>
          </a:effectLst>
        </c:spPr>
      </c:pivotFmt>
      <c:pivotFmt>
        <c:idx val="416"/>
        <c:spPr>
          <a:solidFill>
            <a:schemeClr val="accent6"/>
          </a:solidFill>
          <a:ln>
            <a:noFill/>
          </a:ln>
          <a:effectLst>
            <a:outerShdw blurRad="254000" sx="102000" sy="102000" algn="ctr" rotWithShape="0">
              <a:prstClr val="black">
                <a:alpha val="20000"/>
              </a:prstClr>
            </a:outerShdw>
          </a:effectLst>
        </c:spPr>
      </c:pivotFmt>
      <c:pivotFmt>
        <c:idx val="417"/>
        <c:spPr>
          <a:solidFill>
            <a:schemeClr val="accent6"/>
          </a:solidFill>
          <a:ln>
            <a:noFill/>
          </a:ln>
          <a:effectLst>
            <a:outerShdw blurRad="254000" sx="102000" sy="102000" algn="ctr" rotWithShape="0">
              <a:prstClr val="black">
                <a:alpha val="20000"/>
              </a:prstClr>
            </a:outerShdw>
          </a:effectLst>
        </c:spPr>
      </c:pivotFmt>
      <c:pivotFmt>
        <c:idx val="418"/>
        <c:spPr>
          <a:solidFill>
            <a:schemeClr val="accent6"/>
          </a:solidFill>
          <a:ln>
            <a:noFill/>
          </a:ln>
          <a:effectLst>
            <a:outerShdw blurRad="254000" sx="102000" sy="102000" algn="ctr" rotWithShape="0">
              <a:prstClr val="black">
                <a:alpha val="20000"/>
              </a:prstClr>
            </a:outerShdw>
          </a:effectLst>
        </c:spPr>
      </c:pivotFmt>
      <c:pivotFmt>
        <c:idx val="419"/>
        <c:spPr>
          <a:solidFill>
            <a:schemeClr val="accent6"/>
          </a:solidFill>
          <a:ln>
            <a:noFill/>
          </a:ln>
          <a:effectLst>
            <a:outerShdw blurRad="254000" sx="102000" sy="102000" algn="ctr" rotWithShape="0">
              <a:prstClr val="black">
                <a:alpha val="20000"/>
              </a:prstClr>
            </a:outerShdw>
          </a:effectLst>
        </c:spPr>
      </c:pivotFmt>
      <c:pivotFmt>
        <c:idx val="420"/>
        <c:spPr>
          <a:solidFill>
            <a:schemeClr val="accent6"/>
          </a:solidFill>
          <a:ln>
            <a:noFill/>
          </a:ln>
          <a:effectLst>
            <a:outerShdw blurRad="254000" sx="102000" sy="102000" algn="ctr" rotWithShape="0">
              <a:prstClr val="black">
                <a:alpha val="20000"/>
              </a:prstClr>
            </a:outerShdw>
          </a:effectLst>
        </c:spPr>
      </c:pivotFmt>
      <c:pivotFmt>
        <c:idx val="421"/>
        <c:spPr>
          <a:solidFill>
            <a:schemeClr val="accent6"/>
          </a:solidFill>
          <a:ln>
            <a:noFill/>
          </a:ln>
          <a:effectLst>
            <a:outerShdw blurRad="254000" sx="102000" sy="102000" algn="ctr" rotWithShape="0">
              <a:prstClr val="black">
                <a:alpha val="20000"/>
              </a:prstClr>
            </a:outerShdw>
          </a:effectLst>
        </c:spPr>
      </c:pivotFmt>
      <c:pivotFmt>
        <c:idx val="422"/>
        <c:spPr>
          <a:solidFill>
            <a:schemeClr val="accent6"/>
          </a:solidFill>
          <a:ln>
            <a:noFill/>
          </a:ln>
          <a:effectLst>
            <a:outerShdw blurRad="254000" sx="102000" sy="102000" algn="ctr" rotWithShape="0">
              <a:prstClr val="black">
                <a:alpha val="20000"/>
              </a:prstClr>
            </a:outerShdw>
          </a:effectLst>
        </c:spPr>
      </c:pivotFmt>
      <c:pivotFmt>
        <c:idx val="423"/>
        <c:spPr>
          <a:solidFill>
            <a:schemeClr val="accent6"/>
          </a:solidFill>
          <a:ln>
            <a:noFill/>
          </a:ln>
          <a:effectLst>
            <a:outerShdw blurRad="254000" sx="102000" sy="102000" algn="ctr" rotWithShape="0">
              <a:prstClr val="black">
                <a:alpha val="20000"/>
              </a:prstClr>
            </a:outerShdw>
          </a:effectLst>
        </c:spPr>
      </c:pivotFmt>
      <c:pivotFmt>
        <c:idx val="424"/>
        <c:spPr>
          <a:solidFill>
            <a:schemeClr val="accent6"/>
          </a:solidFill>
          <a:ln>
            <a:noFill/>
          </a:ln>
          <a:effectLst>
            <a:outerShdw blurRad="254000" sx="102000" sy="102000" algn="ctr" rotWithShape="0">
              <a:prstClr val="black">
                <a:alpha val="20000"/>
              </a:prstClr>
            </a:outerShdw>
          </a:effectLst>
        </c:spPr>
      </c:pivotFmt>
      <c:pivotFmt>
        <c:idx val="425"/>
        <c:spPr>
          <a:solidFill>
            <a:schemeClr val="accent2">
              <a:lumMod val="50000"/>
            </a:schemeClr>
          </a:solidFill>
          <a:ln>
            <a:noFill/>
          </a:ln>
          <a:effectLst>
            <a:outerShdw blurRad="254000" sx="102000" sy="102000" algn="ctr" rotWithShape="0">
              <a:prstClr val="black">
                <a:alpha val="20000"/>
              </a:prstClr>
            </a:outerShdw>
          </a:effectLst>
        </c:spPr>
      </c:pivotFmt>
      <c:pivotFmt>
        <c:idx val="426"/>
        <c:spPr>
          <a:solidFill>
            <a:schemeClr val="accent6"/>
          </a:solidFill>
          <a:ln>
            <a:noFill/>
          </a:ln>
          <a:effectLst>
            <a:outerShdw blurRad="254000" sx="102000" sy="102000" algn="ctr" rotWithShape="0">
              <a:prstClr val="black">
                <a:alpha val="20000"/>
              </a:prstClr>
            </a:outerShdw>
          </a:effectLst>
        </c:spPr>
      </c:pivotFmt>
      <c:pivotFmt>
        <c:idx val="427"/>
        <c:spPr>
          <a:solidFill>
            <a:schemeClr val="accent6"/>
          </a:solidFill>
          <a:ln>
            <a:noFill/>
          </a:ln>
          <a:effectLst>
            <a:outerShdw blurRad="254000" sx="102000" sy="102000" algn="ctr" rotWithShape="0">
              <a:prstClr val="black">
                <a:alpha val="20000"/>
              </a:prstClr>
            </a:outerShdw>
          </a:effectLst>
        </c:spPr>
      </c:pivotFmt>
      <c:pivotFmt>
        <c:idx val="428"/>
        <c:spPr>
          <a:solidFill>
            <a:schemeClr val="accent6"/>
          </a:solidFill>
          <a:ln>
            <a:noFill/>
          </a:ln>
          <a:effectLst>
            <a:outerShdw blurRad="254000" sx="102000" sy="102000" algn="ctr" rotWithShape="0">
              <a:prstClr val="black">
                <a:alpha val="20000"/>
              </a:prstClr>
            </a:outerShdw>
          </a:effectLst>
        </c:spPr>
      </c:pivotFmt>
      <c:pivotFmt>
        <c:idx val="429"/>
        <c:spPr>
          <a:solidFill>
            <a:schemeClr val="accent6"/>
          </a:solidFill>
          <a:ln>
            <a:noFill/>
          </a:ln>
          <a:effectLst>
            <a:outerShdw blurRad="254000" sx="102000" sy="102000" algn="ctr" rotWithShape="0">
              <a:prstClr val="black">
                <a:alpha val="20000"/>
              </a:prstClr>
            </a:outerShdw>
          </a:effectLst>
        </c:spPr>
      </c:pivotFmt>
      <c:pivotFmt>
        <c:idx val="430"/>
        <c:spPr>
          <a:solidFill>
            <a:schemeClr val="accent6"/>
          </a:solidFill>
          <a:ln>
            <a:noFill/>
          </a:ln>
          <a:effectLst>
            <a:outerShdw blurRad="254000" sx="102000" sy="102000" algn="ctr" rotWithShape="0">
              <a:prstClr val="black">
                <a:alpha val="20000"/>
              </a:prstClr>
            </a:outerShdw>
          </a:effectLst>
        </c:spPr>
      </c:pivotFmt>
      <c:pivotFmt>
        <c:idx val="431"/>
        <c:spPr>
          <a:solidFill>
            <a:schemeClr val="accent6"/>
          </a:solidFill>
          <a:ln>
            <a:noFill/>
          </a:ln>
          <a:effectLst>
            <a:outerShdw blurRad="254000" sx="102000" sy="102000" algn="ctr" rotWithShape="0">
              <a:prstClr val="black">
                <a:alpha val="20000"/>
              </a:prstClr>
            </a:outerShdw>
          </a:effectLst>
        </c:spPr>
      </c:pivotFmt>
      <c:pivotFmt>
        <c:idx val="432"/>
        <c:spPr>
          <a:solidFill>
            <a:schemeClr val="accent6"/>
          </a:solidFill>
          <a:ln>
            <a:noFill/>
          </a:ln>
          <a:effectLst>
            <a:outerShdw blurRad="254000" sx="102000" sy="102000" algn="ctr" rotWithShape="0">
              <a:prstClr val="black">
                <a:alpha val="20000"/>
              </a:prstClr>
            </a:outerShdw>
          </a:effectLst>
        </c:spPr>
      </c:pivotFmt>
      <c:pivotFmt>
        <c:idx val="433"/>
        <c:spPr>
          <a:solidFill>
            <a:schemeClr val="accent6"/>
          </a:solidFill>
          <a:ln>
            <a:noFill/>
          </a:ln>
          <a:effectLst>
            <a:outerShdw blurRad="254000" sx="102000" sy="102000" algn="ctr" rotWithShape="0">
              <a:prstClr val="black">
                <a:alpha val="20000"/>
              </a:prstClr>
            </a:outerShdw>
          </a:effectLst>
        </c:spPr>
      </c:pivotFmt>
      <c:pivotFmt>
        <c:idx val="434"/>
        <c:spPr>
          <a:solidFill>
            <a:schemeClr val="accent6"/>
          </a:solidFill>
          <a:ln>
            <a:noFill/>
          </a:ln>
          <a:effectLst>
            <a:outerShdw blurRad="254000" sx="102000" sy="102000" algn="ctr" rotWithShape="0">
              <a:prstClr val="black">
                <a:alpha val="20000"/>
              </a:prstClr>
            </a:outerShdw>
          </a:effectLst>
        </c:spPr>
      </c:pivotFmt>
      <c:pivotFmt>
        <c:idx val="435"/>
        <c:spPr>
          <a:solidFill>
            <a:schemeClr val="accent6"/>
          </a:solidFill>
          <a:ln>
            <a:noFill/>
          </a:ln>
          <a:effectLst>
            <a:outerShdw blurRad="254000" sx="102000" sy="102000" algn="ctr" rotWithShape="0">
              <a:prstClr val="black">
                <a:alpha val="20000"/>
              </a:prstClr>
            </a:outerShdw>
          </a:effectLst>
        </c:spPr>
      </c:pivotFmt>
      <c:pivotFmt>
        <c:idx val="436"/>
        <c:spPr>
          <a:solidFill>
            <a:schemeClr val="accent6"/>
          </a:solidFill>
          <a:ln>
            <a:noFill/>
          </a:ln>
          <a:effectLst>
            <a:outerShdw blurRad="254000" sx="102000" sy="102000" algn="ctr" rotWithShape="0">
              <a:prstClr val="black">
                <a:alpha val="20000"/>
              </a:prstClr>
            </a:outerShdw>
          </a:effectLst>
        </c:spPr>
      </c:pivotFmt>
      <c:pivotFmt>
        <c:idx val="437"/>
        <c:spPr>
          <a:solidFill>
            <a:schemeClr val="accent6"/>
          </a:solidFill>
          <a:ln>
            <a:noFill/>
          </a:ln>
          <a:effectLst>
            <a:outerShdw blurRad="254000" sx="102000" sy="102000" algn="ctr" rotWithShape="0">
              <a:prstClr val="black">
                <a:alpha val="20000"/>
              </a:prstClr>
            </a:outerShdw>
          </a:effectLst>
        </c:spPr>
      </c:pivotFmt>
      <c:pivotFmt>
        <c:idx val="438"/>
        <c:spPr>
          <a:solidFill>
            <a:schemeClr val="accent6"/>
          </a:solidFill>
          <a:ln>
            <a:noFill/>
          </a:ln>
          <a:effectLst>
            <a:outerShdw blurRad="254000" sx="102000" sy="102000" algn="ctr" rotWithShape="0">
              <a:prstClr val="black">
                <a:alpha val="20000"/>
              </a:prstClr>
            </a:outerShdw>
          </a:effectLst>
        </c:spPr>
      </c:pivotFmt>
      <c:pivotFmt>
        <c:idx val="439"/>
        <c:spPr>
          <a:solidFill>
            <a:schemeClr val="accent6"/>
          </a:solidFill>
          <a:ln>
            <a:noFill/>
          </a:ln>
          <a:effectLst>
            <a:outerShdw blurRad="254000" sx="102000" sy="102000" algn="ctr" rotWithShape="0">
              <a:prstClr val="black">
                <a:alpha val="20000"/>
              </a:prstClr>
            </a:outerShdw>
          </a:effectLst>
        </c:spPr>
      </c:pivotFmt>
      <c:pivotFmt>
        <c:idx val="440"/>
        <c:spPr>
          <a:solidFill>
            <a:schemeClr val="accent6"/>
          </a:solidFill>
          <a:ln>
            <a:noFill/>
          </a:ln>
          <a:effectLst>
            <a:outerShdw blurRad="254000" sx="102000" sy="102000" algn="ctr" rotWithShape="0">
              <a:prstClr val="black">
                <a:alpha val="20000"/>
              </a:prstClr>
            </a:outerShdw>
          </a:effectLst>
        </c:spPr>
      </c:pivotFmt>
      <c:pivotFmt>
        <c:idx val="441"/>
        <c:spPr>
          <a:solidFill>
            <a:schemeClr val="accent6"/>
          </a:solidFill>
          <a:ln>
            <a:noFill/>
          </a:ln>
          <a:effectLst>
            <a:outerShdw blurRad="254000" sx="102000" sy="102000" algn="ctr" rotWithShape="0">
              <a:prstClr val="black">
                <a:alpha val="20000"/>
              </a:prstClr>
            </a:outerShdw>
          </a:effectLst>
        </c:spPr>
      </c:pivotFmt>
      <c:pivotFmt>
        <c:idx val="442"/>
        <c:spPr>
          <a:solidFill>
            <a:schemeClr val="accent6"/>
          </a:solidFill>
          <a:ln>
            <a:noFill/>
          </a:ln>
          <a:effectLst>
            <a:outerShdw blurRad="254000" sx="102000" sy="102000" algn="ctr" rotWithShape="0">
              <a:prstClr val="black">
                <a:alpha val="20000"/>
              </a:prstClr>
            </a:outerShdw>
          </a:effectLst>
        </c:spPr>
      </c:pivotFmt>
      <c:pivotFmt>
        <c:idx val="443"/>
        <c:spPr>
          <a:solidFill>
            <a:schemeClr val="accent6"/>
          </a:solidFill>
          <a:ln>
            <a:noFill/>
          </a:ln>
          <a:effectLst>
            <a:outerShdw blurRad="254000" sx="102000" sy="102000" algn="ctr" rotWithShape="0">
              <a:prstClr val="black">
                <a:alpha val="20000"/>
              </a:prstClr>
            </a:outerShdw>
          </a:effectLst>
        </c:spPr>
      </c:pivotFmt>
      <c:pivotFmt>
        <c:idx val="444"/>
        <c:spPr>
          <a:solidFill>
            <a:schemeClr val="accent6"/>
          </a:solidFill>
          <a:ln>
            <a:noFill/>
          </a:ln>
          <a:effectLst>
            <a:outerShdw blurRad="254000" sx="102000" sy="102000" algn="ctr" rotWithShape="0">
              <a:prstClr val="black">
                <a:alpha val="20000"/>
              </a:prstClr>
            </a:outerShdw>
          </a:effectLst>
        </c:spPr>
      </c:pivotFmt>
      <c:pivotFmt>
        <c:idx val="445"/>
        <c:spPr>
          <a:solidFill>
            <a:schemeClr val="accent6"/>
          </a:solidFill>
          <a:ln>
            <a:noFill/>
          </a:ln>
          <a:effectLst>
            <a:outerShdw blurRad="254000" sx="102000" sy="102000" algn="ctr" rotWithShape="0">
              <a:prstClr val="black">
                <a:alpha val="20000"/>
              </a:prstClr>
            </a:outerShdw>
          </a:effectLst>
        </c:spPr>
      </c:pivotFmt>
      <c:pivotFmt>
        <c:idx val="446"/>
        <c:spPr>
          <a:solidFill>
            <a:schemeClr val="accent6"/>
          </a:solidFill>
          <a:ln>
            <a:noFill/>
          </a:ln>
          <a:effectLst>
            <a:outerShdw blurRad="254000" sx="102000" sy="102000" algn="ctr" rotWithShape="0">
              <a:prstClr val="black">
                <a:alpha val="20000"/>
              </a:prstClr>
            </a:outerShdw>
          </a:effectLst>
        </c:spPr>
      </c:pivotFmt>
      <c:pivotFmt>
        <c:idx val="447"/>
        <c:spPr>
          <a:solidFill>
            <a:schemeClr val="accent6"/>
          </a:solidFill>
          <a:ln>
            <a:noFill/>
          </a:ln>
          <a:effectLst>
            <a:outerShdw blurRad="254000" sx="102000" sy="102000" algn="ctr" rotWithShape="0">
              <a:prstClr val="black">
                <a:alpha val="20000"/>
              </a:prstClr>
            </a:outerShdw>
          </a:effectLst>
        </c:spPr>
      </c:pivotFmt>
      <c:pivotFmt>
        <c:idx val="448"/>
        <c:spPr>
          <a:solidFill>
            <a:schemeClr val="accent6"/>
          </a:solidFill>
          <a:ln>
            <a:noFill/>
          </a:ln>
          <a:effectLst>
            <a:outerShdw blurRad="254000" sx="102000" sy="102000" algn="ctr" rotWithShape="0">
              <a:prstClr val="black">
                <a:alpha val="20000"/>
              </a:prstClr>
            </a:outerShdw>
          </a:effectLst>
        </c:spPr>
      </c:pivotFmt>
      <c:pivotFmt>
        <c:idx val="449"/>
        <c:spPr>
          <a:solidFill>
            <a:schemeClr val="accent6"/>
          </a:solidFill>
          <a:ln>
            <a:noFill/>
          </a:ln>
          <a:effectLst>
            <a:outerShdw blurRad="254000" sx="102000" sy="102000" algn="ctr" rotWithShape="0">
              <a:prstClr val="black">
                <a:alpha val="20000"/>
              </a:prstClr>
            </a:outerShdw>
          </a:effectLst>
        </c:spPr>
      </c:pivotFmt>
      <c:pivotFmt>
        <c:idx val="450"/>
        <c:spPr>
          <a:solidFill>
            <a:schemeClr val="accent6"/>
          </a:solidFill>
          <a:ln>
            <a:noFill/>
          </a:ln>
          <a:effectLst>
            <a:outerShdw blurRad="254000" sx="102000" sy="102000" algn="ctr" rotWithShape="0">
              <a:prstClr val="black">
                <a:alpha val="20000"/>
              </a:prstClr>
            </a:outerShdw>
          </a:effectLst>
        </c:spPr>
      </c:pivotFmt>
      <c:pivotFmt>
        <c:idx val="451"/>
        <c:spPr>
          <a:solidFill>
            <a:schemeClr val="accent6"/>
          </a:solidFill>
          <a:ln>
            <a:noFill/>
          </a:ln>
          <a:effectLst>
            <a:outerShdw blurRad="254000" sx="102000" sy="102000" algn="ctr" rotWithShape="0">
              <a:prstClr val="black">
                <a:alpha val="20000"/>
              </a:prstClr>
            </a:outerShdw>
          </a:effectLst>
        </c:spPr>
      </c:pivotFmt>
      <c:pivotFmt>
        <c:idx val="452"/>
        <c:spPr>
          <a:solidFill>
            <a:schemeClr val="accent6"/>
          </a:solidFill>
          <a:ln>
            <a:noFill/>
          </a:ln>
          <a:effectLst>
            <a:outerShdw blurRad="254000" sx="102000" sy="102000" algn="ctr" rotWithShape="0">
              <a:prstClr val="black">
                <a:alpha val="20000"/>
              </a:prstClr>
            </a:outerShdw>
          </a:effectLst>
        </c:spPr>
      </c:pivotFmt>
      <c:pivotFmt>
        <c:idx val="453"/>
        <c:spPr>
          <a:solidFill>
            <a:schemeClr val="accent6"/>
          </a:solidFill>
          <a:ln>
            <a:noFill/>
          </a:ln>
          <a:effectLst>
            <a:outerShdw blurRad="254000" sx="102000" sy="102000" algn="ctr" rotWithShape="0">
              <a:prstClr val="black">
                <a:alpha val="20000"/>
              </a:prstClr>
            </a:outerShdw>
          </a:effectLst>
        </c:spPr>
      </c:pivotFmt>
      <c:pivotFmt>
        <c:idx val="454"/>
        <c:spPr>
          <a:solidFill>
            <a:schemeClr val="accent6"/>
          </a:solidFill>
          <a:ln>
            <a:noFill/>
          </a:ln>
          <a:effectLst>
            <a:outerShdw blurRad="254000" sx="102000" sy="102000" algn="ctr" rotWithShape="0">
              <a:prstClr val="black">
                <a:alpha val="20000"/>
              </a:prstClr>
            </a:outerShdw>
          </a:effectLst>
        </c:spPr>
      </c:pivotFmt>
      <c:pivotFmt>
        <c:idx val="455"/>
        <c:spPr>
          <a:solidFill>
            <a:schemeClr val="accent6"/>
          </a:solidFill>
          <a:ln>
            <a:noFill/>
          </a:ln>
          <a:effectLst>
            <a:outerShdw blurRad="254000" sx="102000" sy="102000" algn="ctr" rotWithShape="0">
              <a:prstClr val="black">
                <a:alpha val="20000"/>
              </a:prstClr>
            </a:outerShdw>
          </a:effectLst>
        </c:spPr>
      </c:pivotFmt>
      <c:pivotFmt>
        <c:idx val="456"/>
        <c:spPr>
          <a:solidFill>
            <a:schemeClr val="accent6"/>
          </a:solidFill>
          <a:ln>
            <a:noFill/>
          </a:ln>
          <a:effectLst>
            <a:outerShdw blurRad="254000" sx="102000" sy="102000" algn="ctr" rotWithShape="0">
              <a:prstClr val="black">
                <a:alpha val="20000"/>
              </a:prstClr>
            </a:outerShdw>
          </a:effectLst>
        </c:spPr>
      </c:pivotFmt>
      <c:pivotFmt>
        <c:idx val="457"/>
        <c:spPr>
          <a:solidFill>
            <a:schemeClr val="accent6"/>
          </a:solidFill>
          <a:ln>
            <a:noFill/>
          </a:ln>
          <a:effectLst>
            <a:outerShdw blurRad="254000" sx="102000" sy="102000" algn="ctr" rotWithShape="0">
              <a:prstClr val="black">
                <a:alpha val="20000"/>
              </a:prstClr>
            </a:outerShdw>
          </a:effectLst>
        </c:spPr>
      </c:pivotFmt>
      <c:pivotFmt>
        <c:idx val="458"/>
        <c:spPr>
          <a:solidFill>
            <a:schemeClr val="accent6"/>
          </a:solidFill>
          <a:ln>
            <a:noFill/>
          </a:ln>
          <a:effectLst>
            <a:outerShdw blurRad="254000" sx="102000" sy="102000" algn="ctr" rotWithShape="0">
              <a:prstClr val="black">
                <a:alpha val="20000"/>
              </a:prstClr>
            </a:outerShdw>
          </a:effectLst>
        </c:spPr>
      </c:pivotFmt>
      <c:pivotFmt>
        <c:idx val="459"/>
        <c:spPr>
          <a:solidFill>
            <a:schemeClr val="accent6"/>
          </a:solidFill>
          <a:ln>
            <a:noFill/>
          </a:ln>
          <a:effectLst>
            <a:outerShdw blurRad="254000" sx="102000" sy="102000" algn="ctr" rotWithShape="0">
              <a:prstClr val="black">
                <a:alpha val="20000"/>
              </a:prstClr>
            </a:outerShdw>
          </a:effectLst>
        </c:spPr>
      </c:pivotFmt>
      <c:pivotFmt>
        <c:idx val="460"/>
        <c:spPr>
          <a:solidFill>
            <a:schemeClr val="accent6"/>
          </a:solidFill>
          <a:ln>
            <a:noFill/>
          </a:ln>
          <a:effectLst>
            <a:outerShdw blurRad="254000" sx="102000" sy="102000" algn="ctr" rotWithShape="0">
              <a:prstClr val="black">
                <a:alpha val="20000"/>
              </a:prstClr>
            </a:outerShdw>
          </a:effectLst>
        </c:spPr>
      </c:pivotFmt>
      <c:pivotFmt>
        <c:idx val="461"/>
        <c:spPr>
          <a:solidFill>
            <a:schemeClr val="accent6"/>
          </a:solidFill>
          <a:ln>
            <a:noFill/>
          </a:ln>
          <a:effectLst>
            <a:outerShdw blurRad="254000" sx="102000" sy="102000" algn="ctr" rotWithShape="0">
              <a:prstClr val="black">
                <a:alpha val="20000"/>
              </a:prstClr>
            </a:outerShdw>
          </a:effectLst>
        </c:spPr>
      </c:pivotFmt>
      <c:pivotFmt>
        <c:idx val="462"/>
        <c:spPr>
          <a:solidFill>
            <a:schemeClr val="accent6"/>
          </a:solidFill>
          <a:ln>
            <a:noFill/>
          </a:ln>
          <a:effectLst>
            <a:outerShdw blurRad="254000" sx="102000" sy="102000" algn="ctr" rotWithShape="0">
              <a:prstClr val="black">
                <a:alpha val="20000"/>
              </a:prstClr>
            </a:outerShdw>
          </a:effectLst>
        </c:spPr>
      </c:pivotFmt>
      <c:pivotFmt>
        <c:idx val="463"/>
        <c:spPr>
          <a:solidFill>
            <a:schemeClr val="accent6"/>
          </a:solidFill>
          <a:ln>
            <a:noFill/>
          </a:ln>
          <a:effectLst>
            <a:outerShdw blurRad="254000" sx="102000" sy="102000" algn="ctr" rotWithShape="0">
              <a:prstClr val="black">
                <a:alpha val="20000"/>
              </a:prstClr>
            </a:outerShdw>
          </a:effectLst>
        </c:spPr>
      </c:pivotFmt>
      <c:pivotFmt>
        <c:idx val="464"/>
        <c:spPr>
          <a:solidFill>
            <a:schemeClr val="accent6"/>
          </a:solidFill>
          <a:ln>
            <a:noFill/>
          </a:ln>
          <a:effectLst>
            <a:outerShdw blurRad="254000" sx="102000" sy="102000" algn="ctr" rotWithShape="0">
              <a:prstClr val="black">
                <a:alpha val="20000"/>
              </a:prstClr>
            </a:outerShdw>
          </a:effectLst>
        </c:spPr>
      </c:pivotFmt>
      <c:pivotFmt>
        <c:idx val="465"/>
        <c:spPr>
          <a:solidFill>
            <a:schemeClr val="accent6"/>
          </a:solidFill>
          <a:ln>
            <a:noFill/>
          </a:ln>
          <a:effectLst>
            <a:outerShdw blurRad="254000" sx="102000" sy="102000" algn="ctr" rotWithShape="0">
              <a:prstClr val="black">
                <a:alpha val="20000"/>
              </a:prstClr>
            </a:outerShdw>
          </a:effectLst>
        </c:spPr>
      </c:pivotFmt>
      <c:pivotFmt>
        <c:idx val="466"/>
        <c:spPr>
          <a:solidFill>
            <a:schemeClr val="accent6"/>
          </a:solidFill>
          <a:ln>
            <a:noFill/>
          </a:ln>
          <a:effectLst>
            <a:outerShdw blurRad="254000" sx="102000" sy="102000" algn="ctr" rotWithShape="0">
              <a:prstClr val="black">
                <a:alpha val="20000"/>
              </a:prstClr>
            </a:outerShdw>
          </a:effectLst>
        </c:spPr>
      </c:pivotFmt>
      <c:pivotFmt>
        <c:idx val="467"/>
        <c:spPr>
          <a:solidFill>
            <a:schemeClr val="accent6"/>
          </a:solidFill>
          <a:ln>
            <a:noFill/>
          </a:ln>
          <a:effectLst>
            <a:outerShdw blurRad="254000" sx="102000" sy="102000" algn="ctr" rotWithShape="0">
              <a:prstClr val="black">
                <a:alpha val="20000"/>
              </a:prstClr>
            </a:outerShdw>
          </a:effectLst>
        </c:spPr>
      </c:pivotFmt>
      <c:pivotFmt>
        <c:idx val="468"/>
        <c:spPr>
          <a:solidFill>
            <a:schemeClr val="accent6"/>
          </a:solidFill>
          <a:ln>
            <a:noFill/>
          </a:ln>
          <a:effectLst>
            <a:outerShdw blurRad="254000" sx="102000" sy="102000" algn="ctr" rotWithShape="0">
              <a:prstClr val="black">
                <a:alpha val="20000"/>
              </a:prstClr>
            </a:outerShdw>
          </a:effectLst>
        </c:spPr>
      </c:pivotFmt>
      <c:pivotFmt>
        <c:idx val="469"/>
        <c:spPr>
          <a:solidFill>
            <a:schemeClr val="accent6"/>
          </a:solidFill>
          <a:ln>
            <a:noFill/>
          </a:ln>
          <a:effectLst>
            <a:outerShdw blurRad="254000" sx="102000" sy="102000" algn="ctr" rotWithShape="0">
              <a:prstClr val="black">
                <a:alpha val="20000"/>
              </a:prstClr>
            </a:outerShdw>
          </a:effectLst>
        </c:spPr>
      </c:pivotFmt>
      <c:pivotFmt>
        <c:idx val="470"/>
        <c:spPr>
          <a:solidFill>
            <a:schemeClr val="accent6"/>
          </a:solidFill>
          <a:ln>
            <a:noFill/>
          </a:ln>
          <a:effectLst>
            <a:outerShdw blurRad="254000" sx="102000" sy="102000" algn="ctr" rotWithShape="0">
              <a:prstClr val="black">
                <a:alpha val="20000"/>
              </a:prstClr>
            </a:outerShdw>
          </a:effectLst>
        </c:spPr>
      </c:pivotFmt>
      <c:pivotFmt>
        <c:idx val="471"/>
        <c:spPr>
          <a:solidFill>
            <a:schemeClr val="accent6"/>
          </a:solidFill>
          <a:ln>
            <a:noFill/>
          </a:ln>
          <a:effectLst>
            <a:outerShdw blurRad="254000" sx="102000" sy="102000" algn="ctr" rotWithShape="0">
              <a:prstClr val="black">
                <a:alpha val="20000"/>
              </a:prstClr>
            </a:outerShdw>
          </a:effectLst>
        </c:spPr>
      </c:pivotFmt>
      <c:pivotFmt>
        <c:idx val="472"/>
        <c:spPr>
          <a:solidFill>
            <a:schemeClr val="accent6"/>
          </a:solidFill>
          <a:ln>
            <a:noFill/>
          </a:ln>
          <a:effectLst>
            <a:outerShdw blurRad="254000" sx="102000" sy="102000" algn="ctr" rotWithShape="0">
              <a:prstClr val="black">
                <a:alpha val="20000"/>
              </a:prstClr>
            </a:outerShdw>
          </a:effectLst>
        </c:spPr>
      </c:pivotFmt>
      <c:pivotFmt>
        <c:idx val="473"/>
        <c:spPr>
          <a:solidFill>
            <a:schemeClr val="accent6"/>
          </a:solidFill>
          <a:ln>
            <a:noFill/>
          </a:ln>
          <a:effectLst>
            <a:outerShdw blurRad="254000" sx="102000" sy="102000" algn="ctr" rotWithShape="0">
              <a:prstClr val="black">
                <a:alpha val="20000"/>
              </a:prstClr>
            </a:outerShdw>
          </a:effectLst>
        </c:spPr>
      </c:pivotFmt>
      <c:pivotFmt>
        <c:idx val="474"/>
        <c:spPr>
          <a:solidFill>
            <a:schemeClr val="accent6"/>
          </a:solidFill>
          <a:ln>
            <a:noFill/>
          </a:ln>
          <a:effectLst>
            <a:outerShdw blurRad="254000" sx="102000" sy="102000" algn="ctr" rotWithShape="0">
              <a:prstClr val="black">
                <a:alpha val="20000"/>
              </a:prstClr>
            </a:outerShdw>
          </a:effectLst>
        </c:spPr>
      </c:pivotFmt>
      <c:pivotFmt>
        <c:idx val="475"/>
        <c:spPr>
          <a:solidFill>
            <a:schemeClr val="accent6"/>
          </a:solidFill>
          <a:ln>
            <a:noFill/>
          </a:ln>
          <a:effectLst>
            <a:outerShdw blurRad="254000" sx="102000" sy="102000" algn="ctr" rotWithShape="0">
              <a:prstClr val="black">
                <a:alpha val="20000"/>
              </a:prstClr>
            </a:outerShdw>
          </a:effectLst>
        </c:spPr>
      </c:pivotFmt>
      <c:pivotFmt>
        <c:idx val="476"/>
        <c:spPr>
          <a:solidFill>
            <a:schemeClr val="accent6"/>
          </a:solidFill>
          <a:ln>
            <a:noFill/>
          </a:ln>
          <a:effectLst>
            <a:outerShdw blurRad="254000" sx="102000" sy="102000" algn="ctr" rotWithShape="0">
              <a:prstClr val="black">
                <a:alpha val="20000"/>
              </a:prstClr>
            </a:outerShdw>
          </a:effectLst>
        </c:spPr>
      </c:pivotFmt>
      <c:pivotFmt>
        <c:idx val="477"/>
        <c:spPr>
          <a:solidFill>
            <a:schemeClr val="accent6"/>
          </a:solidFill>
          <a:ln>
            <a:noFill/>
          </a:ln>
          <a:effectLst>
            <a:outerShdw blurRad="254000" sx="102000" sy="102000" algn="ctr" rotWithShape="0">
              <a:prstClr val="black">
                <a:alpha val="20000"/>
              </a:prstClr>
            </a:outerShdw>
          </a:effectLst>
        </c:spPr>
      </c:pivotFmt>
      <c:pivotFmt>
        <c:idx val="478"/>
        <c:spPr>
          <a:solidFill>
            <a:schemeClr val="accent6"/>
          </a:solidFill>
          <a:ln>
            <a:noFill/>
          </a:ln>
          <a:effectLst>
            <a:outerShdw blurRad="254000" sx="102000" sy="102000" algn="ctr" rotWithShape="0">
              <a:prstClr val="black">
                <a:alpha val="20000"/>
              </a:prstClr>
            </a:outerShdw>
          </a:effectLst>
        </c:spPr>
      </c:pivotFmt>
      <c:pivotFmt>
        <c:idx val="479"/>
        <c:spPr>
          <a:solidFill>
            <a:schemeClr val="accent6"/>
          </a:solidFill>
          <a:ln>
            <a:noFill/>
          </a:ln>
          <a:effectLst>
            <a:outerShdw blurRad="254000" sx="102000" sy="102000" algn="ctr" rotWithShape="0">
              <a:prstClr val="black">
                <a:alpha val="20000"/>
              </a:prstClr>
            </a:outerShdw>
          </a:effectLst>
        </c:spPr>
      </c:pivotFmt>
      <c:pivotFmt>
        <c:idx val="480"/>
        <c:spPr>
          <a:solidFill>
            <a:schemeClr val="accent6"/>
          </a:solidFill>
          <a:ln>
            <a:noFill/>
          </a:ln>
          <a:effectLst>
            <a:outerShdw blurRad="254000" sx="102000" sy="102000" algn="ctr" rotWithShape="0">
              <a:prstClr val="black">
                <a:alpha val="20000"/>
              </a:prstClr>
            </a:outerShdw>
          </a:effectLst>
        </c:spPr>
      </c:pivotFmt>
      <c:pivotFmt>
        <c:idx val="481"/>
        <c:spPr>
          <a:solidFill>
            <a:schemeClr val="accent6"/>
          </a:solidFill>
          <a:ln>
            <a:noFill/>
          </a:ln>
          <a:effectLst>
            <a:outerShdw blurRad="254000" sx="102000" sy="102000" algn="ctr" rotWithShape="0">
              <a:prstClr val="black">
                <a:alpha val="20000"/>
              </a:prstClr>
            </a:outerShdw>
          </a:effectLst>
        </c:spPr>
      </c:pivotFmt>
      <c:pivotFmt>
        <c:idx val="482"/>
        <c:spPr>
          <a:solidFill>
            <a:schemeClr val="accent6"/>
          </a:solidFill>
          <a:ln>
            <a:noFill/>
          </a:ln>
          <a:effectLst>
            <a:outerShdw blurRad="254000" sx="102000" sy="102000" algn="ctr" rotWithShape="0">
              <a:prstClr val="black">
                <a:alpha val="20000"/>
              </a:prstClr>
            </a:outerShdw>
          </a:effectLst>
        </c:spPr>
      </c:pivotFmt>
      <c:pivotFmt>
        <c:idx val="483"/>
        <c:spPr>
          <a:solidFill>
            <a:schemeClr val="accent6"/>
          </a:solidFill>
          <a:ln>
            <a:noFill/>
          </a:ln>
          <a:effectLst>
            <a:outerShdw blurRad="254000" sx="102000" sy="102000" algn="ctr" rotWithShape="0">
              <a:prstClr val="black">
                <a:alpha val="20000"/>
              </a:prstClr>
            </a:outerShdw>
          </a:effectLst>
        </c:spPr>
      </c:pivotFmt>
      <c:pivotFmt>
        <c:idx val="484"/>
        <c:spPr>
          <a:solidFill>
            <a:schemeClr val="accent6"/>
          </a:solidFill>
          <a:ln>
            <a:noFill/>
          </a:ln>
          <a:effectLst>
            <a:outerShdw blurRad="254000" sx="102000" sy="102000" algn="ctr" rotWithShape="0">
              <a:prstClr val="black">
                <a:alpha val="20000"/>
              </a:prstClr>
            </a:outerShdw>
          </a:effectLst>
        </c:spPr>
      </c:pivotFmt>
      <c:pivotFmt>
        <c:idx val="485"/>
        <c:spPr>
          <a:solidFill>
            <a:schemeClr val="accent6"/>
          </a:solidFill>
          <a:ln>
            <a:noFill/>
          </a:ln>
          <a:effectLst>
            <a:outerShdw blurRad="254000" sx="102000" sy="102000" algn="ctr" rotWithShape="0">
              <a:prstClr val="black">
                <a:alpha val="20000"/>
              </a:prstClr>
            </a:outerShdw>
          </a:effectLst>
        </c:spPr>
      </c:pivotFmt>
      <c:pivotFmt>
        <c:idx val="486"/>
        <c:spPr>
          <a:solidFill>
            <a:schemeClr val="accent6"/>
          </a:solidFill>
          <a:ln>
            <a:noFill/>
          </a:ln>
          <a:effectLst>
            <a:outerShdw blurRad="254000" sx="102000" sy="102000" algn="ctr" rotWithShape="0">
              <a:prstClr val="black">
                <a:alpha val="20000"/>
              </a:prstClr>
            </a:outerShdw>
          </a:effectLst>
        </c:spPr>
      </c:pivotFmt>
      <c:pivotFmt>
        <c:idx val="487"/>
        <c:spPr>
          <a:solidFill>
            <a:schemeClr val="accent6"/>
          </a:solidFill>
          <a:ln>
            <a:noFill/>
          </a:ln>
          <a:effectLst>
            <a:outerShdw blurRad="254000" sx="102000" sy="102000" algn="ctr" rotWithShape="0">
              <a:prstClr val="black">
                <a:alpha val="20000"/>
              </a:prstClr>
            </a:outerShdw>
          </a:effectLst>
        </c:spPr>
      </c:pivotFmt>
      <c:pivotFmt>
        <c:idx val="488"/>
        <c:spPr>
          <a:solidFill>
            <a:schemeClr val="accent6"/>
          </a:solidFill>
          <a:ln>
            <a:noFill/>
          </a:ln>
          <a:effectLst>
            <a:outerShdw blurRad="254000" sx="102000" sy="102000" algn="ctr" rotWithShape="0">
              <a:prstClr val="black">
                <a:alpha val="20000"/>
              </a:prstClr>
            </a:outerShdw>
          </a:effectLst>
        </c:spPr>
      </c:pivotFmt>
      <c:pivotFmt>
        <c:idx val="489"/>
        <c:spPr>
          <a:solidFill>
            <a:schemeClr val="accent6"/>
          </a:solidFill>
          <a:ln>
            <a:noFill/>
          </a:ln>
          <a:effectLst>
            <a:outerShdw blurRad="254000" sx="102000" sy="102000" algn="ctr" rotWithShape="0">
              <a:prstClr val="black">
                <a:alpha val="20000"/>
              </a:prstClr>
            </a:outerShdw>
          </a:effectLst>
        </c:spPr>
      </c:pivotFmt>
      <c:pivotFmt>
        <c:idx val="490"/>
        <c:spPr>
          <a:solidFill>
            <a:schemeClr val="accent6"/>
          </a:solidFill>
          <a:ln>
            <a:noFill/>
          </a:ln>
          <a:effectLst>
            <a:outerShdw blurRad="254000" sx="102000" sy="102000" algn="ctr" rotWithShape="0">
              <a:prstClr val="black">
                <a:alpha val="20000"/>
              </a:prstClr>
            </a:outerShdw>
          </a:effectLst>
        </c:spPr>
      </c:pivotFmt>
      <c:pivotFmt>
        <c:idx val="491"/>
        <c:spPr>
          <a:solidFill>
            <a:schemeClr val="accent6"/>
          </a:solidFill>
          <a:ln>
            <a:noFill/>
          </a:ln>
          <a:effectLst>
            <a:outerShdw blurRad="254000" sx="102000" sy="102000" algn="ctr" rotWithShape="0">
              <a:prstClr val="black">
                <a:alpha val="20000"/>
              </a:prstClr>
            </a:outerShdw>
          </a:effectLst>
        </c:spPr>
      </c:pivotFmt>
      <c:pivotFmt>
        <c:idx val="492"/>
        <c:spPr>
          <a:solidFill>
            <a:schemeClr val="accent6"/>
          </a:solidFill>
          <a:ln>
            <a:noFill/>
          </a:ln>
          <a:effectLst>
            <a:outerShdw blurRad="254000" sx="102000" sy="102000" algn="ctr" rotWithShape="0">
              <a:prstClr val="black">
                <a:alpha val="20000"/>
              </a:prstClr>
            </a:outerShdw>
          </a:effectLst>
        </c:spPr>
      </c:pivotFmt>
      <c:pivotFmt>
        <c:idx val="493"/>
        <c:spPr>
          <a:solidFill>
            <a:schemeClr val="accent6"/>
          </a:solidFill>
          <a:ln>
            <a:noFill/>
          </a:ln>
          <a:effectLst>
            <a:outerShdw blurRad="254000" sx="102000" sy="102000" algn="ctr" rotWithShape="0">
              <a:prstClr val="black">
                <a:alpha val="20000"/>
              </a:prstClr>
            </a:outerShdw>
          </a:effectLst>
        </c:spPr>
      </c:pivotFmt>
      <c:pivotFmt>
        <c:idx val="494"/>
        <c:spPr>
          <a:solidFill>
            <a:schemeClr val="accent6"/>
          </a:solidFill>
          <a:ln>
            <a:noFill/>
          </a:ln>
          <a:effectLst>
            <a:outerShdw blurRad="254000" sx="102000" sy="102000" algn="ctr" rotWithShape="0">
              <a:prstClr val="black">
                <a:alpha val="20000"/>
              </a:prstClr>
            </a:outerShdw>
          </a:effectLst>
        </c:spPr>
      </c:pivotFmt>
      <c:pivotFmt>
        <c:idx val="495"/>
        <c:spPr>
          <a:solidFill>
            <a:schemeClr val="accent6"/>
          </a:solidFill>
          <a:ln>
            <a:noFill/>
          </a:ln>
          <a:effectLst>
            <a:outerShdw blurRad="254000" sx="102000" sy="102000" algn="ctr" rotWithShape="0">
              <a:prstClr val="black">
                <a:alpha val="20000"/>
              </a:prstClr>
            </a:outerShdw>
          </a:effectLst>
        </c:spPr>
      </c:pivotFmt>
      <c:pivotFmt>
        <c:idx val="496"/>
        <c:spPr>
          <a:solidFill>
            <a:schemeClr val="accent6"/>
          </a:solidFill>
          <a:ln>
            <a:noFill/>
          </a:ln>
          <a:effectLst>
            <a:outerShdw blurRad="254000" sx="102000" sy="102000" algn="ctr" rotWithShape="0">
              <a:prstClr val="black">
                <a:alpha val="20000"/>
              </a:prstClr>
            </a:outerShdw>
          </a:effectLst>
        </c:spPr>
      </c:pivotFmt>
      <c:pivotFmt>
        <c:idx val="497"/>
        <c:spPr>
          <a:solidFill>
            <a:schemeClr val="accent6"/>
          </a:solidFill>
          <a:ln>
            <a:noFill/>
          </a:ln>
          <a:effectLst>
            <a:outerShdw blurRad="254000" sx="102000" sy="102000" algn="ctr" rotWithShape="0">
              <a:prstClr val="black">
                <a:alpha val="20000"/>
              </a:prstClr>
            </a:outerShdw>
          </a:effectLst>
        </c:spPr>
      </c:pivotFmt>
      <c:pivotFmt>
        <c:idx val="498"/>
        <c:spPr>
          <a:solidFill>
            <a:schemeClr val="accent6"/>
          </a:solidFill>
          <a:ln>
            <a:noFill/>
          </a:ln>
          <a:effectLst>
            <a:outerShdw blurRad="254000" sx="102000" sy="102000" algn="ctr" rotWithShape="0">
              <a:prstClr val="black">
                <a:alpha val="20000"/>
              </a:prstClr>
            </a:outerShdw>
          </a:effectLst>
        </c:spPr>
      </c:pivotFmt>
      <c:pivotFmt>
        <c:idx val="499"/>
        <c:spPr>
          <a:solidFill>
            <a:schemeClr val="accent6"/>
          </a:solidFill>
          <a:ln>
            <a:noFill/>
          </a:ln>
          <a:effectLst>
            <a:outerShdw blurRad="254000" sx="102000" sy="102000" algn="ctr" rotWithShape="0">
              <a:prstClr val="black">
                <a:alpha val="20000"/>
              </a:prstClr>
            </a:outerShdw>
          </a:effectLst>
        </c:spPr>
      </c:pivotFmt>
      <c:pivotFmt>
        <c:idx val="500"/>
        <c:spPr>
          <a:solidFill>
            <a:schemeClr val="accent6"/>
          </a:solidFill>
          <a:ln>
            <a:noFill/>
          </a:ln>
          <a:effectLst>
            <a:outerShdw blurRad="254000" sx="102000" sy="102000" algn="ctr" rotWithShape="0">
              <a:prstClr val="black">
                <a:alpha val="20000"/>
              </a:prstClr>
            </a:outerShdw>
          </a:effectLst>
        </c:spPr>
      </c:pivotFmt>
      <c:pivotFmt>
        <c:idx val="501"/>
        <c:spPr>
          <a:solidFill>
            <a:schemeClr val="accent6"/>
          </a:solidFill>
          <a:ln>
            <a:noFill/>
          </a:ln>
          <a:effectLst>
            <a:outerShdw blurRad="254000" sx="102000" sy="102000" algn="ctr" rotWithShape="0">
              <a:prstClr val="black">
                <a:alpha val="20000"/>
              </a:prstClr>
            </a:outerShdw>
          </a:effectLst>
        </c:spPr>
      </c:pivotFmt>
      <c:pivotFmt>
        <c:idx val="502"/>
        <c:spPr>
          <a:solidFill>
            <a:schemeClr val="accent6"/>
          </a:solidFill>
          <a:ln>
            <a:noFill/>
          </a:ln>
          <a:effectLst>
            <a:outerShdw blurRad="254000" sx="102000" sy="102000" algn="ctr" rotWithShape="0">
              <a:prstClr val="black">
                <a:alpha val="20000"/>
              </a:prstClr>
            </a:outerShdw>
          </a:effectLst>
        </c:spPr>
      </c:pivotFmt>
      <c:pivotFmt>
        <c:idx val="503"/>
        <c:spPr>
          <a:solidFill>
            <a:schemeClr val="accent6"/>
          </a:solidFill>
          <a:ln>
            <a:noFill/>
          </a:ln>
          <a:effectLst>
            <a:outerShdw blurRad="254000" sx="102000" sy="102000" algn="ctr" rotWithShape="0">
              <a:prstClr val="black">
                <a:alpha val="20000"/>
              </a:prstClr>
            </a:outerShdw>
          </a:effectLst>
        </c:spPr>
      </c:pivotFmt>
      <c:pivotFmt>
        <c:idx val="504"/>
        <c:spPr>
          <a:solidFill>
            <a:schemeClr val="accent6"/>
          </a:solidFill>
          <a:ln>
            <a:noFill/>
          </a:ln>
          <a:effectLst>
            <a:outerShdw blurRad="254000" sx="102000" sy="102000" algn="ctr" rotWithShape="0">
              <a:prstClr val="black">
                <a:alpha val="20000"/>
              </a:prstClr>
            </a:outerShdw>
          </a:effectLst>
        </c:spPr>
      </c:pivotFmt>
      <c:pivotFmt>
        <c:idx val="505"/>
        <c:spPr>
          <a:solidFill>
            <a:schemeClr val="accent6"/>
          </a:solidFill>
          <a:ln>
            <a:noFill/>
          </a:ln>
          <a:effectLst>
            <a:outerShdw blurRad="254000" sx="102000" sy="102000" algn="ctr" rotWithShape="0">
              <a:prstClr val="black">
                <a:alpha val="20000"/>
              </a:prstClr>
            </a:outerShdw>
          </a:effectLst>
        </c:spPr>
      </c:pivotFmt>
      <c:pivotFmt>
        <c:idx val="506"/>
        <c:spPr>
          <a:solidFill>
            <a:schemeClr val="accent6"/>
          </a:solidFill>
          <a:ln>
            <a:noFill/>
          </a:ln>
          <a:effectLst>
            <a:outerShdw blurRad="254000" sx="102000" sy="102000" algn="ctr" rotWithShape="0">
              <a:prstClr val="black">
                <a:alpha val="20000"/>
              </a:prstClr>
            </a:outerShdw>
          </a:effectLst>
        </c:spPr>
      </c:pivotFmt>
      <c:pivotFmt>
        <c:idx val="507"/>
        <c:spPr>
          <a:solidFill>
            <a:schemeClr val="accent6"/>
          </a:solidFill>
          <a:ln>
            <a:noFill/>
          </a:ln>
          <a:effectLst>
            <a:outerShdw blurRad="254000" sx="102000" sy="102000" algn="ctr" rotWithShape="0">
              <a:prstClr val="black">
                <a:alpha val="20000"/>
              </a:prstClr>
            </a:outerShdw>
          </a:effectLst>
        </c:spPr>
      </c:pivotFmt>
      <c:pivotFmt>
        <c:idx val="508"/>
        <c:spPr>
          <a:solidFill>
            <a:schemeClr val="accent6"/>
          </a:solidFill>
          <a:ln>
            <a:noFill/>
          </a:ln>
          <a:effectLst>
            <a:outerShdw blurRad="254000" sx="102000" sy="102000" algn="ctr" rotWithShape="0">
              <a:prstClr val="black">
                <a:alpha val="20000"/>
              </a:prstClr>
            </a:outerShdw>
          </a:effectLst>
        </c:spPr>
      </c:pivotFmt>
      <c:pivotFmt>
        <c:idx val="509"/>
        <c:spPr>
          <a:solidFill>
            <a:schemeClr val="accent6"/>
          </a:solidFill>
          <a:ln>
            <a:noFill/>
          </a:ln>
          <a:effectLst>
            <a:outerShdw blurRad="254000" sx="102000" sy="102000" algn="ctr" rotWithShape="0">
              <a:prstClr val="black">
                <a:alpha val="20000"/>
              </a:prstClr>
            </a:outerShdw>
          </a:effectLst>
        </c:spPr>
      </c:pivotFmt>
      <c:pivotFmt>
        <c:idx val="510"/>
        <c:spPr>
          <a:solidFill>
            <a:schemeClr val="accent6"/>
          </a:solidFill>
          <a:ln>
            <a:noFill/>
          </a:ln>
          <a:effectLst>
            <a:outerShdw blurRad="254000" sx="102000" sy="102000" algn="ctr" rotWithShape="0">
              <a:prstClr val="black">
                <a:alpha val="20000"/>
              </a:prstClr>
            </a:outerShdw>
          </a:effectLst>
        </c:spPr>
      </c:pivotFmt>
      <c:pivotFmt>
        <c:idx val="511"/>
        <c:spPr>
          <a:solidFill>
            <a:schemeClr val="accent6"/>
          </a:solidFill>
          <a:ln>
            <a:noFill/>
          </a:ln>
          <a:effectLst>
            <a:outerShdw blurRad="254000" sx="102000" sy="102000" algn="ctr" rotWithShape="0">
              <a:prstClr val="black">
                <a:alpha val="20000"/>
              </a:prstClr>
            </a:outerShdw>
          </a:effectLst>
        </c:spPr>
      </c:pivotFmt>
      <c:pivotFmt>
        <c:idx val="512"/>
        <c:spPr>
          <a:solidFill>
            <a:schemeClr val="accent6"/>
          </a:solidFill>
          <a:ln>
            <a:noFill/>
          </a:ln>
          <a:effectLst>
            <a:outerShdw blurRad="254000" sx="102000" sy="102000" algn="ctr" rotWithShape="0">
              <a:prstClr val="black">
                <a:alpha val="20000"/>
              </a:prstClr>
            </a:outerShdw>
          </a:effectLst>
        </c:spPr>
      </c:pivotFmt>
      <c:pivotFmt>
        <c:idx val="513"/>
        <c:spPr>
          <a:solidFill>
            <a:schemeClr val="accent6"/>
          </a:solidFill>
          <a:ln>
            <a:noFill/>
          </a:ln>
          <a:effectLst>
            <a:outerShdw blurRad="254000" sx="102000" sy="102000" algn="ctr" rotWithShape="0">
              <a:prstClr val="black">
                <a:alpha val="20000"/>
              </a:prstClr>
            </a:outerShdw>
          </a:effectLst>
        </c:spPr>
      </c:pivotFmt>
      <c:pivotFmt>
        <c:idx val="514"/>
        <c:spPr>
          <a:solidFill>
            <a:schemeClr val="accent6"/>
          </a:solidFill>
          <a:ln>
            <a:noFill/>
          </a:ln>
          <a:effectLst>
            <a:outerShdw blurRad="254000" sx="102000" sy="102000" algn="ctr" rotWithShape="0">
              <a:prstClr val="black">
                <a:alpha val="20000"/>
              </a:prstClr>
            </a:outerShdw>
          </a:effectLst>
        </c:spPr>
      </c:pivotFmt>
      <c:pivotFmt>
        <c:idx val="515"/>
        <c:spPr>
          <a:solidFill>
            <a:schemeClr val="accent6"/>
          </a:solidFill>
          <a:ln>
            <a:noFill/>
          </a:ln>
          <a:effectLst>
            <a:outerShdw blurRad="254000" sx="102000" sy="102000" algn="ctr" rotWithShape="0">
              <a:prstClr val="black">
                <a:alpha val="20000"/>
              </a:prstClr>
            </a:outerShdw>
          </a:effectLst>
        </c:spPr>
      </c:pivotFmt>
      <c:pivotFmt>
        <c:idx val="516"/>
        <c:spPr>
          <a:solidFill>
            <a:schemeClr val="accent6"/>
          </a:solidFill>
          <a:ln>
            <a:noFill/>
          </a:ln>
          <a:effectLst>
            <a:outerShdw blurRad="254000" sx="102000" sy="102000" algn="ctr" rotWithShape="0">
              <a:prstClr val="black">
                <a:alpha val="20000"/>
              </a:prstClr>
            </a:outerShdw>
          </a:effectLst>
        </c:spPr>
      </c:pivotFmt>
      <c:pivotFmt>
        <c:idx val="517"/>
        <c:spPr>
          <a:solidFill>
            <a:schemeClr val="accent6"/>
          </a:solidFill>
          <a:ln>
            <a:noFill/>
          </a:ln>
          <a:effectLst>
            <a:outerShdw blurRad="254000" sx="102000" sy="102000" algn="ctr" rotWithShape="0">
              <a:prstClr val="black">
                <a:alpha val="20000"/>
              </a:prstClr>
            </a:outerShdw>
          </a:effectLst>
        </c:spPr>
      </c:pivotFmt>
      <c:pivotFmt>
        <c:idx val="518"/>
        <c:spPr>
          <a:solidFill>
            <a:schemeClr val="accent6"/>
          </a:solidFill>
          <a:ln>
            <a:noFill/>
          </a:ln>
          <a:effectLst>
            <a:outerShdw blurRad="254000" sx="102000" sy="102000" algn="ctr" rotWithShape="0">
              <a:prstClr val="black">
                <a:alpha val="20000"/>
              </a:prstClr>
            </a:outerShdw>
          </a:effectLst>
        </c:spPr>
      </c:pivotFmt>
      <c:pivotFmt>
        <c:idx val="519"/>
        <c:spPr>
          <a:solidFill>
            <a:schemeClr val="accent6"/>
          </a:solidFill>
          <a:ln>
            <a:noFill/>
          </a:ln>
          <a:effectLst>
            <a:outerShdw blurRad="254000" sx="102000" sy="102000" algn="ctr" rotWithShape="0">
              <a:prstClr val="black">
                <a:alpha val="20000"/>
              </a:prstClr>
            </a:outerShdw>
          </a:effectLst>
        </c:spPr>
      </c:pivotFmt>
      <c:pivotFmt>
        <c:idx val="520"/>
        <c:spPr>
          <a:solidFill>
            <a:schemeClr val="accent6"/>
          </a:solidFill>
          <a:ln>
            <a:noFill/>
          </a:ln>
          <a:effectLst>
            <a:outerShdw blurRad="254000" sx="102000" sy="102000" algn="ctr" rotWithShape="0">
              <a:prstClr val="black">
                <a:alpha val="20000"/>
              </a:prstClr>
            </a:outerShdw>
          </a:effectLst>
        </c:spPr>
      </c:pivotFmt>
      <c:pivotFmt>
        <c:idx val="521"/>
        <c:spPr>
          <a:solidFill>
            <a:schemeClr val="accent6"/>
          </a:solidFill>
          <a:ln>
            <a:noFill/>
          </a:ln>
          <a:effectLst>
            <a:outerShdw blurRad="254000" sx="102000" sy="102000" algn="ctr" rotWithShape="0">
              <a:prstClr val="black">
                <a:alpha val="20000"/>
              </a:prstClr>
            </a:outerShdw>
          </a:effectLst>
        </c:spPr>
      </c:pivotFmt>
      <c:pivotFmt>
        <c:idx val="522"/>
        <c:spPr>
          <a:solidFill>
            <a:schemeClr val="accent6"/>
          </a:solidFill>
          <a:ln>
            <a:noFill/>
          </a:ln>
          <a:effectLst>
            <a:outerShdw blurRad="254000" sx="102000" sy="102000" algn="ctr" rotWithShape="0">
              <a:prstClr val="black">
                <a:alpha val="20000"/>
              </a:prstClr>
            </a:outerShdw>
          </a:effectLst>
        </c:spPr>
      </c:pivotFmt>
      <c:pivotFmt>
        <c:idx val="523"/>
        <c:spPr>
          <a:solidFill>
            <a:schemeClr val="accent6"/>
          </a:solidFill>
          <a:ln>
            <a:noFill/>
          </a:ln>
          <a:effectLst>
            <a:outerShdw blurRad="254000" sx="102000" sy="102000" algn="ctr" rotWithShape="0">
              <a:prstClr val="black">
                <a:alpha val="20000"/>
              </a:prstClr>
            </a:outerShdw>
          </a:effectLst>
        </c:spPr>
      </c:pivotFmt>
      <c:pivotFmt>
        <c:idx val="524"/>
        <c:spPr>
          <a:solidFill>
            <a:schemeClr val="accent6"/>
          </a:solidFill>
          <a:ln>
            <a:noFill/>
          </a:ln>
          <a:effectLst>
            <a:outerShdw blurRad="254000" sx="102000" sy="102000" algn="ctr" rotWithShape="0">
              <a:prstClr val="black">
                <a:alpha val="20000"/>
              </a:prstClr>
            </a:outerShdw>
          </a:effectLst>
        </c:spPr>
      </c:pivotFmt>
      <c:pivotFmt>
        <c:idx val="525"/>
        <c:spPr>
          <a:solidFill>
            <a:schemeClr val="accent6"/>
          </a:solidFill>
          <a:ln>
            <a:noFill/>
          </a:ln>
          <a:effectLst>
            <a:outerShdw blurRad="254000" sx="102000" sy="102000" algn="ctr" rotWithShape="0">
              <a:prstClr val="black">
                <a:alpha val="20000"/>
              </a:prstClr>
            </a:outerShdw>
          </a:effectLst>
        </c:spPr>
      </c:pivotFmt>
      <c:pivotFmt>
        <c:idx val="526"/>
        <c:spPr>
          <a:solidFill>
            <a:schemeClr val="accent6"/>
          </a:solidFill>
          <a:ln>
            <a:noFill/>
          </a:ln>
          <a:effectLst>
            <a:outerShdw blurRad="254000" sx="102000" sy="102000" algn="ctr" rotWithShape="0">
              <a:prstClr val="black">
                <a:alpha val="20000"/>
              </a:prstClr>
            </a:outerShdw>
          </a:effectLst>
        </c:spPr>
      </c:pivotFmt>
      <c:pivotFmt>
        <c:idx val="527"/>
        <c:spPr>
          <a:solidFill>
            <a:schemeClr val="accent6"/>
          </a:solidFill>
          <a:ln>
            <a:noFill/>
          </a:ln>
          <a:effectLst>
            <a:outerShdw blurRad="254000" sx="102000" sy="102000" algn="ctr" rotWithShape="0">
              <a:prstClr val="black">
                <a:alpha val="20000"/>
              </a:prstClr>
            </a:outerShdw>
          </a:effectLst>
        </c:spPr>
      </c:pivotFmt>
      <c:pivotFmt>
        <c:idx val="528"/>
        <c:spPr>
          <a:solidFill>
            <a:schemeClr val="accent6"/>
          </a:solidFill>
          <a:ln>
            <a:noFill/>
          </a:ln>
          <a:effectLst>
            <a:outerShdw blurRad="254000" sx="102000" sy="102000" algn="ctr" rotWithShape="0">
              <a:prstClr val="black">
                <a:alpha val="20000"/>
              </a:prstClr>
            </a:outerShdw>
          </a:effectLst>
        </c:spPr>
      </c:pivotFmt>
      <c:pivotFmt>
        <c:idx val="529"/>
        <c:spPr>
          <a:solidFill>
            <a:schemeClr val="accent6"/>
          </a:solidFill>
          <a:ln>
            <a:noFill/>
          </a:ln>
          <a:effectLst>
            <a:outerShdw blurRad="254000" sx="102000" sy="102000" algn="ctr" rotWithShape="0">
              <a:prstClr val="black">
                <a:alpha val="20000"/>
              </a:prstClr>
            </a:outerShdw>
          </a:effectLst>
        </c:spPr>
      </c:pivotFmt>
      <c:pivotFmt>
        <c:idx val="530"/>
        <c:spPr>
          <a:solidFill>
            <a:schemeClr val="accent6"/>
          </a:solidFill>
          <a:ln>
            <a:noFill/>
          </a:ln>
          <a:effectLst>
            <a:outerShdw blurRad="254000" sx="102000" sy="102000" algn="ctr" rotWithShape="0">
              <a:prstClr val="black">
                <a:alpha val="20000"/>
              </a:prstClr>
            </a:outerShdw>
          </a:effectLst>
        </c:spPr>
      </c:pivotFmt>
      <c:pivotFmt>
        <c:idx val="531"/>
        <c:spPr>
          <a:solidFill>
            <a:schemeClr val="accent6"/>
          </a:solidFill>
          <a:ln>
            <a:noFill/>
          </a:ln>
          <a:effectLst>
            <a:outerShdw blurRad="254000" sx="102000" sy="102000" algn="ctr" rotWithShape="0">
              <a:prstClr val="black">
                <a:alpha val="20000"/>
              </a:prstClr>
            </a:outerShdw>
          </a:effectLst>
        </c:spPr>
      </c:pivotFmt>
      <c:pivotFmt>
        <c:idx val="532"/>
        <c:spPr>
          <a:solidFill>
            <a:schemeClr val="accent6"/>
          </a:solidFill>
          <a:ln>
            <a:noFill/>
          </a:ln>
          <a:effectLst>
            <a:outerShdw blurRad="254000" sx="102000" sy="102000" algn="ctr" rotWithShape="0">
              <a:prstClr val="black">
                <a:alpha val="20000"/>
              </a:prstClr>
            </a:outerShdw>
          </a:effectLst>
        </c:spPr>
      </c:pivotFmt>
      <c:pivotFmt>
        <c:idx val="533"/>
        <c:spPr>
          <a:solidFill>
            <a:schemeClr val="accent6"/>
          </a:solidFill>
          <a:ln>
            <a:noFill/>
          </a:ln>
          <a:effectLst>
            <a:outerShdw blurRad="254000" sx="102000" sy="102000" algn="ctr" rotWithShape="0">
              <a:prstClr val="black">
                <a:alpha val="20000"/>
              </a:prstClr>
            </a:outerShdw>
          </a:effectLst>
        </c:spPr>
      </c:pivotFmt>
      <c:pivotFmt>
        <c:idx val="534"/>
        <c:spPr>
          <a:solidFill>
            <a:schemeClr val="accent6"/>
          </a:solidFill>
          <a:ln>
            <a:noFill/>
          </a:ln>
          <a:effectLst>
            <a:outerShdw blurRad="254000" sx="102000" sy="102000" algn="ctr" rotWithShape="0">
              <a:prstClr val="black">
                <a:alpha val="20000"/>
              </a:prstClr>
            </a:outerShdw>
          </a:effectLst>
        </c:spPr>
      </c:pivotFmt>
      <c:pivotFmt>
        <c:idx val="535"/>
        <c:spPr>
          <a:solidFill>
            <a:schemeClr val="accent6"/>
          </a:solidFill>
          <a:ln>
            <a:noFill/>
          </a:ln>
          <a:effectLst>
            <a:outerShdw blurRad="254000" sx="102000" sy="102000" algn="ctr" rotWithShape="0">
              <a:prstClr val="black">
                <a:alpha val="20000"/>
              </a:prstClr>
            </a:outerShdw>
          </a:effectLst>
        </c:spPr>
      </c:pivotFmt>
      <c:pivotFmt>
        <c:idx val="536"/>
        <c:spPr>
          <a:solidFill>
            <a:schemeClr val="accent6"/>
          </a:solidFill>
          <a:ln>
            <a:noFill/>
          </a:ln>
          <a:effectLst>
            <a:outerShdw blurRad="254000" sx="102000" sy="102000" algn="ctr" rotWithShape="0">
              <a:prstClr val="black">
                <a:alpha val="20000"/>
              </a:prstClr>
            </a:outerShdw>
          </a:effectLst>
        </c:spPr>
      </c:pivotFmt>
      <c:pivotFmt>
        <c:idx val="537"/>
        <c:spPr>
          <a:solidFill>
            <a:schemeClr val="accent6"/>
          </a:solidFill>
          <a:ln>
            <a:noFill/>
          </a:ln>
          <a:effectLst>
            <a:outerShdw blurRad="254000" sx="102000" sy="102000" algn="ctr" rotWithShape="0">
              <a:prstClr val="black">
                <a:alpha val="20000"/>
              </a:prstClr>
            </a:outerShdw>
          </a:effectLst>
        </c:spPr>
      </c:pivotFmt>
      <c:pivotFmt>
        <c:idx val="538"/>
        <c:spPr>
          <a:solidFill>
            <a:schemeClr val="accent6"/>
          </a:solidFill>
          <a:ln>
            <a:noFill/>
          </a:ln>
          <a:effectLst>
            <a:outerShdw blurRad="254000" sx="102000" sy="102000" algn="ctr" rotWithShape="0">
              <a:prstClr val="black">
                <a:alpha val="20000"/>
              </a:prstClr>
            </a:outerShdw>
          </a:effectLst>
        </c:spPr>
      </c:pivotFmt>
      <c:pivotFmt>
        <c:idx val="539"/>
        <c:spPr>
          <a:solidFill>
            <a:schemeClr val="accent6"/>
          </a:solidFill>
          <a:ln>
            <a:noFill/>
          </a:ln>
          <a:effectLst>
            <a:outerShdw blurRad="254000" sx="102000" sy="102000" algn="ctr" rotWithShape="0">
              <a:prstClr val="black">
                <a:alpha val="20000"/>
              </a:prstClr>
            </a:outerShdw>
          </a:effectLst>
        </c:spPr>
      </c:pivotFmt>
      <c:pivotFmt>
        <c:idx val="540"/>
        <c:spPr>
          <a:solidFill>
            <a:schemeClr val="accent6"/>
          </a:solidFill>
          <a:ln>
            <a:noFill/>
          </a:ln>
          <a:effectLst>
            <a:outerShdw blurRad="254000" sx="102000" sy="102000" algn="ctr" rotWithShape="0">
              <a:prstClr val="black">
                <a:alpha val="20000"/>
              </a:prstClr>
            </a:outerShdw>
          </a:effectLst>
        </c:spPr>
      </c:pivotFmt>
      <c:pivotFmt>
        <c:idx val="541"/>
        <c:spPr>
          <a:solidFill>
            <a:schemeClr val="accent6"/>
          </a:solidFill>
          <a:ln>
            <a:noFill/>
          </a:ln>
          <a:effectLst>
            <a:outerShdw blurRad="254000" sx="102000" sy="102000" algn="ctr" rotWithShape="0">
              <a:prstClr val="black">
                <a:alpha val="20000"/>
              </a:prstClr>
            </a:outerShdw>
          </a:effectLst>
        </c:spPr>
      </c:pivotFmt>
      <c:pivotFmt>
        <c:idx val="542"/>
        <c:spPr>
          <a:solidFill>
            <a:schemeClr val="accent6"/>
          </a:solidFill>
          <a:ln>
            <a:noFill/>
          </a:ln>
          <a:effectLst>
            <a:outerShdw blurRad="254000" sx="102000" sy="102000" algn="ctr" rotWithShape="0">
              <a:prstClr val="black">
                <a:alpha val="20000"/>
              </a:prstClr>
            </a:outerShdw>
          </a:effectLst>
        </c:spPr>
      </c:pivotFmt>
      <c:pivotFmt>
        <c:idx val="543"/>
        <c:spPr>
          <a:solidFill>
            <a:schemeClr val="accent6"/>
          </a:solidFill>
          <a:ln>
            <a:noFill/>
          </a:ln>
          <a:effectLst>
            <a:outerShdw blurRad="254000" sx="102000" sy="102000" algn="ctr" rotWithShape="0">
              <a:prstClr val="black">
                <a:alpha val="20000"/>
              </a:prstClr>
            </a:outerShdw>
          </a:effectLst>
        </c:spPr>
      </c:pivotFmt>
      <c:pivotFmt>
        <c:idx val="544"/>
        <c:spPr>
          <a:solidFill>
            <a:schemeClr val="accent6"/>
          </a:solidFill>
          <a:ln>
            <a:noFill/>
          </a:ln>
          <a:effectLst>
            <a:outerShdw blurRad="254000" sx="102000" sy="102000" algn="ctr" rotWithShape="0">
              <a:prstClr val="black">
                <a:alpha val="20000"/>
              </a:prstClr>
            </a:outerShdw>
          </a:effectLst>
        </c:spPr>
      </c:pivotFmt>
      <c:pivotFmt>
        <c:idx val="545"/>
        <c:spPr>
          <a:solidFill>
            <a:schemeClr val="accent6"/>
          </a:solidFill>
          <a:ln>
            <a:noFill/>
          </a:ln>
          <a:effectLst>
            <a:outerShdw blurRad="254000" sx="102000" sy="102000" algn="ctr" rotWithShape="0">
              <a:prstClr val="black">
                <a:alpha val="20000"/>
              </a:prstClr>
            </a:outerShdw>
          </a:effectLst>
        </c:spPr>
      </c:pivotFmt>
      <c:pivotFmt>
        <c:idx val="546"/>
        <c:spPr>
          <a:solidFill>
            <a:schemeClr val="accent6"/>
          </a:solidFill>
          <a:ln>
            <a:noFill/>
          </a:ln>
          <a:effectLst>
            <a:outerShdw blurRad="254000" sx="102000" sy="102000" algn="ctr" rotWithShape="0">
              <a:prstClr val="black">
                <a:alpha val="20000"/>
              </a:prstClr>
            </a:outerShdw>
          </a:effectLst>
        </c:spPr>
      </c:pivotFmt>
      <c:pivotFmt>
        <c:idx val="547"/>
        <c:spPr>
          <a:solidFill>
            <a:schemeClr val="accent6"/>
          </a:solidFill>
          <a:ln>
            <a:noFill/>
          </a:ln>
          <a:effectLst>
            <a:outerShdw blurRad="254000" sx="102000" sy="102000" algn="ctr" rotWithShape="0">
              <a:prstClr val="black">
                <a:alpha val="20000"/>
              </a:prstClr>
            </a:outerShdw>
          </a:effectLst>
        </c:spPr>
      </c:pivotFmt>
      <c:pivotFmt>
        <c:idx val="548"/>
        <c:spPr>
          <a:solidFill>
            <a:schemeClr val="accent6"/>
          </a:solidFill>
          <a:ln>
            <a:noFill/>
          </a:ln>
          <a:effectLst>
            <a:outerShdw blurRad="254000" sx="102000" sy="102000" algn="ctr" rotWithShape="0">
              <a:prstClr val="black">
                <a:alpha val="20000"/>
              </a:prstClr>
            </a:outerShdw>
          </a:effectLst>
        </c:spPr>
      </c:pivotFmt>
      <c:pivotFmt>
        <c:idx val="549"/>
        <c:spPr>
          <a:solidFill>
            <a:schemeClr val="accent6"/>
          </a:solidFill>
          <a:ln>
            <a:noFill/>
          </a:ln>
          <a:effectLst>
            <a:outerShdw blurRad="254000" sx="102000" sy="102000" algn="ctr" rotWithShape="0">
              <a:prstClr val="black">
                <a:alpha val="20000"/>
              </a:prstClr>
            </a:outerShdw>
          </a:effectLst>
        </c:spPr>
      </c:pivotFmt>
      <c:pivotFmt>
        <c:idx val="550"/>
        <c:spPr>
          <a:solidFill>
            <a:schemeClr val="accent6"/>
          </a:solidFill>
          <a:ln>
            <a:noFill/>
          </a:ln>
          <a:effectLst>
            <a:outerShdw blurRad="254000" sx="102000" sy="102000" algn="ctr" rotWithShape="0">
              <a:prstClr val="black">
                <a:alpha val="20000"/>
              </a:prstClr>
            </a:outerShdw>
          </a:effectLst>
        </c:spPr>
      </c:pivotFmt>
      <c:pivotFmt>
        <c:idx val="551"/>
        <c:spPr>
          <a:solidFill>
            <a:schemeClr val="accent6"/>
          </a:solidFill>
          <a:ln>
            <a:noFill/>
          </a:ln>
          <a:effectLst>
            <a:outerShdw blurRad="254000" sx="102000" sy="102000" algn="ctr" rotWithShape="0">
              <a:prstClr val="black">
                <a:alpha val="20000"/>
              </a:prstClr>
            </a:outerShdw>
          </a:effectLst>
        </c:spPr>
      </c:pivotFmt>
      <c:pivotFmt>
        <c:idx val="552"/>
        <c:spPr>
          <a:solidFill>
            <a:schemeClr val="accent6"/>
          </a:solidFill>
          <a:ln>
            <a:noFill/>
          </a:ln>
          <a:effectLst>
            <a:outerShdw blurRad="254000" sx="102000" sy="102000" algn="ctr" rotWithShape="0">
              <a:prstClr val="black">
                <a:alpha val="20000"/>
              </a:prstClr>
            </a:outerShdw>
          </a:effectLst>
        </c:spPr>
      </c:pivotFmt>
      <c:pivotFmt>
        <c:idx val="553"/>
        <c:spPr>
          <a:solidFill>
            <a:schemeClr val="accent6"/>
          </a:solidFill>
          <a:ln>
            <a:noFill/>
          </a:ln>
          <a:effectLst>
            <a:outerShdw blurRad="254000" sx="102000" sy="102000" algn="ctr" rotWithShape="0">
              <a:prstClr val="black">
                <a:alpha val="20000"/>
              </a:prstClr>
            </a:outerShdw>
          </a:effectLst>
        </c:spPr>
      </c:pivotFmt>
      <c:pivotFmt>
        <c:idx val="554"/>
        <c:spPr>
          <a:solidFill>
            <a:schemeClr val="accent6"/>
          </a:solidFill>
          <a:ln>
            <a:noFill/>
          </a:ln>
          <a:effectLst>
            <a:outerShdw blurRad="254000" sx="102000" sy="102000" algn="ctr" rotWithShape="0">
              <a:prstClr val="black">
                <a:alpha val="20000"/>
              </a:prstClr>
            </a:outerShdw>
          </a:effectLst>
        </c:spPr>
      </c:pivotFmt>
      <c:pivotFmt>
        <c:idx val="555"/>
        <c:spPr>
          <a:solidFill>
            <a:schemeClr val="accent6"/>
          </a:solidFill>
          <a:ln>
            <a:noFill/>
          </a:ln>
          <a:effectLst>
            <a:outerShdw blurRad="254000" sx="102000" sy="102000" algn="ctr" rotWithShape="0">
              <a:prstClr val="black">
                <a:alpha val="20000"/>
              </a:prstClr>
            </a:outerShdw>
          </a:effectLst>
        </c:spPr>
      </c:pivotFmt>
      <c:pivotFmt>
        <c:idx val="55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5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5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5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6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6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6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6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6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6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6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6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6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7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7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7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7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7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7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7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7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7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7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8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81"/>
        <c:spPr>
          <a:solidFill>
            <a:schemeClr val="accent6"/>
          </a:solidFill>
          <a:ln>
            <a:noFill/>
          </a:ln>
          <a:effectLst>
            <a:outerShdw blurRad="254000" sx="102000" sy="102000" algn="ctr" rotWithShape="0">
              <a:prstClr val="black">
                <a:alpha val="20000"/>
              </a:prstClr>
            </a:outerShdw>
          </a:effectLst>
        </c:spPr>
      </c:pivotFmt>
      <c:pivotFmt>
        <c:idx val="582"/>
        <c:spPr>
          <a:solidFill>
            <a:schemeClr val="accent6"/>
          </a:solidFill>
          <a:ln>
            <a:noFill/>
          </a:ln>
          <a:effectLst>
            <a:outerShdw blurRad="254000" sx="102000" sy="102000" algn="ctr" rotWithShape="0">
              <a:prstClr val="black">
                <a:alpha val="20000"/>
              </a:prstClr>
            </a:outerShdw>
          </a:effectLst>
        </c:spPr>
      </c:pivotFmt>
      <c:pivotFmt>
        <c:idx val="583"/>
        <c:spPr>
          <a:solidFill>
            <a:schemeClr val="accent6"/>
          </a:solidFill>
          <a:ln>
            <a:noFill/>
          </a:ln>
          <a:effectLst>
            <a:outerShdw blurRad="254000" sx="102000" sy="102000" algn="ctr" rotWithShape="0">
              <a:prstClr val="black">
                <a:alpha val="20000"/>
              </a:prstClr>
            </a:outerShdw>
          </a:effectLst>
        </c:spPr>
      </c:pivotFmt>
      <c:pivotFmt>
        <c:idx val="584"/>
        <c:spPr>
          <a:solidFill>
            <a:schemeClr val="accent6"/>
          </a:solidFill>
          <a:ln>
            <a:noFill/>
          </a:ln>
          <a:effectLst>
            <a:outerShdw blurRad="254000" sx="102000" sy="102000" algn="ctr" rotWithShape="0">
              <a:prstClr val="black">
                <a:alpha val="20000"/>
              </a:prstClr>
            </a:outerShdw>
          </a:effectLst>
        </c:spPr>
      </c:pivotFmt>
      <c:pivotFmt>
        <c:idx val="585"/>
        <c:spPr>
          <a:solidFill>
            <a:schemeClr val="accent6"/>
          </a:solidFill>
          <a:ln>
            <a:noFill/>
          </a:ln>
          <a:effectLst>
            <a:outerShdw blurRad="254000" sx="102000" sy="102000" algn="ctr" rotWithShape="0">
              <a:prstClr val="black">
                <a:alpha val="20000"/>
              </a:prstClr>
            </a:outerShdw>
          </a:effectLst>
        </c:spPr>
      </c:pivotFmt>
      <c:pivotFmt>
        <c:idx val="586"/>
        <c:spPr>
          <a:solidFill>
            <a:schemeClr val="accent6"/>
          </a:solidFill>
          <a:ln>
            <a:noFill/>
          </a:ln>
          <a:effectLst>
            <a:outerShdw blurRad="254000" sx="102000" sy="102000" algn="ctr" rotWithShape="0">
              <a:prstClr val="black">
                <a:alpha val="20000"/>
              </a:prstClr>
            </a:outerShdw>
          </a:effectLst>
        </c:spPr>
      </c:pivotFmt>
      <c:pivotFmt>
        <c:idx val="587"/>
        <c:spPr>
          <a:solidFill>
            <a:schemeClr val="accent6"/>
          </a:solidFill>
          <a:ln>
            <a:noFill/>
          </a:ln>
          <a:effectLst>
            <a:outerShdw blurRad="254000" sx="102000" sy="102000" algn="ctr" rotWithShape="0">
              <a:prstClr val="black">
                <a:alpha val="20000"/>
              </a:prstClr>
            </a:outerShdw>
          </a:effectLst>
        </c:spPr>
      </c:pivotFmt>
      <c:pivotFmt>
        <c:idx val="588"/>
        <c:spPr>
          <a:solidFill>
            <a:schemeClr val="accent6"/>
          </a:solidFill>
          <a:ln>
            <a:noFill/>
          </a:ln>
          <a:effectLst>
            <a:outerShdw blurRad="254000" sx="102000" sy="102000" algn="ctr" rotWithShape="0">
              <a:prstClr val="black">
                <a:alpha val="20000"/>
              </a:prstClr>
            </a:outerShdw>
          </a:effectLst>
        </c:spPr>
      </c:pivotFmt>
      <c:pivotFmt>
        <c:idx val="589"/>
        <c:spPr>
          <a:solidFill>
            <a:schemeClr val="accent6"/>
          </a:solidFill>
          <a:ln>
            <a:noFill/>
          </a:ln>
          <a:effectLst>
            <a:outerShdw blurRad="254000" sx="102000" sy="102000" algn="ctr" rotWithShape="0">
              <a:prstClr val="black">
                <a:alpha val="20000"/>
              </a:prstClr>
            </a:outerShdw>
          </a:effectLst>
        </c:spPr>
      </c:pivotFmt>
      <c:pivotFmt>
        <c:idx val="590"/>
        <c:spPr>
          <a:solidFill>
            <a:schemeClr val="accent6"/>
          </a:solidFill>
          <a:ln>
            <a:noFill/>
          </a:ln>
          <a:effectLst>
            <a:outerShdw blurRad="254000" sx="102000" sy="102000" algn="ctr" rotWithShape="0">
              <a:prstClr val="black">
                <a:alpha val="20000"/>
              </a:prstClr>
            </a:outerShdw>
          </a:effectLst>
        </c:spPr>
      </c:pivotFmt>
      <c:pivotFmt>
        <c:idx val="591"/>
        <c:spPr>
          <a:solidFill>
            <a:schemeClr val="accent6"/>
          </a:solidFill>
          <a:ln>
            <a:noFill/>
          </a:ln>
          <a:effectLst>
            <a:outerShdw blurRad="254000" sx="102000" sy="102000" algn="ctr" rotWithShape="0">
              <a:prstClr val="black">
                <a:alpha val="20000"/>
              </a:prstClr>
            </a:outerShdw>
          </a:effectLst>
        </c:spPr>
      </c:pivotFmt>
      <c:pivotFmt>
        <c:idx val="5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93"/>
        <c:spPr>
          <a:solidFill>
            <a:schemeClr val="accent6"/>
          </a:solidFill>
          <a:ln>
            <a:noFill/>
          </a:ln>
          <a:effectLst>
            <a:outerShdw blurRad="254000" sx="102000" sy="102000" algn="ctr" rotWithShape="0">
              <a:prstClr val="black">
                <a:alpha val="20000"/>
              </a:prstClr>
            </a:outerShdw>
          </a:effectLst>
        </c:spPr>
      </c:pivotFmt>
      <c:pivotFmt>
        <c:idx val="594"/>
        <c:spPr>
          <a:solidFill>
            <a:schemeClr val="accent6"/>
          </a:solidFill>
          <a:ln>
            <a:noFill/>
          </a:ln>
          <a:effectLst>
            <a:outerShdw blurRad="254000" sx="102000" sy="102000" algn="ctr" rotWithShape="0">
              <a:prstClr val="black">
                <a:alpha val="20000"/>
              </a:prstClr>
            </a:outerShdw>
          </a:effectLst>
        </c:spPr>
      </c:pivotFmt>
      <c:pivotFmt>
        <c:idx val="595"/>
        <c:spPr>
          <a:solidFill>
            <a:schemeClr val="accent6"/>
          </a:solidFill>
          <a:ln>
            <a:noFill/>
          </a:ln>
          <a:effectLst>
            <a:outerShdw blurRad="254000" sx="102000" sy="102000" algn="ctr" rotWithShape="0">
              <a:prstClr val="black">
                <a:alpha val="20000"/>
              </a:prstClr>
            </a:outerShdw>
          </a:effectLst>
        </c:spPr>
      </c:pivotFmt>
      <c:pivotFmt>
        <c:idx val="596"/>
        <c:spPr>
          <a:solidFill>
            <a:schemeClr val="accent6"/>
          </a:solidFill>
          <a:ln>
            <a:noFill/>
          </a:ln>
          <a:effectLst>
            <a:outerShdw blurRad="254000" sx="102000" sy="102000" algn="ctr" rotWithShape="0">
              <a:prstClr val="black">
                <a:alpha val="20000"/>
              </a:prstClr>
            </a:outerShdw>
          </a:effectLst>
        </c:spPr>
      </c:pivotFmt>
      <c:pivotFmt>
        <c:idx val="597"/>
        <c:spPr>
          <a:solidFill>
            <a:schemeClr val="accent6"/>
          </a:solidFill>
          <a:ln>
            <a:noFill/>
          </a:ln>
          <a:effectLst>
            <a:outerShdw blurRad="254000" sx="102000" sy="102000" algn="ctr" rotWithShape="0">
              <a:prstClr val="black">
                <a:alpha val="20000"/>
              </a:prstClr>
            </a:outerShdw>
          </a:effectLst>
        </c:spPr>
      </c:pivotFmt>
      <c:pivotFmt>
        <c:idx val="598"/>
        <c:spPr>
          <a:solidFill>
            <a:schemeClr val="accent6"/>
          </a:solidFill>
          <a:ln>
            <a:noFill/>
          </a:ln>
          <a:effectLst>
            <a:outerShdw blurRad="254000" sx="102000" sy="102000" algn="ctr" rotWithShape="0">
              <a:prstClr val="black">
                <a:alpha val="20000"/>
              </a:prstClr>
            </a:outerShdw>
          </a:effectLst>
        </c:spPr>
      </c:pivotFmt>
      <c:pivotFmt>
        <c:idx val="599"/>
        <c:spPr>
          <a:solidFill>
            <a:schemeClr val="accent6"/>
          </a:solidFill>
          <a:ln>
            <a:noFill/>
          </a:ln>
          <a:effectLst>
            <a:outerShdw blurRad="254000" sx="102000" sy="102000" algn="ctr" rotWithShape="0">
              <a:prstClr val="black">
                <a:alpha val="20000"/>
              </a:prstClr>
            </a:outerShdw>
          </a:effectLst>
        </c:spPr>
      </c:pivotFmt>
      <c:pivotFmt>
        <c:idx val="600"/>
        <c:spPr>
          <a:solidFill>
            <a:schemeClr val="accent6"/>
          </a:solidFill>
          <a:ln>
            <a:noFill/>
          </a:ln>
          <a:effectLst>
            <a:outerShdw blurRad="254000" sx="102000" sy="102000" algn="ctr" rotWithShape="0">
              <a:prstClr val="black">
                <a:alpha val="20000"/>
              </a:prstClr>
            </a:outerShdw>
          </a:effectLst>
        </c:spPr>
      </c:pivotFmt>
      <c:pivotFmt>
        <c:idx val="601"/>
        <c:spPr>
          <a:solidFill>
            <a:schemeClr val="accent6"/>
          </a:solidFill>
          <a:ln>
            <a:noFill/>
          </a:ln>
          <a:effectLst>
            <a:outerShdw blurRad="254000" sx="102000" sy="102000" algn="ctr" rotWithShape="0">
              <a:prstClr val="black">
                <a:alpha val="20000"/>
              </a:prstClr>
            </a:outerShdw>
          </a:effectLst>
        </c:spPr>
      </c:pivotFmt>
      <c:pivotFmt>
        <c:idx val="602"/>
        <c:spPr>
          <a:solidFill>
            <a:schemeClr val="accent6"/>
          </a:solidFill>
          <a:ln>
            <a:noFill/>
          </a:ln>
          <a:effectLst>
            <a:outerShdw blurRad="254000" sx="102000" sy="102000" algn="ctr" rotWithShape="0">
              <a:prstClr val="black">
                <a:alpha val="20000"/>
              </a:prstClr>
            </a:outerShdw>
          </a:effectLst>
        </c:spPr>
      </c:pivotFmt>
      <c:pivotFmt>
        <c:idx val="603"/>
        <c:spPr>
          <a:solidFill>
            <a:schemeClr val="accent6"/>
          </a:solidFill>
          <a:ln>
            <a:noFill/>
          </a:ln>
          <a:effectLst>
            <a:outerShdw blurRad="254000" sx="102000" sy="102000" algn="ctr" rotWithShape="0">
              <a:prstClr val="black">
                <a:alpha val="20000"/>
              </a:prstClr>
            </a:outerShdw>
          </a:effectLst>
        </c:spPr>
      </c:pivotFmt>
      <c:pivotFmt>
        <c:idx val="60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05"/>
        <c:spPr>
          <a:solidFill>
            <a:schemeClr val="accent6"/>
          </a:solidFill>
          <a:ln>
            <a:noFill/>
          </a:ln>
          <a:effectLst>
            <a:outerShdw blurRad="254000" sx="102000" sy="102000" algn="ctr" rotWithShape="0">
              <a:prstClr val="black">
                <a:alpha val="20000"/>
              </a:prstClr>
            </a:outerShdw>
          </a:effectLst>
        </c:spPr>
      </c:pivotFmt>
      <c:pivotFmt>
        <c:idx val="606"/>
        <c:spPr>
          <a:solidFill>
            <a:schemeClr val="accent6"/>
          </a:solidFill>
          <a:ln>
            <a:noFill/>
          </a:ln>
          <a:effectLst>
            <a:outerShdw blurRad="254000" sx="102000" sy="102000" algn="ctr" rotWithShape="0">
              <a:prstClr val="black">
                <a:alpha val="20000"/>
              </a:prstClr>
            </a:outerShdw>
          </a:effectLst>
        </c:spPr>
      </c:pivotFmt>
      <c:pivotFmt>
        <c:idx val="607"/>
        <c:spPr>
          <a:solidFill>
            <a:schemeClr val="accent6"/>
          </a:solidFill>
          <a:ln>
            <a:noFill/>
          </a:ln>
          <a:effectLst>
            <a:outerShdw blurRad="254000" sx="102000" sy="102000" algn="ctr" rotWithShape="0">
              <a:prstClr val="black">
                <a:alpha val="20000"/>
              </a:prstClr>
            </a:outerShdw>
          </a:effectLst>
        </c:spPr>
      </c:pivotFmt>
      <c:pivotFmt>
        <c:idx val="608"/>
        <c:spPr>
          <a:solidFill>
            <a:schemeClr val="accent6"/>
          </a:solidFill>
          <a:ln>
            <a:noFill/>
          </a:ln>
          <a:effectLst>
            <a:outerShdw blurRad="254000" sx="102000" sy="102000" algn="ctr" rotWithShape="0">
              <a:prstClr val="black">
                <a:alpha val="20000"/>
              </a:prstClr>
            </a:outerShdw>
          </a:effectLst>
        </c:spPr>
      </c:pivotFmt>
      <c:pivotFmt>
        <c:idx val="609"/>
        <c:spPr>
          <a:solidFill>
            <a:schemeClr val="accent6"/>
          </a:solidFill>
          <a:ln>
            <a:noFill/>
          </a:ln>
          <a:effectLst>
            <a:outerShdw blurRad="254000" sx="102000" sy="102000" algn="ctr" rotWithShape="0">
              <a:prstClr val="black">
                <a:alpha val="20000"/>
              </a:prstClr>
            </a:outerShdw>
          </a:effectLst>
        </c:spPr>
      </c:pivotFmt>
      <c:pivotFmt>
        <c:idx val="610"/>
        <c:spPr>
          <a:solidFill>
            <a:schemeClr val="accent6"/>
          </a:solidFill>
          <a:ln>
            <a:noFill/>
          </a:ln>
          <a:effectLst>
            <a:outerShdw blurRad="254000" sx="102000" sy="102000" algn="ctr" rotWithShape="0">
              <a:prstClr val="black">
                <a:alpha val="20000"/>
              </a:prstClr>
            </a:outerShdw>
          </a:effectLst>
        </c:spPr>
      </c:pivotFmt>
      <c:pivotFmt>
        <c:idx val="611"/>
        <c:spPr>
          <a:solidFill>
            <a:schemeClr val="accent6"/>
          </a:solidFill>
          <a:ln>
            <a:noFill/>
          </a:ln>
          <a:effectLst>
            <a:outerShdw blurRad="254000" sx="102000" sy="102000" algn="ctr" rotWithShape="0">
              <a:prstClr val="black">
                <a:alpha val="20000"/>
              </a:prstClr>
            </a:outerShdw>
          </a:effectLst>
        </c:spPr>
      </c:pivotFmt>
      <c:pivotFmt>
        <c:idx val="612"/>
        <c:spPr>
          <a:solidFill>
            <a:schemeClr val="accent6"/>
          </a:solidFill>
          <a:ln>
            <a:noFill/>
          </a:ln>
          <a:effectLst>
            <a:outerShdw blurRad="254000" sx="102000" sy="102000" algn="ctr" rotWithShape="0">
              <a:prstClr val="black">
                <a:alpha val="20000"/>
              </a:prstClr>
            </a:outerShdw>
          </a:effectLst>
        </c:spPr>
      </c:pivotFmt>
      <c:pivotFmt>
        <c:idx val="613"/>
        <c:spPr>
          <a:solidFill>
            <a:schemeClr val="accent6"/>
          </a:solidFill>
          <a:ln>
            <a:noFill/>
          </a:ln>
          <a:effectLst>
            <a:outerShdw blurRad="254000" sx="102000" sy="102000" algn="ctr" rotWithShape="0">
              <a:prstClr val="black">
                <a:alpha val="20000"/>
              </a:prstClr>
            </a:outerShdw>
          </a:effectLst>
        </c:spPr>
      </c:pivotFmt>
      <c:pivotFmt>
        <c:idx val="614"/>
        <c:spPr>
          <a:solidFill>
            <a:schemeClr val="accent6"/>
          </a:solidFill>
          <a:ln>
            <a:noFill/>
          </a:ln>
          <a:effectLst>
            <a:outerShdw blurRad="254000" sx="102000" sy="102000" algn="ctr" rotWithShape="0">
              <a:prstClr val="black">
                <a:alpha val="20000"/>
              </a:prstClr>
            </a:outerShdw>
          </a:effectLst>
        </c:spPr>
      </c:pivotFmt>
      <c:pivotFmt>
        <c:idx val="615"/>
        <c:spPr>
          <a:solidFill>
            <a:schemeClr val="accent6"/>
          </a:solidFill>
          <a:ln>
            <a:noFill/>
          </a:ln>
          <a:effectLst>
            <a:outerShdw blurRad="254000" sx="102000" sy="102000" algn="ctr" rotWithShape="0">
              <a:prstClr val="black">
                <a:alpha val="20000"/>
              </a:prstClr>
            </a:outerShdw>
          </a:effectLst>
        </c:spPr>
      </c:pivotFmt>
      <c:pivotFmt>
        <c:idx val="61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17"/>
        <c:spPr>
          <a:solidFill>
            <a:schemeClr val="accent6"/>
          </a:solidFill>
          <a:ln>
            <a:noFill/>
          </a:ln>
          <a:effectLst>
            <a:outerShdw blurRad="254000" sx="102000" sy="102000" algn="ctr" rotWithShape="0">
              <a:prstClr val="black">
                <a:alpha val="20000"/>
              </a:prstClr>
            </a:outerShdw>
          </a:effectLst>
        </c:spPr>
      </c:pivotFmt>
      <c:pivotFmt>
        <c:idx val="618"/>
        <c:spPr>
          <a:solidFill>
            <a:schemeClr val="accent6"/>
          </a:solidFill>
          <a:ln>
            <a:noFill/>
          </a:ln>
          <a:effectLst>
            <a:outerShdw blurRad="254000" sx="102000" sy="102000" algn="ctr" rotWithShape="0">
              <a:prstClr val="black">
                <a:alpha val="20000"/>
              </a:prstClr>
            </a:outerShdw>
          </a:effectLst>
        </c:spPr>
      </c:pivotFmt>
      <c:pivotFmt>
        <c:idx val="619"/>
        <c:spPr>
          <a:solidFill>
            <a:schemeClr val="accent6"/>
          </a:solidFill>
          <a:ln>
            <a:noFill/>
          </a:ln>
          <a:effectLst>
            <a:outerShdw blurRad="254000" sx="102000" sy="102000" algn="ctr" rotWithShape="0">
              <a:prstClr val="black">
                <a:alpha val="20000"/>
              </a:prstClr>
            </a:outerShdw>
          </a:effectLst>
        </c:spPr>
      </c:pivotFmt>
      <c:pivotFmt>
        <c:idx val="620"/>
        <c:spPr>
          <a:solidFill>
            <a:schemeClr val="accent6"/>
          </a:solidFill>
          <a:ln>
            <a:noFill/>
          </a:ln>
          <a:effectLst>
            <a:outerShdw blurRad="254000" sx="102000" sy="102000" algn="ctr" rotWithShape="0">
              <a:prstClr val="black">
                <a:alpha val="20000"/>
              </a:prstClr>
            </a:outerShdw>
          </a:effectLst>
        </c:spPr>
      </c:pivotFmt>
      <c:pivotFmt>
        <c:idx val="621"/>
        <c:spPr>
          <a:solidFill>
            <a:schemeClr val="accent6"/>
          </a:solidFill>
          <a:ln>
            <a:noFill/>
          </a:ln>
          <a:effectLst>
            <a:outerShdw blurRad="254000" sx="102000" sy="102000" algn="ctr" rotWithShape="0">
              <a:prstClr val="black">
                <a:alpha val="20000"/>
              </a:prstClr>
            </a:outerShdw>
          </a:effectLst>
        </c:spPr>
      </c:pivotFmt>
      <c:pivotFmt>
        <c:idx val="622"/>
        <c:spPr>
          <a:solidFill>
            <a:schemeClr val="accent6"/>
          </a:solidFill>
          <a:ln>
            <a:noFill/>
          </a:ln>
          <a:effectLst>
            <a:outerShdw blurRad="254000" sx="102000" sy="102000" algn="ctr" rotWithShape="0">
              <a:prstClr val="black">
                <a:alpha val="20000"/>
              </a:prstClr>
            </a:outerShdw>
          </a:effectLst>
        </c:spPr>
      </c:pivotFmt>
      <c:pivotFmt>
        <c:idx val="623"/>
        <c:spPr>
          <a:solidFill>
            <a:schemeClr val="accent6"/>
          </a:solidFill>
          <a:ln>
            <a:noFill/>
          </a:ln>
          <a:effectLst>
            <a:outerShdw blurRad="254000" sx="102000" sy="102000" algn="ctr" rotWithShape="0">
              <a:prstClr val="black">
                <a:alpha val="20000"/>
              </a:prstClr>
            </a:outerShdw>
          </a:effectLst>
        </c:spPr>
      </c:pivotFmt>
      <c:pivotFmt>
        <c:idx val="624"/>
        <c:spPr>
          <a:solidFill>
            <a:schemeClr val="accent6"/>
          </a:solidFill>
          <a:ln>
            <a:noFill/>
          </a:ln>
          <a:effectLst>
            <a:outerShdw blurRad="254000" sx="102000" sy="102000" algn="ctr" rotWithShape="0">
              <a:prstClr val="black">
                <a:alpha val="20000"/>
              </a:prstClr>
            </a:outerShdw>
          </a:effectLst>
        </c:spPr>
      </c:pivotFmt>
      <c:pivotFmt>
        <c:idx val="625"/>
        <c:spPr>
          <a:solidFill>
            <a:schemeClr val="accent6"/>
          </a:solidFill>
          <a:ln>
            <a:noFill/>
          </a:ln>
          <a:effectLst>
            <a:outerShdw blurRad="254000" sx="102000" sy="102000" algn="ctr" rotWithShape="0">
              <a:prstClr val="black">
                <a:alpha val="20000"/>
              </a:prstClr>
            </a:outerShdw>
          </a:effectLst>
        </c:spPr>
      </c:pivotFmt>
      <c:pivotFmt>
        <c:idx val="626"/>
        <c:spPr>
          <a:solidFill>
            <a:schemeClr val="accent6"/>
          </a:solidFill>
          <a:ln>
            <a:noFill/>
          </a:ln>
          <a:effectLst>
            <a:outerShdw blurRad="254000" sx="102000" sy="102000" algn="ctr" rotWithShape="0">
              <a:prstClr val="black">
                <a:alpha val="20000"/>
              </a:prstClr>
            </a:outerShdw>
          </a:effectLst>
        </c:spPr>
      </c:pivotFmt>
      <c:pivotFmt>
        <c:idx val="627"/>
        <c:spPr>
          <a:solidFill>
            <a:schemeClr val="accent6"/>
          </a:solidFill>
          <a:ln>
            <a:noFill/>
          </a:ln>
          <a:effectLst>
            <a:outerShdw blurRad="254000" sx="102000" sy="102000" algn="ctr" rotWithShape="0">
              <a:prstClr val="black">
                <a:alpha val="20000"/>
              </a:prstClr>
            </a:outerShdw>
          </a:effectLst>
        </c:spPr>
      </c:pivotFmt>
      <c:pivotFmt>
        <c:idx val="62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29"/>
        <c:spPr>
          <a:solidFill>
            <a:schemeClr val="accent6"/>
          </a:solidFill>
          <a:ln>
            <a:noFill/>
          </a:ln>
          <a:effectLst>
            <a:outerShdw blurRad="254000" sx="102000" sy="102000" algn="ctr" rotWithShape="0">
              <a:prstClr val="black">
                <a:alpha val="20000"/>
              </a:prstClr>
            </a:outerShdw>
          </a:effectLst>
        </c:spPr>
      </c:pivotFmt>
      <c:pivotFmt>
        <c:idx val="630"/>
        <c:spPr>
          <a:solidFill>
            <a:schemeClr val="accent6"/>
          </a:solidFill>
          <a:ln>
            <a:noFill/>
          </a:ln>
          <a:effectLst>
            <a:outerShdw blurRad="254000" sx="102000" sy="102000" algn="ctr" rotWithShape="0">
              <a:prstClr val="black">
                <a:alpha val="20000"/>
              </a:prstClr>
            </a:outerShdw>
          </a:effectLst>
        </c:spPr>
      </c:pivotFmt>
      <c:pivotFmt>
        <c:idx val="631"/>
        <c:spPr>
          <a:solidFill>
            <a:schemeClr val="accent6"/>
          </a:solidFill>
          <a:ln>
            <a:noFill/>
          </a:ln>
          <a:effectLst>
            <a:outerShdw blurRad="254000" sx="102000" sy="102000" algn="ctr" rotWithShape="0">
              <a:prstClr val="black">
                <a:alpha val="20000"/>
              </a:prstClr>
            </a:outerShdw>
          </a:effectLst>
        </c:spPr>
      </c:pivotFmt>
      <c:pivotFmt>
        <c:idx val="632"/>
        <c:spPr>
          <a:solidFill>
            <a:schemeClr val="accent6"/>
          </a:solidFill>
          <a:ln>
            <a:noFill/>
          </a:ln>
          <a:effectLst>
            <a:outerShdw blurRad="254000" sx="102000" sy="102000" algn="ctr" rotWithShape="0">
              <a:prstClr val="black">
                <a:alpha val="20000"/>
              </a:prstClr>
            </a:outerShdw>
          </a:effectLst>
        </c:spPr>
      </c:pivotFmt>
      <c:pivotFmt>
        <c:idx val="633"/>
        <c:spPr>
          <a:solidFill>
            <a:schemeClr val="accent6"/>
          </a:solidFill>
          <a:ln>
            <a:noFill/>
          </a:ln>
          <a:effectLst>
            <a:outerShdw blurRad="254000" sx="102000" sy="102000" algn="ctr" rotWithShape="0">
              <a:prstClr val="black">
                <a:alpha val="20000"/>
              </a:prstClr>
            </a:outerShdw>
          </a:effectLst>
        </c:spPr>
      </c:pivotFmt>
      <c:pivotFmt>
        <c:idx val="634"/>
        <c:spPr>
          <a:solidFill>
            <a:schemeClr val="accent6"/>
          </a:solidFill>
          <a:ln>
            <a:noFill/>
          </a:ln>
          <a:effectLst>
            <a:outerShdw blurRad="254000" sx="102000" sy="102000" algn="ctr" rotWithShape="0">
              <a:prstClr val="black">
                <a:alpha val="20000"/>
              </a:prstClr>
            </a:outerShdw>
          </a:effectLst>
        </c:spPr>
      </c:pivotFmt>
      <c:pivotFmt>
        <c:idx val="635"/>
        <c:spPr>
          <a:solidFill>
            <a:schemeClr val="accent6"/>
          </a:solidFill>
          <a:ln>
            <a:noFill/>
          </a:ln>
          <a:effectLst>
            <a:outerShdw blurRad="254000" sx="102000" sy="102000" algn="ctr" rotWithShape="0">
              <a:prstClr val="black">
                <a:alpha val="20000"/>
              </a:prstClr>
            </a:outerShdw>
          </a:effectLst>
        </c:spPr>
      </c:pivotFmt>
      <c:pivotFmt>
        <c:idx val="636"/>
        <c:spPr>
          <a:solidFill>
            <a:schemeClr val="accent6"/>
          </a:solidFill>
          <a:ln>
            <a:noFill/>
          </a:ln>
          <a:effectLst>
            <a:outerShdw blurRad="254000" sx="102000" sy="102000" algn="ctr" rotWithShape="0">
              <a:prstClr val="black">
                <a:alpha val="20000"/>
              </a:prstClr>
            </a:outerShdw>
          </a:effectLst>
        </c:spPr>
      </c:pivotFmt>
      <c:pivotFmt>
        <c:idx val="637"/>
        <c:spPr>
          <a:solidFill>
            <a:schemeClr val="accent6"/>
          </a:solidFill>
          <a:ln>
            <a:noFill/>
          </a:ln>
          <a:effectLst>
            <a:outerShdw blurRad="254000" sx="102000" sy="102000" algn="ctr" rotWithShape="0">
              <a:prstClr val="black">
                <a:alpha val="20000"/>
              </a:prstClr>
            </a:outerShdw>
          </a:effectLst>
        </c:spPr>
      </c:pivotFmt>
      <c:pivotFmt>
        <c:idx val="638"/>
        <c:spPr>
          <a:solidFill>
            <a:schemeClr val="accent6"/>
          </a:solidFill>
          <a:ln>
            <a:noFill/>
          </a:ln>
          <a:effectLst>
            <a:outerShdw blurRad="254000" sx="102000" sy="102000" algn="ctr" rotWithShape="0">
              <a:prstClr val="black">
                <a:alpha val="20000"/>
              </a:prstClr>
            </a:outerShdw>
          </a:effectLst>
        </c:spPr>
      </c:pivotFmt>
      <c:pivotFmt>
        <c:idx val="639"/>
        <c:spPr>
          <a:solidFill>
            <a:schemeClr val="accent6"/>
          </a:solidFill>
          <a:ln>
            <a:noFill/>
          </a:ln>
          <a:effectLst>
            <a:outerShdw blurRad="254000" sx="102000" sy="102000" algn="ctr" rotWithShape="0">
              <a:prstClr val="black">
                <a:alpha val="20000"/>
              </a:prstClr>
            </a:outerShdw>
          </a:effectLst>
        </c:spPr>
      </c:pivotFmt>
      <c:pivotFmt>
        <c:idx val="640"/>
        <c:spPr>
          <a:solidFill>
            <a:schemeClr val="accent6"/>
          </a:solidFill>
          <a:ln>
            <a:noFill/>
          </a:ln>
          <a:effectLst>
            <a:outerShdw blurRad="254000" sx="102000" sy="102000" algn="ctr" rotWithShape="0">
              <a:prstClr val="black">
                <a:alpha val="20000"/>
              </a:prstClr>
            </a:outerShdw>
          </a:effectLst>
        </c:spPr>
      </c:pivotFmt>
      <c:pivotFmt>
        <c:idx val="641"/>
        <c:spPr>
          <a:solidFill>
            <a:schemeClr val="accent6"/>
          </a:solidFill>
          <a:ln>
            <a:noFill/>
          </a:ln>
          <a:effectLst>
            <a:outerShdw blurRad="254000" sx="102000" sy="102000" algn="ctr" rotWithShape="0">
              <a:prstClr val="black">
                <a:alpha val="20000"/>
              </a:prstClr>
            </a:outerShdw>
          </a:effectLst>
        </c:spPr>
      </c:pivotFmt>
      <c:pivotFmt>
        <c:idx val="642"/>
        <c:spPr>
          <a:solidFill>
            <a:schemeClr val="accent6"/>
          </a:solidFill>
          <a:ln>
            <a:noFill/>
          </a:ln>
          <a:effectLst>
            <a:outerShdw blurRad="254000" sx="102000" sy="102000" algn="ctr" rotWithShape="0">
              <a:prstClr val="black">
                <a:alpha val="20000"/>
              </a:prstClr>
            </a:outerShdw>
          </a:effectLst>
        </c:spPr>
      </c:pivotFmt>
      <c:pivotFmt>
        <c:idx val="643"/>
        <c:spPr>
          <a:solidFill>
            <a:schemeClr val="accent6"/>
          </a:solidFill>
          <a:ln>
            <a:noFill/>
          </a:ln>
          <a:effectLst>
            <a:outerShdw blurRad="254000" sx="102000" sy="102000" algn="ctr" rotWithShape="0">
              <a:prstClr val="black">
                <a:alpha val="20000"/>
              </a:prstClr>
            </a:outerShdw>
          </a:effectLst>
        </c:spPr>
      </c:pivotFmt>
      <c:pivotFmt>
        <c:idx val="644"/>
        <c:spPr>
          <a:solidFill>
            <a:schemeClr val="accent6"/>
          </a:solidFill>
          <a:ln>
            <a:noFill/>
          </a:ln>
          <a:effectLst>
            <a:outerShdw blurRad="254000" sx="102000" sy="102000" algn="ctr" rotWithShape="0">
              <a:prstClr val="black">
                <a:alpha val="20000"/>
              </a:prstClr>
            </a:outerShdw>
          </a:effectLst>
        </c:spPr>
      </c:pivotFmt>
      <c:pivotFmt>
        <c:idx val="645"/>
        <c:spPr>
          <a:solidFill>
            <a:schemeClr val="accent6"/>
          </a:solidFill>
          <a:ln>
            <a:noFill/>
          </a:ln>
          <a:effectLst>
            <a:outerShdw blurRad="254000" sx="102000" sy="102000" algn="ctr" rotWithShape="0">
              <a:prstClr val="black">
                <a:alpha val="20000"/>
              </a:prstClr>
            </a:outerShdw>
          </a:effectLst>
        </c:spPr>
      </c:pivotFmt>
      <c:pivotFmt>
        <c:idx val="646"/>
        <c:spPr>
          <a:solidFill>
            <a:schemeClr val="accent6"/>
          </a:solidFill>
          <a:ln>
            <a:noFill/>
          </a:ln>
          <a:effectLst>
            <a:outerShdw blurRad="254000" sx="102000" sy="102000" algn="ctr" rotWithShape="0">
              <a:prstClr val="black">
                <a:alpha val="20000"/>
              </a:prstClr>
            </a:outerShdw>
          </a:effectLst>
        </c:spPr>
      </c:pivotFmt>
      <c:pivotFmt>
        <c:idx val="647"/>
        <c:spPr>
          <a:solidFill>
            <a:schemeClr val="accent6"/>
          </a:solidFill>
          <a:ln>
            <a:noFill/>
          </a:ln>
          <a:effectLst>
            <a:outerShdw blurRad="254000" sx="102000" sy="102000" algn="ctr" rotWithShape="0">
              <a:prstClr val="black">
                <a:alpha val="20000"/>
              </a:prstClr>
            </a:outerShdw>
          </a:effectLst>
        </c:spPr>
      </c:pivotFmt>
      <c:pivotFmt>
        <c:idx val="648"/>
        <c:spPr>
          <a:solidFill>
            <a:schemeClr val="accent6"/>
          </a:solidFill>
          <a:ln>
            <a:noFill/>
          </a:ln>
          <a:effectLst>
            <a:outerShdw blurRad="254000" sx="102000" sy="102000" algn="ctr" rotWithShape="0">
              <a:prstClr val="black">
                <a:alpha val="20000"/>
              </a:prstClr>
            </a:outerShdw>
          </a:effectLst>
        </c:spPr>
      </c:pivotFmt>
      <c:pivotFmt>
        <c:idx val="649"/>
        <c:spPr>
          <a:solidFill>
            <a:schemeClr val="accent6"/>
          </a:solidFill>
          <a:ln>
            <a:noFill/>
          </a:ln>
          <a:effectLst>
            <a:outerShdw blurRad="254000" sx="102000" sy="102000" algn="ctr" rotWithShape="0">
              <a:prstClr val="black">
                <a:alpha val="20000"/>
              </a:prstClr>
            </a:outerShdw>
          </a:effectLst>
        </c:spPr>
      </c:pivotFmt>
      <c:pivotFmt>
        <c:idx val="650"/>
        <c:spPr>
          <a:solidFill>
            <a:schemeClr val="accent6"/>
          </a:solidFill>
          <a:ln>
            <a:noFill/>
          </a:ln>
          <a:effectLst>
            <a:outerShdw blurRad="254000" sx="102000" sy="102000" algn="ctr" rotWithShape="0">
              <a:prstClr val="black">
                <a:alpha val="20000"/>
              </a:prstClr>
            </a:outerShdw>
          </a:effectLst>
        </c:spPr>
      </c:pivotFmt>
      <c:pivotFmt>
        <c:idx val="6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52"/>
        <c:spPr>
          <a:solidFill>
            <a:schemeClr val="accent6"/>
          </a:solidFill>
          <a:ln>
            <a:noFill/>
          </a:ln>
          <a:effectLst>
            <a:outerShdw blurRad="254000" sx="102000" sy="102000" algn="ctr" rotWithShape="0">
              <a:prstClr val="black">
                <a:alpha val="20000"/>
              </a:prstClr>
            </a:outerShdw>
          </a:effectLst>
        </c:spPr>
      </c:pivotFmt>
      <c:pivotFmt>
        <c:idx val="653"/>
        <c:spPr>
          <a:solidFill>
            <a:schemeClr val="accent6"/>
          </a:solidFill>
          <a:ln>
            <a:noFill/>
          </a:ln>
          <a:effectLst>
            <a:outerShdw blurRad="254000" sx="102000" sy="102000" algn="ctr" rotWithShape="0">
              <a:prstClr val="black">
                <a:alpha val="20000"/>
              </a:prstClr>
            </a:outerShdw>
          </a:effectLst>
        </c:spPr>
      </c:pivotFmt>
      <c:pivotFmt>
        <c:idx val="654"/>
        <c:spPr>
          <a:solidFill>
            <a:schemeClr val="accent6"/>
          </a:solidFill>
          <a:ln>
            <a:noFill/>
          </a:ln>
          <a:effectLst>
            <a:outerShdw blurRad="254000" sx="102000" sy="102000" algn="ctr" rotWithShape="0">
              <a:prstClr val="black">
                <a:alpha val="20000"/>
              </a:prstClr>
            </a:outerShdw>
          </a:effectLst>
        </c:spPr>
      </c:pivotFmt>
      <c:pivotFmt>
        <c:idx val="655"/>
        <c:spPr>
          <a:solidFill>
            <a:schemeClr val="accent6"/>
          </a:solidFill>
          <a:ln>
            <a:noFill/>
          </a:ln>
          <a:effectLst>
            <a:outerShdw blurRad="254000" sx="102000" sy="102000" algn="ctr" rotWithShape="0">
              <a:prstClr val="black">
                <a:alpha val="20000"/>
              </a:prstClr>
            </a:outerShdw>
          </a:effectLst>
        </c:spPr>
      </c:pivotFmt>
      <c:pivotFmt>
        <c:idx val="656"/>
        <c:spPr>
          <a:solidFill>
            <a:schemeClr val="accent6"/>
          </a:solidFill>
          <a:ln>
            <a:noFill/>
          </a:ln>
          <a:effectLst>
            <a:outerShdw blurRad="254000" sx="102000" sy="102000" algn="ctr" rotWithShape="0">
              <a:prstClr val="black">
                <a:alpha val="20000"/>
              </a:prstClr>
            </a:outerShdw>
          </a:effectLst>
        </c:spPr>
      </c:pivotFmt>
      <c:pivotFmt>
        <c:idx val="657"/>
        <c:spPr>
          <a:solidFill>
            <a:schemeClr val="accent6"/>
          </a:solidFill>
          <a:ln>
            <a:noFill/>
          </a:ln>
          <a:effectLst>
            <a:outerShdw blurRad="254000" sx="102000" sy="102000" algn="ctr" rotWithShape="0">
              <a:prstClr val="black">
                <a:alpha val="20000"/>
              </a:prstClr>
            </a:outerShdw>
          </a:effectLst>
        </c:spPr>
      </c:pivotFmt>
      <c:pivotFmt>
        <c:idx val="658"/>
        <c:spPr>
          <a:solidFill>
            <a:schemeClr val="accent6"/>
          </a:solidFill>
          <a:ln>
            <a:noFill/>
          </a:ln>
          <a:effectLst>
            <a:outerShdw blurRad="254000" sx="102000" sy="102000" algn="ctr" rotWithShape="0">
              <a:prstClr val="black">
                <a:alpha val="20000"/>
              </a:prstClr>
            </a:outerShdw>
          </a:effectLst>
        </c:spPr>
      </c:pivotFmt>
      <c:pivotFmt>
        <c:idx val="659"/>
        <c:spPr>
          <a:solidFill>
            <a:schemeClr val="accent6"/>
          </a:solidFill>
          <a:ln>
            <a:noFill/>
          </a:ln>
          <a:effectLst>
            <a:outerShdw blurRad="254000" sx="102000" sy="102000" algn="ctr" rotWithShape="0">
              <a:prstClr val="black">
                <a:alpha val="20000"/>
              </a:prstClr>
            </a:outerShdw>
          </a:effectLst>
        </c:spPr>
      </c:pivotFmt>
      <c:pivotFmt>
        <c:idx val="660"/>
        <c:spPr>
          <a:solidFill>
            <a:schemeClr val="accent6"/>
          </a:solidFill>
          <a:ln>
            <a:noFill/>
          </a:ln>
          <a:effectLst>
            <a:outerShdw blurRad="254000" sx="102000" sy="102000" algn="ctr" rotWithShape="0">
              <a:prstClr val="black">
                <a:alpha val="20000"/>
              </a:prstClr>
            </a:outerShdw>
          </a:effectLst>
        </c:spPr>
      </c:pivotFmt>
      <c:pivotFmt>
        <c:idx val="661"/>
        <c:spPr>
          <a:solidFill>
            <a:schemeClr val="accent6"/>
          </a:solidFill>
          <a:ln>
            <a:noFill/>
          </a:ln>
          <a:effectLst>
            <a:outerShdw blurRad="254000" sx="102000" sy="102000" algn="ctr" rotWithShape="0">
              <a:prstClr val="black">
                <a:alpha val="20000"/>
              </a:prstClr>
            </a:outerShdw>
          </a:effectLst>
        </c:spPr>
      </c:pivotFmt>
      <c:pivotFmt>
        <c:idx val="662"/>
        <c:spPr>
          <a:solidFill>
            <a:schemeClr val="accent6"/>
          </a:solidFill>
          <a:ln>
            <a:noFill/>
          </a:ln>
          <a:effectLst>
            <a:outerShdw blurRad="254000" sx="102000" sy="102000" algn="ctr" rotWithShape="0">
              <a:prstClr val="black">
                <a:alpha val="20000"/>
              </a:prstClr>
            </a:outerShdw>
          </a:effectLst>
        </c:spPr>
      </c:pivotFmt>
      <c:pivotFmt>
        <c:idx val="66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64"/>
        <c:spPr>
          <a:solidFill>
            <a:schemeClr val="accent6"/>
          </a:solidFill>
          <a:ln>
            <a:noFill/>
          </a:ln>
          <a:effectLst>
            <a:outerShdw blurRad="254000" sx="102000" sy="102000" algn="ctr" rotWithShape="0">
              <a:prstClr val="black">
                <a:alpha val="20000"/>
              </a:prstClr>
            </a:outerShdw>
          </a:effectLst>
        </c:spPr>
      </c:pivotFmt>
      <c:pivotFmt>
        <c:idx val="665"/>
        <c:spPr>
          <a:solidFill>
            <a:schemeClr val="accent6"/>
          </a:solidFill>
          <a:ln>
            <a:noFill/>
          </a:ln>
          <a:effectLst>
            <a:outerShdw blurRad="254000" sx="102000" sy="102000" algn="ctr" rotWithShape="0">
              <a:prstClr val="black">
                <a:alpha val="20000"/>
              </a:prstClr>
            </a:outerShdw>
          </a:effectLst>
        </c:spPr>
      </c:pivotFmt>
      <c:pivotFmt>
        <c:idx val="666"/>
        <c:spPr>
          <a:solidFill>
            <a:schemeClr val="accent6"/>
          </a:solidFill>
          <a:ln>
            <a:noFill/>
          </a:ln>
          <a:effectLst>
            <a:outerShdw blurRad="254000" sx="102000" sy="102000" algn="ctr" rotWithShape="0">
              <a:prstClr val="black">
                <a:alpha val="20000"/>
              </a:prstClr>
            </a:outerShdw>
          </a:effectLst>
        </c:spPr>
      </c:pivotFmt>
      <c:pivotFmt>
        <c:idx val="667"/>
        <c:spPr>
          <a:solidFill>
            <a:schemeClr val="accent6"/>
          </a:solidFill>
          <a:ln>
            <a:noFill/>
          </a:ln>
          <a:effectLst>
            <a:outerShdw blurRad="254000" sx="102000" sy="102000" algn="ctr" rotWithShape="0">
              <a:prstClr val="black">
                <a:alpha val="20000"/>
              </a:prstClr>
            </a:outerShdw>
          </a:effectLst>
        </c:spPr>
      </c:pivotFmt>
      <c:pivotFmt>
        <c:idx val="668"/>
        <c:spPr>
          <a:solidFill>
            <a:schemeClr val="accent6"/>
          </a:solidFill>
          <a:ln>
            <a:noFill/>
          </a:ln>
          <a:effectLst>
            <a:outerShdw blurRad="254000" sx="102000" sy="102000" algn="ctr" rotWithShape="0">
              <a:prstClr val="black">
                <a:alpha val="20000"/>
              </a:prstClr>
            </a:outerShdw>
          </a:effectLst>
        </c:spPr>
      </c:pivotFmt>
      <c:pivotFmt>
        <c:idx val="669"/>
        <c:spPr>
          <a:solidFill>
            <a:schemeClr val="accent6"/>
          </a:solidFill>
          <a:ln>
            <a:noFill/>
          </a:ln>
          <a:effectLst>
            <a:outerShdw blurRad="254000" sx="102000" sy="102000" algn="ctr" rotWithShape="0">
              <a:prstClr val="black">
                <a:alpha val="20000"/>
              </a:prstClr>
            </a:outerShdw>
          </a:effectLst>
        </c:spPr>
      </c:pivotFmt>
      <c:pivotFmt>
        <c:idx val="670"/>
        <c:spPr>
          <a:solidFill>
            <a:schemeClr val="accent6"/>
          </a:solidFill>
          <a:ln>
            <a:noFill/>
          </a:ln>
          <a:effectLst>
            <a:outerShdw blurRad="254000" sx="102000" sy="102000" algn="ctr" rotWithShape="0">
              <a:prstClr val="black">
                <a:alpha val="20000"/>
              </a:prstClr>
            </a:outerShdw>
          </a:effectLst>
        </c:spPr>
      </c:pivotFmt>
      <c:pivotFmt>
        <c:idx val="671"/>
        <c:spPr>
          <a:solidFill>
            <a:schemeClr val="accent6"/>
          </a:solidFill>
          <a:ln>
            <a:noFill/>
          </a:ln>
          <a:effectLst>
            <a:outerShdw blurRad="254000" sx="102000" sy="102000" algn="ctr" rotWithShape="0">
              <a:prstClr val="black">
                <a:alpha val="20000"/>
              </a:prstClr>
            </a:outerShdw>
          </a:effectLst>
        </c:spPr>
      </c:pivotFmt>
      <c:pivotFmt>
        <c:idx val="672"/>
        <c:spPr>
          <a:solidFill>
            <a:schemeClr val="accent6"/>
          </a:solidFill>
          <a:ln>
            <a:noFill/>
          </a:ln>
          <a:effectLst>
            <a:outerShdw blurRad="254000" sx="102000" sy="102000" algn="ctr" rotWithShape="0">
              <a:prstClr val="black">
                <a:alpha val="20000"/>
              </a:prstClr>
            </a:outerShdw>
          </a:effectLst>
        </c:spPr>
      </c:pivotFmt>
      <c:pivotFmt>
        <c:idx val="673"/>
        <c:spPr>
          <a:solidFill>
            <a:schemeClr val="accent6"/>
          </a:solidFill>
          <a:ln>
            <a:noFill/>
          </a:ln>
          <a:effectLst>
            <a:outerShdw blurRad="254000" sx="102000" sy="102000" algn="ctr" rotWithShape="0">
              <a:prstClr val="black">
                <a:alpha val="20000"/>
              </a:prstClr>
            </a:outerShdw>
          </a:effectLst>
        </c:spPr>
      </c:pivotFmt>
      <c:pivotFmt>
        <c:idx val="674"/>
        <c:spPr>
          <a:solidFill>
            <a:schemeClr val="accent6"/>
          </a:solidFill>
          <a:ln>
            <a:noFill/>
          </a:ln>
          <a:effectLst>
            <a:outerShdw blurRad="254000" sx="102000" sy="102000" algn="ctr" rotWithShape="0">
              <a:prstClr val="black">
                <a:alpha val="20000"/>
              </a:prstClr>
            </a:outerShdw>
          </a:effectLst>
        </c:spPr>
      </c:pivotFmt>
      <c:pivotFmt>
        <c:idx val="67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76"/>
        <c:spPr>
          <a:solidFill>
            <a:schemeClr val="accent6"/>
          </a:solidFill>
          <a:ln>
            <a:noFill/>
          </a:ln>
          <a:effectLst>
            <a:outerShdw blurRad="254000" sx="102000" sy="102000" algn="ctr" rotWithShape="0">
              <a:prstClr val="black">
                <a:alpha val="20000"/>
              </a:prstClr>
            </a:outerShdw>
          </a:effectLst>
        </c:spPr>
      </c:pivotFmt>
      <c:pivotFmt>
        <c:idx val="677"/>
        <c:spPr>
          <a:solidFill>
            <a:schemeClr val="accent6"/>
          </a:solidFill>
          <a:ln>
            <a:noFill/>
          </a:ln>
          <a:effectLst>
            <a:outerShdw blurRad="254000" sx="102000" sy="102000" algn="ctr" rotWithShape="0">
              <a:prstClr val="black">
                <a:alpha val="20000"/>
              </a:prstClr>
            </a:outerShdw>
          </a:effectLst>
        </c:spPr>
      </c:pivotFmt>
      <c:pivotFmt>
        <c:idx val="678"/>
        <c:spPr>
          <a:solidFill>
            <a:schemeClr val="accent6"/>
          </a:solidFill>
          <a:ln>
            <a:noFill/>
          </a:ln>
          <a:effectLst>
            <a:outerShdw blurRad="254000" sx="102000" sy="102000" algn="ctr" rotWithShape="0">
              <a:prstClr val="black">
                <a:alpha val="20000"/>
              </a:prstClr>
            </a:outerShdw>
          </a:effectLst>
        </c:spPr>
      </c:pivotFmt>
      <c:pivotFmt>
        <c:idx val="679"/>
        <c:spPr>
          <a:solidFill>
            <a:schemeClr val="accent6"/>
          </a:solidFill>
          <a:ln>
            <a:noFill/>
          </a:ln>
          <a:effectLst>
            <a:outerShdw blurRad="254000" sx="102000" sy="102000" algn="ctr" rotWithShape="0">
              <a:prstClr val="black">
                <a:alpha val="20000"/>
              </a:prstClr>
            </a:outerShdw>
          </a:effectLst>
        </c:spPr>
      </c:pivotFmt>
      <c:pivotFmt>
        <c:idx val="680"/>
        <c:spPr>
          <a:solidFill>
            <a:schemeClr val="accent6"/>
          </a:solidFill>
          <a:ln>
            <a:noFill/>
          </a:ln>
          <a:effectLst>
            <a:outerShdw blurRad="254000" sx="102000" sy="102000" algn="ctr" rotWithShape="0">
              <a:prstClr val="black">
                <a:alpha val="20000"/>
              </a:prstClr>
            </a:outerShdw>
          </a:effectLst>
        </c:spPr>
      </c:pivotFmt>
      <c:pivotFmt>
        <c:idx val="681"/>
        <c:spPr>
          <a:solidFill>
            <a:schemeClr val="accent6"/>
          </a:solidFill>
          <a:ln>
            <a:noFill/>
          </a:ln>
          <a:effectLst>
            <a:outerShdw blurRad="254000" sx="102000" sy="102000" algn="ctr" rotWithShape="0">
              <a:prstClr val="black">
                <a:alpha val="20000"/>
              </a:prstClr>
            </a:outerShdw>
          </a:effectLst>
        </c:spPr>
      </c:pivotFmt>
      <c:pivotFmt>
        <c:idx val="682"/>
        <c:spPr>
          <a:solidFill>
            <a:schemeClr val="accent6"/>
          </a:solidFill>
          <a:ln>
            <a:noFill/>
          </a:ln>
          <a:effectLst>
            <a:outerShdw blurRad="254000" sx="102000" sy="102000" algn="ctr" rotWithShape="0">
              <a:prstClr val="black">
                <a:alpha val="20000"/>
              </a:prstClr>
            </a:outerShdw>
          </a:effectLst>
        </c:spPr>
      </c:pivotFmt>
      <c:pivotFmt>
        <c:idx val="683"/>
        <c:spPr>
          <a:solidFill>
            <a:schemeClr val="accent6"/>
          </a:solidFill>
          <a:ln>
            <a:noFill/>
          </a:ln>
          <a:effectLst>
            <a:outerShdw blurRad="254000" sx="102000" sy="102000" algn="ctr" rotWithShape="0">
              <a:prstClr val="black">
                <a:alpha val="20000"/>
              </a:prstClr>
            </a:outerShdw>
          </a:effectLst>
        </c:spPr>
      </c:pivotFmt>
      <c:pivotFmt>
        <c:idx val="684"/>
        <c:spPr>
          <a:solidFill>
            <a:schemeClr val="accent6"/>
          </a:solidFill>
          <a:ln>
            <a:noFill/>
          </a:ln>
          <a:effectLst>
            <a:outerShdw blurRad="254000" sx="102000" sy="102000" algn="ctr" rotWithShape="0">
              <a:prstClr val="black">
                <a:alpha val="20000"/>
              </a:prstClr>
            </a:outerShdw>
          </a:effectLst>
        </c:spPr>
      </c:pivotFmt>
      <c:pivotFmt>
        <c:idx val="685"/>
        <c:spPr>
          <a:solidFill>
            <a:schemeClr val="accent6"/>
          </a:solidFill>
          <a:ln>
            <a:noFill/>
          </a:ln>
          <a:effectLst>
            <a:outerShdw blurRad="254000" sx="102000" sy="102000" algn="ctr" rotWithShape="0">
              <a:prstClr val="black">
                <a:alpha val="20000"/>
              </a:prstClr>
            </a:outerShdw>
          </a:effectLst>
        </c:spPr>
      </c:pivotFmt>
      <c:pivotFmt>
        <c:idx val="686"/>
        <c:spPr>
          <a:solidFill>
            <a:schemeClr val="accent6"/>
          </a:solidFill>
          <a:ln>
            <a:noFill/>
          </a:ln>
          <a:effectLst>
            <a:outerShdw blurRad="254000" sx="102000" sy="102000" algn="ctr" rotWithShape="0">
              <a:prstClr val="black">
                <a:alpha val="20000"/>
              </a:prstClr>
            </a:outerShdw>
          </a:effectLst>
        </c:spPr>
      </c:pivotFmt>
      <c:pivotFmt>
        <c:idx val="68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88"/>
        <c:spPr>
          <a:solidFill>
            <a:schemeClr val="accent6"/>
          </a:solidFill>
          <a:ln>
            <a:noFill/>
          </a:ln>
          <a:effectLst>
            <a:outerShdw blurRad="254000" sx="102000" sy="102000" algn="ctr" rotWithShape="0">
              <a:prstClr val="black">
                <a:alpha val="20000"/>
              </a:prstClr>
            </a:outerShdw>
          </a:effectLst>
        </c:spPr>
      </c:pivotFmt>
      <c:pivotFmt>
        <c:idx val="689"/>
        <c:spPr>
          <a:solidFill>
            <a:schemeClr val="accent6"/>
          </a:solidFill>
          <a:ln>
            <a:noFill/>
          </a:ln>
          <a:effectLst>
            <a:outerShdw blurRad="254000" sx="102000" sy="102000" algn="ctr" rotWithShape="0">
              <a:prstClr val="black">
                <a:alpha val="20000"/>
              </a:prstClr>
            </a:outerShdw>
          </a:effectLst>
        </c:spPr>
      </c:pivotFmt>
      <c:pivotFmt>
        <c:idx val="690"/>
        <c:spPr>
          <a:solidFill>
            <a:schemeClr val="accent6"/>
          </a:solidFill>
          <a:ln>
            <a:noFill/>
          </a:ln>
          <a:effectLst>
            <a:outerShdw blurRad="254000" sx="102000" sy="102000" algn="ctr" rotWithShape="0">
              <a:prstClr val="black">
                <a:alpha val="20000"/>
              </a:prstClr>
            </a:outerShdw>
          </a:effectLst>
        </c:spPr>
      </c:pivotFmt>
      <c:pivotFmt>
        <c:idx val="691"/>
        <c:spPr>
          <a:solidFill>
            <a:schemeClr val="accent6"/>
          </a:solidFill>
          <a:ln>
            <a:noFill/>
          </a:ln>
          <a:effectLst>
            <a:outerShdw blurRad="254000" sx="102000" sy="102000" algn="ctr" rotWithShape="0">
              <a:prstClr val="black">
                <a:alpha val="20000"/>
              </a:prstClr>
            </a:outerShdw>
          </a:effectLst>
        </c:spPr>
      </c:pivotFmt>
      <c:pivotFmt>
        <c:idx val="692"/>
        <c:spPr>
          <a:solidFill>
            <a:schemeClr val="accent6"/>
          </a:solidFill>
          <a:ln>
            <a:noFill/>
          </a:ln>
          <a:effectLst>
            <a:outerShdw blurRad="254000" sx="102000" sy="102000" algn="ctr" rotWithShape="0">
              <a:prstClr val="black">
                <a:alpha val="20000"/>
              </a:prstClr>
            </a:outerShdw>
          </a:effectLst>
        </c:spPr>
      </c:pivotFmt>
      <c:pivotFmt>
        <c:idx val="693"/>
        <c:spPr>
          <a:solidFill>
            <a:schemeClr val="accent6"/>
          </a:solidFill>
          <a:ln>
            <a:noFill/>
          </a:ln>
          <a:effectLst>
            <a:outerShdw blurRad="254000" sx="102000" sy="102000" algn="ctr" rotWithShape="0">
              <a:prstClr val="black">
                <a:alpha val="20000"/>
              </a:prstClr>
            </a:outerShdw>
          </a:effectLst>
        </c:spPr>
      </c:pivotFmt>
      <c:pivotFmt>
        <c:idx val="694"/>
        <c:spPr>
          <a:solidFill>
            <a:schemeClr val="accent6"/>
          </a:solidFill>
          <a:ln>
            <a:noFill/>
          </a:ln>
          <a:effectLst>
            <a:outerShdw blurRad="254000" sx="102000" sy="102000" algn="ctr" rotWithShape="0">
              <a:prstClr val="black">
                <a:alpha val="20000"/>
              </a:prstClr>
            </a:outerShdw>
          </a:effectLst>
        </c:spPr>
      </c:pivotFmt>
      <c:pivotFmt>
        <c:idx val="695"/>
        <c:spPr>
          <a:solidFill>
            <a:schemeClr val="accent6"/>
          </a:solidFill>
          <a:ln>
            <a:noFill/>
          </a:ln>
          <a:effectLst>
            <a:outerShdw blurRad="254000" sx="102000" sy="102000" algn="ctr" rotWithShape="0">
              <a:prstClr val="black">
                <a:alpha val="20000"/>
              </a:prstClr>
            </a:outerShdw>
          </a:effectLst>
        </c:spPr>
      </c:pivotFmt>
      <c:pivotFmt>
        <c:idx val="696"/>
        <c:spPr>
          <a:solidFill>
            <a:schemeClr val="accent6"/>
          </a:solidFill>
          <a:ln>
            <a:noFill/>
          </a:ln>
          <a:effectLst>
            <a:outerShdw blurRad="254000" sx="102000" sy="102000" algn="ctr" rotWithShape="0">
              <a:prstClr val="black">
                <a:alpha val="20000"/>
              </a:prstClr>
            </a:outerShdw>
          </a:effectLst>
        </c:spPr>
      </c:pivotFmt>
      <c:pivotFmt>
        <c:idx val="697"/>
        <c:spPr>
          <a:solidFill>
            <a:schemeClr val="accent6"/>
          </a:solidFill>
          <a:ln>
            <a:noFill/>
          </a:ln>
          <a:effectLst>
            <a:outerShdw blurRad="254000" sx="102000" sy="102000" algn="ctr" rotWithShape="0">
              <a:prstClr val="black">
                <a:alpha val="20000"/>
              </a:prstClr>
            </a:outerShdw>
          </a:effectLst>
        </c:spPr>
      </c:pivotFmt>
      <c:pivotFmt>
        <c:idx val="698"/>
        <c:spPr>
          <a:solidFill>
            <a:schemeClr val="accent6"/>
          </a:solidFill>
          <a:ln>
            <a:noFill/>
          </a:ln>
          <a:effectLst>
            <a:outerShdw blurRad="254000" sx="102000" sy="102000" algn="ctr" rotWithShape="0">
              <a:prstClr val="black">
                <a:alpha val="20000"/>
              </a:prstClr>
            </a:outerShdw>
          </a:effectLst>
        </c:spPr>
      </c:pivotFmt>
      <c:pivotFmt>
        <c:idx val="69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00"/>
        <c:spPr>
          <a:solidFill>
            <a:schemeClr val="accent6"/>
          </a:solidFill>
          <a:ln>
            <a:noFill/>
          </a:ln>
          <a:effectLst>
            <a:outerShdw blurRad="254000" sx="102000" sy="102000" algn="ctr" rotWithShape="0">
              <a:prstClr val="black">
                <a:alpha val="20000"/>
              </a:prstClr>
            </a:outerShdw>
          </a:effectLst>
        </c:spPr>
      </c:pivotFmt>
      <c:pivotFmt>
        <c:idx val="701"/>
        <c:spPr>
          <a:solidFill>
            <a:schemeClr val="accent6"/>
          </a:solidFill>
          <a:ln>
            <a:noFill/>
          </a:ln>
          <a:effectLst>
            <a:outerShdw blurRad="254000" sx="102000" sy="102000" algn="ctr" rotWithShape="0">
              <a:prstClr val="black">
                <a:alpha val="20000"/>
              </a:prstClr>
            </a:outerShdw>
          </a:effectLst>
        </c:spPr>
      </c:pivotFmt>
      <c:pivotFmt>
        <c:idx val="702"/>
        <c:spPr>
          <a:solidFill>
            <a:schemeClr val="accent6"/>
          </a:solidFill>
          <a:ln>
            <a:noFill/>
          </a:ln>
          <a:effectLst>
            <a:outerShdw blurRad="254000" sx="102000" sy="102000" algn="ctr" rotWithShape="0">
              <a:prstClr val="black">
                <a:alpha val="20000"/>
              </a:prstClr>
            </a:outerShdw>
          </a:effectLst>
        </c:spPr>
      </c:pivotFmt>
      <c:pivotFmt>
        <c:idx val="703"/>
        <c:spPr>
          <a:solidFill>
            <a:schemeClr val="accent6"/>
          </a:solidFill>
          <a:ln>
            <a:noFill/>
          </a:ln>
          <a:effectLst>
            <a:outerShdw blurRad="254000" sx="102000" sy="102000" algn="ctr" rotWithShape="0">
              <a:prstClr val="black">
                <a:alpha val="20000"/>
              </a:prstClr>
            </a:outerShdw>
          </a:effectLst>
        </c:spPr>
      </c:pivotFmt>
      <c:pivotFmt>
        <c:idx val="704"/>
        <c:spPr>
          <a:solidFill>
            <a:schemeClr val="accent6"/>
          </a:solidFill>
          <a:ln>
            <a:noFill/>
          </a:ln>
          <a:effectLst>
            <a:outerShdw blurRad="254000" sx="102000" sy="102000" algn="ctr" rotWithShape="0">
              <a:prstClr val="black">
                <a:alpha val="20000"/>
              </a:prstClr>
            </a:outerShdw>
          </a:effectLst>
        </c:spPr>
      </c:pivotFmt>
      <c:pivotFmt>
        <c:idx val="705"/>
        <c:spPr>
          <a:solidFill>
            <a:schemeClr val="accent6"/>
          </a:solidFill>
          <a:ln>
            <a:noFill/>
          </a:ln>
          <a:effectLst>
            <a:outerShdw blurRad="254000" sx="102000" sy="102000" algn="ctr" rotWithShape="0">
              <a:prstClr val="black">
                <a:alpha val="20000"/>
              </a:prstClr>
            </a:outerShdw>
          </a:effectLst>
        </c:spPr>
      </c:pivotFmt>
      <c:pivotFmt>
        <c:idx val="706"/>
        <c:spPr>
          <a:solidFill>
            <a:schemeClr val="accent6"/>
          </a:solidFill>
          <a:ln>
            <a:noFill/>
          </a:ln>
          <a:effectLst>
            <a:outerShdw blurRad="254000" sx="102000" sy="102000" algn="ctr" rotWithShape="0">
              <a:prstClr val="black">
                <a:alpha val="20000"/>
              </a:prstClr>
            </a:outerShdw>
          </a:effectLst>
        </c:spPr>
      </c:pivotFmt>
      <c:pivotFmt>
        <c:idx val="707"/>
        <c:spPr>
          <a:solidFill>
            <a:schemeClr val="accent6"/>
          </a:solidFill>
          <a:ln>
            <a:noFill/>
          </a:ln>
          <a:effectLst>
            <a:outerShdw blurRad="254000" sx="102000" sy="102000" algn="ctr" rotWithShape="0">
              <a:prstClr val="black">
                <a:alpha val="20000"/>
              </a:prstClr>
            </a:outerShdw>
          </a:effectLst>
        </c:spPr>
      </c:pivotFmt>
      <c:pivotFmt>
        <c:idx val="708"/>
        <c:spPr>
          <a:solidFill>
            <a:schemeClr val="accent6"/>
          </a:solidFill>
          <a:ln>
            <a:noFill/>
          </a:ln>
          <a:effectLst>
            <a:outerShdw blurRad="254000" sx="102000" sy="102000" algn="ctr" rotWithShape="0">
              <a:prstClr val="black">
                <a:alpha val="20000"/>
              </a:prstClr>
            </a:outerShdw>
          </a:effectLst>
        </c:spPr>
      </c:pivotFmt>
      <c:pivotFmt>
        <c:idx val="709"/>
        <c:spPr>
          <a:solidFill>
            <a:schemeClr val="accent6"/>
          </a:solidFill>
          <a:ln>
            <a:noFill/>
          </a:ln>
          <a:effectLst>
            <a:outerShdw blurRad="254000" sx="102000" sy="102000" algn="ctr" rotWithShape="0">
              <a:prstClr val="black">
                <a:alpha val="20000"/>
              </a:prstClr>
            </a:outerShdw>
          </a:effectLst>
        </c:spPr>
      </c:pivotFmt>
      <c:pivotFmt>
        <c:idx val="710"/>
        <c:spPr>
          <a:solidFill>
            <a:schemeClr val="accent6"/>
          </a:solidFill>
          <a:ln>
            <a:noFill/>
          </a:ln>
          <a:effectLst>
            <a:outerShdw blurRad="254000" sx="102000" sy="102000" algn="ctr" rotWithShape="0">
              <a:prstClr val="black">
                <a:alpha val="20000"/>
              </a:prstClr>
            </a:outerShdw>
          </a:effectLst>
        </c:spPr>
      </c:pivotFmt>
      <c:pivotFmt>
        <c:idx val="7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12"/>
        <c:spPr>
          <a:solidFill>
            <a:schemeClr val="accent6"/>
          </a:solidFill>
          <a:ln>
            <a:noFill/>
          </a:ln>
          <a:effectLst>
            <a:outerShdw blurRad="254000" sx="102000" sy="102000" algn="ctr" rotWithShape="0">
              <a:prstClr val="black">
                <a:alpha val="20000"/>
              </a:prstClr>
            </a:outerShdw>
          </a:effectLst>
        </c:spPr>
      </c:pivotFmt>
      <c:pivotFmt>
        <c:idx val="713"/>
        <c:spPr>
          <a:solidFill>
            <a:schemeClr val="accent6"/>
          </a:solidFill>
          <a:ln>
            <a:noFill/>
          </a:ln>
          <a:effectLst>
            <a:outerShdw blurRad="254000" sx="102000" sy="102000" algn="ctr" rotWithShape="0">
              <a:prstClr val="black">
                <a:alpha val="20000"/>
              </a:prstClr>
            </a:outerShdw>
          </a:effectLst>
        </c:spPr>
      </c:pivotFmt>
      <c:pivotFmt>
        <c:idx val="714"/>
        <c:spPr>
          <a:solidFill>
            <a:schemeClr val="accent6"/>
          </a:solidFill>
          <a:ln>
            <a:noFill/>
          </a:ln>
          <a:effectLst>
            <a:outerShdw blurRad="254000" sx="102000" sy="102000" algn="ctr" rotWithShape="0">
              <a:prstClr val="black">
                <a:alpha val="20000"/>
              </a:prstClr>
            </a:outerShdw>
          </a:effectLst>
        </c:spPr>
      </c:pivotFmt>
      <c:pivotFmt>
        <c:idx val="715"/>
        <c:spPr>
          <a:solidFill>
            <a:schemeClr val="accent6"/>
          </a:solidFill>
          <a:ln>
            <a:noFill/>
          </a:ln>
          <a:effectLst>
            <a:outerShdw blurRad="254000" sx="102000" sy="102000" algn="ctr" rotWithShape="0">
              <a:prstClr val="black">
                <a:alpha val="20000"/>
              </a:prstClr>
            </a:outerShdw>
          </a:effectLst>
        </c:spPr>
      </c:pivotFmt>
      <c:pivotFmt>
        <c:idx val="716"/>
        <c:spPr>
          <a:solidFill>
            <a:schemeClr val="accent6"/>
          </a:solidFill>
          <a:ln>
            <a:noFill/>
          </a:ln>
          <a:effectLst>
            <a:outerShdw blurRad="254000" sx="102000" sy="102000" algn="ctr" rotWithShape="0">
              <a:prstClr val="black">
                <a:alpha val="20000"/>
              </a:prstClr>
            </a:outerShdw>
          </a:effectLst>
        </c:spPr>
      </c:pivotFmt>
      <c:pivotFmt>
        <c:idx val="717"/>
        <c:spPr>
          <a:solidFill>
            <a:schemeClr val="accent6"/>
          </a:solidFill>
          <a:ln>
            <a:noFill/>
          </a:ln>
          <a:effectLst>
            <a:outerShdw blurRad="254000" sx="102000" sy="102000" algn="ctr" rotWithShape="0">
              <a:prstClr val="black">
                <a:alpha val="20000"/>
              </a:prstClr>
            </a:outerShdw>
          </a:effectLst>
        </c:spPr>
      </c:pivotFmt>
      <c:pivotFmt>
        <c:idx val="718"/>
        <c:spPr>
          <a:solidFill>
            <a:schemeClr val="accent6"/>
          </a:solidFill>
          <a:ln>
            <a:noFill/>
          </a:ln>
          <a:effectLst>
            <a:outerShdw blurRad="254000" sx="102000" sy="102000" algn="ctr" rotWithShape="0">
              <a:prstClr val="black">
                <a:alpha val="20000"/>
              </a:prstClr>
            </a:outerShdw>
          </a:effectLst>
        </c:spPr>
      </c:pivotFmt>
      <c:pivotFmt>
        <c:idx val="719"/>
        <c:spPr>
          <a:solidFill>
            <a:schemeClr val="accent6"/>
          </a:solidFill>
          <a:ln>
            <a:noFill/>
          </a:ln>
          <a:effectLst>
            <a:outerShdw blurRad="254000" sx="102000" sy="102000" algn="ctr" rotWithShape="0">
              <a:prstClr val="black">
                <a:alpha val="20000"/>
              </a:prstClr>
            </a:outerShdw>
          </a:effectLst>
        </c:spPr>
      </c:pivotFmt>
      <c:pivotFmt>
        <c:idx val="720"/>
        <c:spPr>
          <a:solidFill>
            <a:schemeClr val="accent6"/>
          </a:solidFill>
          <a:ln>
            <a:noFill/>
          </a:ln>
          <a:effectLst>
            <a:outerShdw blurRad="254000" sx="102000" sy="102000" algn="ctr" rotWithShape="0">
              <a:prstClr val="black">
                <a:alpha val="20000"/>
              </a:prstClr>
            </a:outerShdw>
          </a:effectLst>
        </c:spPr>
      </c:pivotFmt>
      <c:pivotFmt>
        <c:idx val="721"/>
        <c:spPr>
          <a:solidFill>
            <a:schemeClr val="accent6"/>
          </a:solidFill>
          <a:ln>
            <a:noFill/>
          </a:ln>
          <a:effectLst>
            <a:outerShdw blurRad="254000" sx="102000" sy="102000" algn="ctr" rotWithShape="0">
              <a:prstClr val="black">
                <a:alpha val="20000"/>
              </a:prstClr>
            </a:outerShdw>
          </a:effectLst>
        </c:spPr>
      </c:pivotFmt>
      <c:pivotFmt>
        <c:idx val="722"/>
        <c:spPr>
          <a:solidFill>
            <a:schemeClr val="accent6"/>
          </a:solidFill>
          <a:ln>
            <a:noFill/>
          </a:ln>
          <a:effectLst>
            <a:outerShdw blurRad="254000" sx="102000" sy="102000" algn="ctr" rotWithShape="0">
              <a:prstClr val="black">
                <a:alpha val="20000"/>
              </a:prstClr>
            </a:outerShdw>
          </a:effectLst>
        </c:spPr>
      </c:pivotFmt>
      <c:pivotFmt>
        <c:idx val="72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24"/>
        <c:spPr>
          <a:solidFill>
            <a:schemeClr val="accent6"/>
          </a:solidFill>
          <a:ln>
            <a:noFill/>
          </a:ln>
          <a:effectLst>
            <a:outerShdw blurRad="254000" sx="102000" sy="102000" algn="ctr" rotWithShape="0">
              <a:prstClr val="black">
                <a:alpha val="20000"/>
              </a:prstClr>
            </a:outerShdw>
          </a:effectLst>
        </c:spPr>
      </c:pivotFmt>
      <c:pivotFmt>
        <c:idx val="725"/>
        <c:spPr>
          <a:solidFill>
            <a:schemeClr val="accent6"/>
          </a:solidFill>
          <a:ln>
            <a:noFill/>
          </a:ln>
          <a:effectLst>
            <a:outerShdw blurRad="254000" sx="102000" sy="102000" algn="ctr" rotWithShape="0">
              <a:prstClr val="black">
                <a:alpha val="20000"/>
              </a:prstClr>
            </a:outerShdw>
          </a:effectLst>
        </c:spPr>
      </c:pivotFmt>
      <c:pivotFmt>
        <c:idx val="726"/>
        <c:spPr>
          <a:solidFill>
            <a:schemeClr val="accent6"/>
          </a:solidFill>
          <a:ln>
            <a:noFill/>
          </a:ln>
          <a:effectLst>
            <a:outerShdw blurRad="254000" sx="102000" sy="102000" algn="ctr" rotWithShape="0">
              <a:prstClr val="black">
                <a:alpha val="20000"/>
              </a:prstClr>
            </a:outerShdw>
          </a:effectLst>
        </c:spPr>
      </c:pivotFmt>
      <c:pivotFmt>
        <c:idx val="727"/>
        <c:spPr>
          <a:solidFill>
            <a:schemeClr val="accent6"/>
          </a:solidFill>
          <a:ln>
            <a:noFill/>
          </a:ln>
          <a:effectLst>
            <a:outerShdw blurRad="254000" sx="102000" sy="102000" algn="ctr" rotWithShape="0">
              <a:prstClr val="black">
                <a:alpha val="20000"/>
              </a:prstClr>
            </a:outerShdw>
          </a:effectLst>
        </c:spPr>
      </c:pivotFmt>
      <c:pivotFmt>
        <c:idx val="728"/>
        <c:spPr>
          <a:solidFill>
            <a:schemeClr val="accent6"/>
          </a:solidFill>
          <a:ln>
            <a:noFill/>
          </a:ln>
          <a:effectLst>
            <a:outerShdw blurRad="254000" sx="102000" sy="102000" algn="ctr" rotWithShape="0">
              <a:prstClr val="black">
                <a:alpha val="20000"/>
              </a:prstClr>
            </a:outerShdw>
          </a:effectLst>
        </c:spPr>
      </c:pivotFmt>
      <c:pivotFmt>
        <c:idx val="729"/>
        <c:spPr>
          <a:solidFill>
            <a:schemeClr val="accent6"/>
          </a:solidFill>
          <a:ln>
            <a:noFill/>
          </a:ln>
          <a:effectLst>
            <a:outerShdw blurRad="254000" sx="102000" sy="102000" algn="ctr" rotWithShape="0">
              <a:prstClr val="black">
                <a:alpha val="20000"/>
              </a:prstClr>
            </a:outerShdw>
          </a:effectLst>
        </c:spPr>
      </c:pivotFmt>
      <c:pivotFmt>
        <c:idx val="730"/>
        <c:spPr>
          <a:solidFill>
            <a:schemeClr val="accent6"/>
          </a:solidFill>
          <a:ln>
            <a:noFill/>
          </a:ln>
          <a:effectLst>
            <a:outerShdw blurRad="254000" sx="102000" sy="102000" algn="ctr" rotWithShape="0">
              <a:prstClr val="black">
                <a:alpha val="20000"/>
              </a:prstClr>
            </a:outerShdw>
          </a:effectLst>
        </c:spPr>
      </c:pivotFmt>
      <c:pivotFmt>
        <c:idx val="731"/>
        <c:spPr>
          <a:solidFill>
            <a:schemeClr val="accent6"/>
          </a:solidFill>
          <a:ln>
            <a:noFill/>
          </a:ln>
          <a:effectLst>
            <a:outerShdw blurRad="254000" sx="102000" sy="102000" algn="ctr" rotWithShape="0">
              <a:prstClr val="black">
                <a:alpha val="20000"/>
              </a:prstClr>
            </a:outerShdw>
          </a:effectLst>
        </c:spPr>
      </c:pivotFmt>
      <c:pivotFmt>
        <c:idx val="732"/>
        <c:spPr>
          <a:solidFill>
            <a:schemeClr val="accent6"/>
          </a:solidFill>
          <a:ln>
            <a:noFill/>
          </a:ln>
          <a:effectLst>
            <a:outerShdw blurRad="254000" sx="102000" sy="102000" algn="ctr" rotWithShape="0">
              <a:prstClr val="black">
                <a:alpha val="20000"/>
              </a:prstClr>
            </a:outerShdw>
          </a:effectLst>
        </c:spPr>
      </c:pivotFmt>
      <c:pivotFmt>
        <c:idx val="733"/>
        <c:spPr>
          <a:solidFill>
            <a:schemeClr val="accent6"/>
          </a:solidFill>
          <a:ln>
            <a:noFill/>
          </a:ln>
          <a:effectLst>
            <a:outerShdw blurRad="254000" sx="102000" sy="102000" algn="ctr" rotWithShape="0">
              <a:prstClr val="black">
                <a:alpha val="20000"/>
              </a:prstClr>
            </a:outerShdw>
          </a:effectLst>
        </c:spPr>
      </c:pivotFmt>
      <c:pivotFmt>
        <c:idx val="734"/>
        <c:spPr>
          <a:solidFill>
            <a:schemeClr val="accent6"/>
          </a:solidFill>
          <a:ln>
            <a:noFill/>
          </a:ln>
          <a:effectLst>
            <a:outerShdw blurRad="254000" sx="102000" sy="102000" algn="ctr" rotWithShape="0">
              <a:prstClr val="black">
                <a:alpha val="20000"/>
              </a:prstClr>
            </a:outerShdw>
          </a:effectLst>
        </c:spPr>
      </c:pivotFmt>
      <c:pivotFmt>
        <c:idx val="73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36"/>
        <c:spPr>
          <a:solidFill>
            <a:schemeClr val="accent6"/>
          </a:solidFill>
          <a:ln>
            <a:noFill/>
          </a:ln>
          <a:effectLst>
            <a:outerShdw blurRad="254000" sx="102000" sy="102000" algn="ctr" rotWithShape="0">
              <a:prstClr val="black">
                <a:alpha val="20000"/>
              </a:prstClr>
            </a:outerShdw>
          </a:effectLst>
        </c:spPr>
      </c:pivotFmt>
      <c:pivotFmt>
        <c:idx val="737"/>
        <c:spPr>
          <a:solidFill>
            <a:schemeClr val="accent6"/>
          </a:solidFill>
          <a:ln>
            <a:noFill/>
          </a:ln>
          <a:effectLst>
            <a:outerShdw blurRad="254000" sx="102000" sy="102000" algn="ctr" rotWithShape="0">
              <a:prstClr val="black">
                <a:alpha val="20000"/>
              </a:prstClr>
            </a:outerShdw>
          </a:effectLst>
        </c:spPr>
      </c:pivotFmt>
      <c:pivotFmt>
        <c:idx val="738"/>
        <c:spPr>
          <a:solidFill>
            <a:schemeClr val="accent6"/>
          </a:solidFill>
          <a:ln>
            <a:noFill/>
          </a:ln>
          <a:effectLst>
            <a:outerShdw blurRad="254000" sx="102000" sy="102000" algn="ctr" rotWithShape="0">
              <a:prstClr val="black">
                <a:alpha val="20000"/>
              </a:prstClr>
            </a:outerShdw>
          </a:effectLst>
        </c:spPr>
      </c:pivotFmt>
      <c:pivotFmt>
        <c:idx val="739"/>
        <c:spPr>
          <a:solidFill>
            <a:schemeClr val="accent6"/>
          </a:solidFill>
          <a:ln>
            <a:noFill/>
          </a:ln>
          <a:effectLst>
            <a:outerShdw blurRad="254000" sx="102000" sy="102000" algn="ctr" rotWithShape="0">
              <a:prstClr val="black">
                <a:alpha val="20000"/>
              </a:prstClr>
            </a:outerShdw>
          </a:effectLst>
        </c:spPr>
      </c:pivotFmt>
      <c:pivotFmt>
        <c:idx val="740"/>
        <c:spPr>
          <a:solidFill>
            <a:schemeClr val="accent6"/>
          </a:solidFill>
          <a:ln>
            <a:noFill/>
          </a:ln>
          <a:effectLst>
            <a:outerShdw blurRad="254000" sx="102000" sy="102000" algn="ctr" rotWithShape="0">
              <a:prstClr val="black">
                <a:alpha val="20000"/>
              </a:prstClr>
            </a:outerShdw>
          </a:effectLst>
        </c:spPr>
      </c:pivotFmt>
      <c:pivotFmt>
        <c:idx val="741"/>
        <c:spPr>
          <a:solidFill>
            <a:schemeClr val="accent6"/>
          </a:solidFill>
          <a:ln>
            <a:noFill/>
          </a:ln>
          <a:effectLst>
            <a:outerShdw blurRad="254000" sx="102000" sy="102000" algn="ctr" rotWithShape="0">
              <a:prstClr val="black">
                <a:alpha val="20000"/>
              </a:prstClr>
            </a:outerShdw>
          </a:effectLst>
        </c:spPr>
      </c:pivotFmt>
      <c:pivotFmt>
        <c:idx val="742"/>
        <c:spPr>
          <a:solidFill>
            <a:schemeClr val="accent6"/>
          </a:solidFill>
          <a:ln>
            <a:noFill/>
          </a:ln>
          <a:effectLst>
            <a:outerShdw blurRad="254000" sx="102000" sy="102000" algn="ctr" rotWithShape="0">
              <a:prstClr val="black">
                <a:alpha val="20000"/>
              </a:prstClr>
            </a:outerShdw>
          </a:effectLst>
        </c:spPr>
      </c:pivotFmt>
      <c:pivotFmt>
        <c:idx val="743"/>
        <c:spPr>
          <a:solidFill>
            <a:schemeClr val="accent6"/>
          </a:solidFill>
          <a:ln>
            <a:noFill/>
          </a:ln>
          <a:effectLst>
            <a:outerShdw blurRad="254000" sx="102000" sy="102000" algn="ctr" rotWithShape="0">
              <a:prstClr val="black">
                <a:alpha val="20000"/>
              </a:prstClr>
            </a:outerShdw>
          </a:effectLst>
        </c:spPr>
      </c:pivotFmt>
      <c:pivotFmt>
        <c:idx val="744"/>
        <c:spPr>
          <a:solidFill>
            <a:schemeClr val="accent6"/>
          </a:solidFill>
          <a:ln>
            <a:noFill/>
          </a:ln>
          <a:effectLst>
            <a:outerShdw blurRad="254000" sx="102000" sy="102000" algn="ctr" rotWithShape="0">
              <a:prstClr val="black">
                <a:alpha val="20000"/>
              </a:prstClr>
            </a:outerShdw>
          </a:effectLst>
        </c:spPr>
      </c:pivotFmt>
      <c:pivotFmt>
        <c:idx val="745"/>
        <c:spPr>
          <a:solidFill>
            <a:schemeClr val="accent6"/>
          </a:solidFill>
          <a:ln>
            <a:noFill/>
          </a:ln>
          <a:effectLst>
            <a:outerShdw blurRad="254000" sx="102000" sy="102000" algn="ctr" rotWithShape="0">
              <a:prstClr val="black">
                <a:alpha val="20000"/>
              </a:prstClr>
            </a:outerShdw>
          </a:effectLst>
        </c:spPr>
      </c:pivotFmt>
      <c:pivotFmt>
        <c:idx val="746"/>
        <c:spPr>
          <a:solidFill>
            <a:schemeClr val="accent6"/>
          </a:solidFill>
          <a:ln>
            <a:noFill/>
          </a:ln>
          <a:effectLst>
            <a:outerShdw blurRad="254000" sx="102000" sy="102000" algn="ctr" rotWithShape="0">
              <a:prstClr val="black">
                <a:alpha val="20000"/>
              </a:prstClr>
            </a:outerShdw>
          </a:effectLst>
        </c:spPr>
      </c:pivotFmt>
      <c:pivotFmt>
        <c:idx val="747"/>
        <c:spPr>
          <a:solidFill>
            <a:schemeClr val="accent6"/>
          </a:solidFill>
          <a:ln>
            <a:noFill/>
          </a:ln>
          <a:effectLst>
            <a:outerShdw blurRad="254000" sx="102000" sy="102000" algn="ctr" rotWithShape="0">
              <a:prstClr val="black">
                <a:alpha val="20000"/>
              </a:prstClr>
            </a:outerShdw>
          </a:effectLst>
        </c:spPr>
      </c:pivotFmt>
      <c:pivotFmt>
        <c:idx val="748"/>
        <c:spPr>
          <a:solidFill>
            <a:schemeClr val="accent6"/>
          </a:solidFill>
          <a:ln>
            <a:noFill/>
          </a:ln>
          <a:effectLst>
            <a:outerShdw blurRad="254000" sx="102000" sy="102000" algn="ctr" rotWithShape="0">
              <a:prstClr val="black">
                <a:alpha val="20000"/>
              </a:prstClr>
            </a:outerShdw>
          </a:effectLst>
        </c:spPr>
      </c:pivotFmt>
      <c:pivotFmt>
        <c:idx val="749"/>
        <c:spPr>
          <a:solidFill>
            <a:schemeClr val="accent6"/>
          </a:solidFill>
          <a:ln>
            <a:noFill/>
          </a:ln>
          <a:effectLst>
            <a:outerShdw blurRad="254000" sx="102000" sy="102000" algn="ctr" rotWithShape="0">
              <a:prstClr val="black">
                <a:alpha val="20000"/>
              </a:prstClr>
            </a:outerShdw>
          </a:effectLst>
        </c:spPr>
      </c:pivotFmt>
      <c:pivotFmt>
        <c:idx val="750"/>
        <c:spPr>
          <a:solidFill>
            <a:schemeClr val="accent6"/>
          </a:solidFill>
          <a:ln>
            <a:noFill/>
          </a:ln>
          <a:effectLst>
            <a:outerShdw blurRad="254000" sx="102000" sy="102000" algn="ctr" rotWithShape="0">
              <a:prstClr val="black">
                <a:alpha val="20000"/>
              </a:prstClr>
            </a:outerShdw>
          </a:effectLst>
        </c:spPr>
      </c:pivotFmt>
      <c:pivotFmt>
        <c:idx val="751"/>
        <c:spPr>
          <a:solidFill>
            <a:schemeClr val="accent6"/>
          </a:solidFill>
          <a:ln>
            <a:noFill/>
          </a:ln>
          <a:effectLst>
            <a:outerShdw blurRad="254000" sx="102000" sy="102000" algn="ctr" rotWithShape="0">
              <a:prstClr val="black">
                <a:alpha val="20000"/>
              </a:prstClr>
            </a:outerShdw>
          </a:effectLst>
        </c:spPr>
      </c:pivotFmt>
      <c:pivotFmt>
        <c:idx val="752"/>
        <c:spPr>
          <a:solidFill>
            <a:schemeClr val="accent6"/>
          </a:solidFill>
          <a:ln>
            <a:noFill/>
          </a:ln>
          <a:effectLst>
            <a:outerShdw blurRad="254000" sx="102000" sy="102000" algn="ctr" rotWithShape="0">
              <a:prstClr val="black">
                <a:alpha val="20000"/>
              </a:prstClr>
            </a:outerShdw>
          </a:effectLst>
        </c:spPr>
      </c:pivotFmt>
      <c:pivotFmt>
        <c:idx val="753"/>
        <c:spPr>
          <a:solidFill>
            <a:schemeClr val="accent6"/>
          </a:solidFill>
          <a:ln>
            <a:noFill/>
          </a:ln>
          <a:effectLst>
            <a:outerShdw blurRad="254000" sx="102000" sy="102000" algn="ctr" rotWithShape="0">
              <a:prstClr val="black">
                <a:alpha val="20000"/>
              </a:prstClr>
            </a:outerShdw>
          </a:effectLst>
        </c:spPr>
      </c:pivotFmt>
      <c:pivotFmt>
        <c:idx val="754"/>
        <c:spPr>
          <a:solidFill>
            <a:schemeClr val="accent6"/>
          </a:solidFill>
          <a:ln>
            <a:noFill/>
          </a:ln>
          <a:effectLst>
            <a:outerShdw blurRad="254000" sx="102000" sy="102000" algn="ctr" rotWithShape="0">
              <a:prstClr val="black">
                <a:alpha val="20000"/>
              </a:prstClr>
            </a:outerShdw>
          </a:effectLst>
        </c:spPr>
      </c:pivotFmt>
      <c:pivotFmt>
        <c:idx val="755"/>
        <c:spPr>
          <a:solidFill>
            <a:schemeClr val="accent6"/>
          </a:solidFill>
          <a:ln>
            <a:noFill/>
          </a:ln>
          <a:effectLst>
            <a:outerShdw blurRad="254000" sx="102000" sy="102000" algn="ctr" rotWithShape="0">
              <a:prstClr val="black">
                <a:alpha val="20000"/>
              </a:prstClr>
            </a:outerShdw>
          </a:effectLst>
        </c:spPr>
      </c:pivotFmt>
      <c:pivotFmt>
        <c:idx val="756"/>
        <c:spPr>
          <a:solidFill>
            <a:schemeClr val="accent6"/>
          </a:solidFill>
          <a:ln>
            <a:noFill/>
          </a:ln>
          <a:effectLst>
            <a:outerShdw blurRad="254000" sx="102000" sy="102000" algn="ctr" rotWithShape="0">
              <a:prstClr val="black">
                <a:alpha val="20000"/>
              </a:prstClr>
            </a:outerShdw>
          </a:effectLst>
        </c:spPr>
      </c:pivotFmt>
      <c:pivotFmt>
        <c:idx val="757"/>
        <c:spPr>
          <a:solidFill>
            <a:schemeClr val="accent6"/>
          </a:solidFill>
          <a:ln>
            <a:noFill/>
          </a:ln>
          <a:effectLst>
            <a:outerShdw blurRad="254000" sx="102000" sy="102000" algn="ctr" rotWithShape="0">
              <a:prstClr val="black">
                <a:alpha val="20000"/>
              </a:prstClr>
            </a:outerShdw>
          </a:effectLst>
        </c:spPr>
      </c:pivotFmt>
      <c:pivotFmt>
        <c:idx val="75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59"/>
        <c:spPr>
          <a:solidFill>
            <a:schemeClr val="accent6"/>
          </a:solidFill>
          <a:ln>
            <a:noFill/>
          </a:ln>
          <a:effectLst>
            <a:outerShdw blurRad="254000" sx="102000" sy="102000" algn="ctr" rotWithShape="0">
              <a:prstClr val="black">
                <a:alpha val="20000"/>
              </a:prstClr>
            </a:outerShdw>
          </a:effectLst>
        </c:spPr>
      </c:pivotFmt>
      <c:pivotFmt>
        <c:idx val="760"/>
        <c:spPr>
          <a:solidFill>
            <a:schemeClr val="accent6"/>
          </a:solidFill>
          <a:ln>
            <a:noFill/>
          </a:ln>
          <a:effectLst>
            <a:outerShdw blurRad="254000" sx="102000" sy="102000" algn="ctr" rotWithShape="0">
              <a:prstClr val="black">
                <a:alpha val="20000"/>
              </a:prstClr>
            </a:outerShdw>
          </a:effectLst>
        </c:spPr>
      </c:pivotFmt>
      <c:pivotFmt>
        <c:idx val="761"/>
        <c:spPr>
          <a:solidFill>
            <a:schemeClr val="accent6"/>
          </a:solidFill>
          <a:ln>
            <a:noFill/>
          </a:ln>
          <a:effectLst>
            <a:outerShdw blurRad="254000" sx="102000" sy="102000" algn="ctr" rotWithShape="0">
              <a:prstClr val="black">
                <a:alpha val="20000"/>
              </a:prstClr>
            </a:outerShdw>
          </a:effectLst>
        </c:spPr>
      </c:pivotFmt>
      <c:pivotFmt>
        <c:idx val="762"/>
        <c:spPr>
          <a:solidFill>
            <a:schemeClr val="accent6"/>
          </a:solidFill>
          <a:ln>
            <a:noFill/>
          </a:ln>
          <a:effectLst>
            <a:outerShdw blurRad="254000" sx="102000" sy="102000" algn="ctr" rotWithShape="0">
              <a:prstClr val="black">
                <a:alpha val="20000"/>
              </a:prstClr>
            </a:outerShdw>
          </a:effectLst>
        </c:spPr>
      </c:pivotFmt>
      <c:pivotFmt>
        <c:idx val="763"/>
        <c:spPr>
          <a:solidFill>
            <a:schemeClr val="accent6"/>
          </a:solidFill>
          <a:ln>
            <a:noFill/>
          </a:ln>
          <a:effectLst>
            <a:outerShdw blurRad="254000" sx="102000" sy="102000" algn="ctr" rotWithShape="0">
              <a:prstClr val="black">
                <a:alpha val="20000"/>
              </a:prstClr>
            </a:outerShdw>
          </a:effectLst>
        </c:spPr>
      </c:pivotFmt>
      <c:pivotFmt>
        <c:idx val="764"/>
        <c:spPr>
          <a:solidFill>
            <a:schemeClr val="accent6"/>
          </a:solidFill>
          <a:ln>
            <a:noFill/>
          </a:ln>
          <a:effectLst>
            <a:outerShdw blurRad="254000" sx="102000" sy="102000" algn="ctr" rotWithShape="0">
              <a:prstClr val="black">
                <a:alpha val="20000"/>
              </a:prstClr>
            </a:outerShdw>
          </a:effectLst>
        </c:spPr>
      </c:pivotFmt>
      <c:pivotFmt>
        <c:idx val="765"/>
        <c:spPr>
          <a:solidFill>
            <a:schemeClr val="accent6"/>
          </a:solidFill>
          <a:ln>
            <a:noFill/>
          </a:ln>
          <a:effectLst>
            <a:outerShdw blurRad="254000" sx="102000" sy="102000" algn="ctr" rotWithShape="0">
              <a:prstClr val="black">
                <a:alpha val="20000"/>
              </a:prstClr>
            </a:outerShdw>
          </a:effectLst>
        </c:spPr>
      </c:pivotFmt>
      <c:pivotFmt>
        <c:idx val="766"/>
        <c:spPr>
          <a:solidFill>
            <a:schemeClr val="accent6"/>
          </a:solidFill>
          <a:ln>
            <a:noFill/>
          </a:ln>
          <a:effectLst>
            <a:outerShdw blurRad="254000" sx="102000" sy="102000" algn="ctr" rotWithShape="0">
              <a:prstClr val="black">
                <a:alpha val="20000"/>
              </a:prstClr>
            </a:outerShdw>
          </a:effectLst>
        </c:spPr>
      </c:pivotFmt>
      <c:pivotFmt>
        <c:idx val="767"/>
        <c:spPr>
          <a:solidFill>
            <a:schemeClr val="accent6"/>
          </a:solidFill>
          <a:ln>
            <a:noFill/>
          </a:ln>
          <a:effectLst>
            <a:outerShdw blurRad="254000" sx="102000" sy="102000" algn="ctr" rotWithShape="0">
              <a:prstClr val="black">
                <a:alpha val="20000"/>
              </a:prstClr>
            </a:outerShdw>
          </a:effectLst>
        </c:spPr>
      </c:pivotFmt>
      <c:pivotFmt>
        <c:idx val="768"/>
        <c:spPr>
          <a:solidFill>
            <a:schemeClr val="accent6"/>
          </a:solidFill>
          <a:ln>
            <a:noFill/>
          </a:ln>
          <a:effectLst>
            <a:outerShdw blurRad="254000" sx="102000" sy="102000" algn="ctr" rotWithShape="0">
              <a:prstClr val="black">
                <a:alpha val="20000"/>
              </a:prstClr>
            </a:outerShdw>
          </a:effectLst>
        </c:spPr>
      </c:pivotFmt>
      <c:pivotFmt>
        <c:idx val="769"/>
        <c:spPr>
          <a:solidFill>
            <a:schemeClr val="accent6"/>
          </a:solidFill>
          <a:ln>
            <a:noFill/>
          </a:ln>
          <a:effectLst>
            <a:outerShdw blurRad="254000" sx="102000" sy="102000" algn="ctr" rotWithShape="0">
              <a:prstClr val="black">
                <a:alpha val="20000"/>
              </a:prstClr>
            </a:outerShdw>
          </a:effectLst>
        </c:spPr>
      </c:pivotFmt>
      <c:pivotFmt>
        <c:idx val="77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71"/>
        <c:spPr>
          <a:solidFill>
            <a:schemeClr val="accent6"/>
          </a:solidFill>
          <a:ln>
            <a:noFill/>
          </a:ln>
          <a:effectLst>
            <a:outerShdw blurRad="254000" sx="102000" sy="102000" algn="ctr" rotWithShape="0">
              <a:prstClr val="black">
                <a:alpha val="20000"/>
              </a:prstClr>
            </a:outerShdw>
          </a:effectLst>
        </c:spPr>
      </c:pivotFmt>
      <c:pivotFmt>
        <c:idx val="772"/>
        <c:spPr>
          <a:solidFill>
            <a:schemeClr val="accent6"/>
          </a:solidFill>
          <a:ln>
            <a:noFill/>
          </a:ln>
          <a:effectLst>
            <a:outerShdw blurRad="254000" sx="102000" sy="102000" algn="ctr" rotWithShape="0">
              <a:prstClr val="black">
                <a:alpha val="20000"/>
              </a:prstClr>
            </a:outerShdw>
          </a:effectLst>
        </c:spPr>
      </c:pivotFmt>
      <c:pivotFmt>
        <c:idx val="773"/>
        <c:spPr>
          <a:solidFill>
            <a:schemeClr val="accent6"/>
          </a:solidFill>
          <a:ln>
            <a:noFill/>
          </a:ln>
          <a:effectLst>
            <a:outerShdw blurRad="254000" sx="102000" sy="102000" algn="ctr" rotWithShape="0">
              <a:prstClr val="black">
                <a:alpha val="20000"/>
              </a:prstClr>
            </a:outerShdw>
          </a:effectLst>
        </c:spPr>
      </c:pivotFmt>
      <c:pivotFmt>
        <c:idx val="774"/>
        <c:spPr>
          <a:solidFill>
            <a:schemeClr val="accent6"/>
          </a:solidFill>
          <a:ln>
            <a:noFill/>
          </a:ln>
          <a:effectLst>
            <a:outerShdw blurRad="254000" sx="102000" sy="102000" algn="ctr" rotWithShape="0">
              <a:prstClr val="black">
                <a:alpha val="20000"/>
              </a:prstClr>
            </a:outerShdw>
          </a:effectLst>
        </c:spPr>
      </c:pivotFmt>
      <c:pivotFmt>
        <c:idx val="775"/>
        <c:spPr>
          <a:solidFill>
            <a:schemeClr val="accent6"/>
          </a:solidFill>
          <a:ln>
            <a:noFill/>
          </a:ln>
          <a:effectLst>
            <a:outerShdw blurRad="254000" sx="102000" sy="102000" algn="ctr" rotWithShape="0">
              <a:prstClr val="black">
                <a:alpha val="20000"/>
              </a:prstClr>
            </a:outerShdw>
          </a:effectLst>
        </c:spPr>
      </c:pivotFmt>
      <c:pivotFmt>
        <c:idx val="776"/>
        <c:spPr>
          <a:solidFill>
            <a:schemeClr val="accent6"/>
          </a:solidFill>
          <a:ln>
            <a:noFill/>
          </a:ln>
          <a:effectLst>
            <a:outerShdw blurRad="254000" sx="102000" sy="102000" algn="ctr" rotWithShape="0">
              <a:prstClr val="black">
                <a:alpha val="20000"/>
              </a:prstClr>
            </a:outerShdw>
          </a:effectLst>
        </c:spPr>
      </c:pivotFmt>
      <c:pivotFmt>
        <c:idx val="777"/>
        <c:spPr>
          <a:solidFill>
            <a:schemeClr val="accent6"/>
          </a:solidFill>
          <a:ln>
            <a:noFill/>
          </a:ln>
          <a:effectLst>
            <a:outerShdw blurRad="254000" sx="102000" sy="102000" algn="ctr" rotWithShape="0">
              <a:prstClr val="black">
                <a:alpha val="20000"/>
              </a:prstClr>
            </a:outerShdw>
          </a:effectLst>
        </c:spPr>
      </c:pivotFmt>
      <c:pivotFmt>
        <c:idx val="778"/>
        <c:spPr>
          <a:solidFill>
            <a:schemeClr val="accent6"/>
          </a:solidFill>
          <a:ln>
            <a:noFill/>
          </a:ln>
          <a:effectLst>
            <a:outerShdw blurRad="254000" sx="102000" sy="102000" algn="ctr" rotWithShape="0">
              <a:prstClr val="black">
                <a:alpha val="20000"/>
              </a:prstClr>
            </a:outerShdw>
          </a:effectLst>
        </c:spPr>
      </c:pivotFmt>
      <c:pivotFmt>
        <c:idx val="779"/>
        <c:spPr>
          <a:solidFill>
            <a:schemeClr val="accent6"/>
          </a:solidFill>
          <a:ln>
            <a:noFill/>
          </a:ln>
          <a:effectLst>
            <a:outerShdw blurRad="254000" sx="102000" sy="102000" algn="ctr" rotWithShape="0">
              <a:prstClr val="black">
                <a:alpha val="20000"/>
              </a:prstClr>
            </a:outerShdw>
          </a:effectLst>
        </c:spPr>
      </c:pivotFmt>
      <c:pivotFmt>
        <c:idx val="780"/>
        <c:spPr>
          <a:solidFill>
            <a:schemeClr val="accent6"/>
          </a:solidFill>
          <a:ln>
            <a:noFill/>
          </a:ln>
          <a:effectLst>
            <a:outerShdw blurRad="254000" sx="102000" sy="102000" algn="ctr" rotWithShape="0">
              <a:prstClr val="black">
                <a:alpha val="20000"/>
              </a:prstClr>
            </a:outerShdw>
          </a:effectLst>
        </c:spPr>
      </c:pivotFmt>
      <c:pivotFmt>
        <c:idx val="781"/>
        <c:spPr>
          <a:solidFill>
            <a:schemeClr val="accent6"/>
          </a:solidFill>
          <a:ln>
            <a:noFill/>
          </a:ln>
          <a:effectLst>
            <a:outerShdw blurRad="254000" sx="102000" sy="102000" algn="ctr" rotWithShape="0">
              <a:prstClr val="black">
                <a:alpha val="20000"/>
              </a:prstClr>
            </a:outerShdw>
          </a:effectLst>
        </c:spPr>
      </c:pivotFmt>
      <c:pivotFmt>
        <c:idx val="78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83"/>
        <c:spPr>
          <a:solidFill>
            <a:schemeClr val="accent6"/>
          </a:solidFill>
          <a:ln>
            <a:noFill/>
          </a:ln>
          <a:effectLst>
            <a:outerShdw blurRad="254000" sx="102000" sy="102000" algn="ctr" rotWithShape="0">
              <a:prstClr val="black">
                <a:alpha val="20000"/>
              </a:prstClr>
            </a:outerShdw>
          </a:effectLst>
        </c:spPr>
      </c:pivotFmt>
      <c:pivotFmt>
        <c:idx val="784"/>
        <c:spPr>
          <a:solidFill>
            <a:schemeClr val="accent6"/>
          </a:solidFill>
          <a:ln>
            <a:noFill/>
          </a:ln>
          <a:effectLst>
            <a:outerShdw blurRad="254000" sx="102000" sy="102000" algn="ctr" rotWithShape="0">
              <a:prstClr val="black">
                <a:alpha val="20000"/>
              </a:prstClr>
            </a:outerShdw>
          </a:effectLst>
        </c:spPr>
      </c:pivotFmt>
      <c:pivotFmt>
        <c:idx val="785"/>
        <c:spPr>
          <a:solidFill>
            <a:schemeClr val="accent6"/>
          </a:solidFill>
          <a:ln>
            <a:noFill/>
          </a:ln>
          <a:effectLst>
            <a:outerShdw blurRad="254000" sx="102000" sy="102000" algn="ctr" rotWithShape="0">
              <a:prstClr val="black">
                <a:alpha val="20000"/>
              </a:prstClr>
            </a:outerShdw>
          </a:effectLst>
        </c:spPr>
      </c:pivotFmt>
      <c:pivotFmt>
        <c:idx val="786"/>
        <c:spPr>
          <a:solidFill>
            <a:schemeClr val="accent6"/>
          </a:solidFill>
          <a:ln>
            <a:noFill/>
          </a:ln>
          <a:effectLst>
            <a:outerShdw blurRad="254000" sx="102000" sy="102000" algn="ctr" rotWithShape="0">
              <a:prstClr val="black">
                <a:alpha val="20000"/>
              </a:prstClr>
            </a:outerShdw>
          </a:effectLst>
        </c:spPr>
      </c:pivotFmt>
      <c:pivotFmt>
        <c:idx val="787"/>
        <c:spPr>
          <a:solidFill>
            <a:schemeClr val="accent6"/>
          </a:solidFill>
          <a:ln>
            <a:noFill/>
          </a:ln>
          <a:effectLst>
            <a:outerShdw blurRad="254000" sx="102000" sy="102000" algn="ctr" rotWithShape="0">
              <a:prstClr val="black">
                <a:alpha val="20000"/>
              </a:prstClr>
            </a:outerShdw>
          </a:effectLst>
        </c:spPr>
      </c:pivotFmt>
      <c:pivotFmt>
        <c:idx val="788"/>
        <c:spPr>
          <a:solidFill>
            <a:schemeClr val="accent6"/>
          </a:solidFill>
          <a:ln>
            <a:noFill/>
          </a:ln>
          <a:effectLst>
            <a:outerShdw blurRad="254000" sx="102000" sy="102000" algn="ctr" rotWithShape="0">
              <a:prstClr val="black">
                <a:alpha val="20000"/>
              </a:prstClr>
            </a:outerShdw>
          </a:effectLst>
        </c:spPr>
      </c:pivotFmt>
      <c:pivotFmt>
        <c:idx val="789"/>
        <c:spPr>
          <a:solidFill>
            <a:schemeClr val="accent6"/>
          </a:solidFill>
          <a:ln>
            <a:noFill/>
          </a:ln>
          <a:effectLst>
            <a:outerShdw blurRad="254000" sx="102000" sy="102000" algn="ctr" rotWithShape="0">
              <a:prstClr val="black">
                <a:alpha val="20000"/>
              </a:prstClr>
            </a:outerShdw>
          </a:effectLst>
        </c:spPr>
      </c:pivotFmt>
      <c:pivotFmt>
        <c:idx val="790"/>
        <c:spPr>
          <a:solidFill>
            <a:schemeClr val="accent6"/>
          </a:solidFill>
          <a:ln>
            <a:noFill/>
          </a:ln>
          <a:effectLst>
            <a:outerShdw blurRad="254000" sx="102000" sy="102000" algn="ctr" rotWithShape="0">
              <a:prstClr val="black">
                <a:alpha val="20000"/>
              </a:prstClr>
            </a:outerShdw>
          </a:effectLst>
        </c:spPr>
      </c:pivotFmt>
      <c:pivotFmt>
        <c:idx val="791"/>
        <c:spPr>
          <a:solidFill>
            <a:schemeClr val="accent6"/>
          </a:solidFill>
          <a:ln>
            <a:noFill/>
          </a:ln>
          <a:effectLst>
            <a:outerShdw blurRad="254000" sx="102000" sy="102000" algn="ctr" rotWithShape="0">
              <a:prstClr val="black">
                <a:alpha val="20000"/>
              </a:prstClr>
            </a:outerShdw>
          </a:effectLst>
        </c:spPr>
      </c:pivotFmt>
      <c:pivotFmt>
        <c:idx val="792"/>
        <c:spPr>
          <a:solidFill>
            <a:schemeClr val="accent6"/>
          </a:solidFill>
          <a:ln>
            <a:noFill/>
          </a:ln>
          <a:effectLst>
            <a:outerShdw blurRad="254000" sx="102000" sy="102000" algn="ctr" rotWithShape="0">
              <a:prstClr val="black">
                <a:alpha val="20000"/>
              </a:prstClr>
            </a:outerShdw>
          </a:effectLst>
        </c:spPr>
      </c:pivotFmt>
      <c:pivotFmt>
        <c:idx val="793"/>
        <c:spPr>
          <a:solidFill>
            <a:schemeClr val="accent6"/>
          </a:solidFill>
          <a:ln>
            <a:noFill/>
          </a:ln>
          <a:effectLst>
            <a:outerShdw blurRad="254000" sx="102000" sy="102000" algn="ctr" rotWithShape="0">
              <a:prstClr val="black">
                <a:alpha val="20000"/>
              </a:prstClr>
            </a:outerShdw>
          </a:effectLst>
        </c:spPr>
      </c:pivotFmt>
      <c:pivotFmt>
        <c:idx val="79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95"/>
        <c:spPr>
          <a:solidFill>
            <a:schemeClr val="accent6"/>
          </a:solidFill>
          <a:ln>
            <a:noFill/>
          </a:ln>
          <a:effectLst>
            <a:outerShdw blurRad="254000" sx="102000" sy="102000" algn="ctr" rotWithShape="0">
              <a:prstClr val="black">
                <a:alpha val="20000"/>
              </a:prstClr>
            </a:outerShdw>
          </a:effectLst>
        </c:spPr>
      </c:pivotFmt>
      <c:pivotFmt>
        <c:idx val="796"/>
        <c:spPr>
          <a:solidFill>
            <a:schemeClr val="accent6"/>
          </a:solidFill>
          <a:ln>
            <a:noFill/>
          </a:ln>
          <a:effectLst>
            <a:outerShdw blurRad="254000" sx="102000" sy="102000" algn="ctr" rotWithShape="0">
              <a:prstClr val="black">
                <a:alpha val="20000"/>
              </a:prstClr>
            </a:outerShdw>
          </a:effectLst>
        </c:spPr>
      </c:pivotFmt>
      <c:pivotFmt>
        <c:idx val="797"/>
        <c:spPr>
          <a:solidFill>
            <a:schemeClr val="accent6"/>
          </a:solidFill>
          <a:ln>
            <a:noFill/>
          </a:ln>
          <a:effectLst>
            <a:outerShdw blurRad="254000" sx="102000" sy="102000" algn="ctr" rotWithShape="0">
              <a:prstClr val="black">
                <a:alpha val="20000"/>
              </a:prstClr>
            </a:outerShdw>
          </a:effectLst>
        </c:spPr>
      </c:pivotFmt>
      <c:pivotFmt>
        <c:idx val="798"/>
        <c:spPr>
          <a:solidFill>
            <a:schemeClr val="accent6"/>
          </a:solidFill>
          <a:ln>
            <a:noFill/>
          </a:ln>
          <a:effectLst>
            <a:outerShdw blurRad="254000" sx="102000" sy="102000" algn="ctr" rotWithShape="0">
              <a:prstClr val="black">
                <a:alpha val="20000"/>
              </a:prstClr>
            </a:outerShdw>
          </a:effectLst>
        </c:spPr>
      </c:pivotFmt>
      <c:pivotFmt>
        <c:idx val="799"/>
        <c:spPr>
          <a:solidFill>
            <a:schemeClr val="accent6"/>
          </a:solidFill>
          <a:ln>
            <a:noFill/>
          </a:ln>
          <a:effectLst>
            <a:outerShdw blurRad="254000" sx="102000" sy="102000" algn="ctr" rotWithShape="0">
              <a:prstClr val="black">
                <a:alpha val="20000"/>
              </a:prstClr>
            </a:outerShdw>
          </a:effectLst>
        </c:spPr>
      </c:pivotFmt>
      <c:pivotFmt>
        <c:idx val="800"/>
        <c:spPr>
          <a:solidFill>
            <a:schemeClr val="accent6"/>
          </a:solidFill>
          <a:ln>
            <a:noFill/>
          </a:ln>
          <a:effectLst>
            <a:outerShdw blurRad="254000" sx="102000" sy="102000" algn="ctr" rotWithShape="0">
              <a:prstClr val="black">
                <a:alpha val="20000"/>
              </a:prstClr>
            </a:outerShdw>
          </a:effectLst>
        </c:spPr>
      </c:pivotFmt>
      <c:pivotFmt>
        <c:idx val="801"/>
        <c:spPr>
          <a:solidFill>
            <a:schemeClr val="accent6"/>
          </a:solidFill>
          <a:ln>
            <a:noFill/>
          </a:ln>
          <a:effectLst>
            <a:outerShdw blurRad="254000" sx="102000" sy="102000" algn="ctr" rotWithShape="0">
              <a:prstClr val="black">
                <a:alpha val="20000"/>
              </a:prstClr>
            </a:outerShdw>
          </a:effectLst>
        </c:spPr>
      </c:pivotFmt>
      <c:pivotFmt>
        <c:idx val="802"/>
        <c:spPr>
          <a:solidFill>
            <a:schemeClr val="accent6"/>
          </a:solidFill>
          <a:ln>
            <a:noFill/>
          </a:ln>
          <a:effectLst>
            <a:outerShdw blurRad="254000" sx="102000" sy="102000" algn="ctr" rotWithShape="0">
              <a:prstClr val="black">
                <a:alpha val="20000"/>
              </a:prstClr>
            </a:outerShdw>
          </a:effectLst>
        </c:spPr>
      </c:pivotFmt>
      <c:pivotFmt>
        <c:idx val="803"/>
        <c:spPr>
          <a:solidFill>
            <a:schemeClr val="accent6"/>
          </a:solidFill>
          <a:ln>
            <a:noFill/>
          </a:ln>
          <a:effectLst>
            <a:outerShdw blurRad="254000" sx="102000" sy="102000" algn="ctr" rotWithShape="0">
              <a:prstClr val="black">
                <a:alpha val="20000"/>
              </a:prstClr>
            </a:outerShdw>
          </a:effectLst>
        </c:spPr>
      </c:pivotFmt>
      <c:pivotFmt>
        <c:idx val="804"/>
        <c:spPr>
          <a:solidFill>
            <a:schemeClr val="accent6"/>
          </a:solidFill>
          <a:ln>
            <a:noFill/>
          </a:ln>
          <a:effectLst>
            <a:outerShdw blurRad="254000" sx="102000" sy="102000" algn="ctr" rotWithShape="0">
              <a:prstClr val="black">
                <a:alpha val="20000"/>
              </a:prstClr>
            </a:outerShdw>
          </a:effectLst>
        </c:spPr>
      </c:pivotFmt>
      <c:pivotFmt>
        <c:idx val="805"/>
        <c:spPr>
          <a:solidFill>
            <a:schemeClr val="accent6"/>
          </a:solidFill>
          <a:ln>
            <a:noFill/>
          </a:ln>
          <a:effectLst>
            <a:outerShdw blurRad="254000" sx="102000" sy="102000" algn="ctr" rotWithShape="0">
              <a:prstClr val="black">
                <a:alpha val="20000"/>
              </a:prstClr>
            </a:outerShdw>
          </a:effectLst>
        </c:spPr>
      </c:pivotFmt>
      <c:pivotFmt>
        <c:idx val="80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07"/>
        <c:spPr>
          <a:solidFill>
            <a:schemeClr val="accent6"/>
          </a:solidFill>
          <a:ln>
            <a:noFill/>
          </a:ln>
          <a:effectLst>
            <a:outerShdw blurRad="254000" sx="102000" sy="102000" algn="ctr" rotWithShape="0">
              <a:prstClr val="black">
                <a:alpha val="20000"/>
              </a:prstClr>
            </a:outerShdw>
          </a:effectLst>
        </c:spPr>
      </c:pivotFmt>
      <c:pivotFmt>
        <c:idx val="808"/>
        <c:spPr>
          <a:solidFill>
            <a:schemeClr val="accent6"/>
          </a:solidFill>
          <a:ln>
            <a:noFill/>
          </a:ln>
          <a:effectLst>
            <a:outerShdw blurRad="254000" sx="102000" sy="102000" algn="ctr" rotWithShape="0">
              <a:prstClr val="black">
                <a:alpha val="20000"/>
              </a:prstClr>
            </a:outerShdw>
          </a:effectLst>
        </c:spPr>
      </c:pivotFmt>
      <c:pivotFmt>
        <c:idx val="809"/>
        <c:spPr>
          <a:solidFill>
            <a:schemeClr val="accent6"/>
          </a:solidFill>
          <a:ln>
            <a:noFill/>
          </a:ln>
          <a:effectLst>
            <a:outerShdw blurRad="254000" sx="102000" sy="102000" algn="ctr" rotWithShape="0">
              <a:prstClr val="black">
                <a:alpha val="20000"/>
              </a:prstClr>
            </a:outerShdw>
          </a:effectLst>
        </c:spPr>
      </c:pivotFmt>
      <c:pivotFmt>
        <c:idx val="810"/>
        <c:spPr>
          <a:solidFill>
            <a:schemeClr val="accent6"/>
          </a:solidFill>
          <a:ln>
            <a:noFill/>
          </a:ln>
          <a:effectLst>
            <a:outerShdw blurRad="254000" sx="102000" sy="102000" algn="ctr" rotWithShape="0">
              <a:prstClr val="black">
                <a:alpha val="20000"/>
              </a:prstClr>
            </a:outerShdw>
          </a:effectLst>
        </c:spPr>
      </c:pivotFmt>
      <c:pivotFmt>
        <c:idx val="811"/>
        <c:spPr>
          <a:solidFill>
            <a:schemeClr val="accent6"/>
          </a:solidFill>
          <a:ln>
            <a:noFill/>
          </a:ln>
          <a:effectLst>
            <a:outerShdw blurRad="254000" sx="102000" sy="102000" algn="ctr" rotWithShape="0">
              <a:prstClr val="black">
                <a:alpha val="20000"/>
              </a:prstClr>
            </a:outerShdw>
          </a:effectLst>
        </c:spPr>
      </c:pivotFmt>
      <c:pivotFmt>
        <c:idx val="812"/>
        <c:spPr>
          <a:solidFill>
            <a:schemeClr val="accent6"/>
          </a:solidFill>
          <a:ln>
            <a:noFill/>
          </a:ln>
          <a:effectLst>
            <a:outerShdw blurRad="254000" sx="102000" sy="102000" algn="ctr" rotWithShape="0">
              <a:prstClr val="black">
                <a:alpha val="20000"/>
              </a:prstClr>
            </a:outerShdw>
          </a:effectLst>
        </c:spPr>
      </c:pivotFmt>
      <c:pivotFmt>
        <c:idx val="813"/>
        <c:spPr>
          <a:solidFill>
            <a:schemeClr val="accent6"/>
          </a:solidFill>
          <a:ln>
            <a:noFill/>
          </a:ln>
          <a:effectLst>
            <a:outerShdw blurRad="254000" sx="102000" sy="102000" algn="ctr" rotWithShape="0">
              <a:prstClr val="black">
                <a:alpha val="20000"/>
              </a:prstClr>
            </a:outerShdw>
          </a:effectLst>
        </c:spPr>
      </c:pivotFmt>
      <c:pivotFmt>
        <c:idx val="814"/>
        <c:spPr>
          <a:solidFill>
            <a:schemeClr val="accent6"/>
          </a:solidFill>
          <a:ln>
            <a:noFill/>
          </a:ln>
          <a:effectLst>
            <a:outerShdw blurRad="254000" sx="102000" sy="102000" algn="ctr" rotWithShape="0">
              <a:prstClr val="black">
                <a:alpha val="20000"/>
              </a:prstClr>
            </a:outerShdw>
          </a:effectLst>
        </c:spPr>
      </c:pivotFmt>
      <c:pivotFmt>
        <c:idx val="815"/>
        <c:spPr>
          <a:solidFill>
            <a:schemeClr val="accent6"/>
          </a:solidFill>
          <a:ln>
            <a:noFill/>
          </a:ln>
          <a:effectLst>
            <a:outerShdw blurRad="254000" sx="102000" sy="102000" algn="ctr" rotWithShape="0">
              <a:prstClr val="black">
                <a:alpha val="20000"/>
              </a:prstClr>
            </a:outerShdw>
          </a:effectLst>
        </c:spPr>
      </c:pivotFmt>
      <c:pivotFmt>
        <c:idx val="816"/>
        <c:spPr>
          <a:solidFill>
            <a:schemeClr val="accent6"/>
          </a:solidFill>
          <a:ln>
            <a:noFill/>
          </a:ln>
          <a:effectLst>
            <a:outerShdw blurRad="254000" sx="102000" sy="102000" algn="ctr" rotWithShape="0">
              <a:prstClr val="black">
                <a:alpha val="20000"/>
              </a:prstClr>
            </a:outerShdw>
          </a:effectLst>
        </c:spPr>
      </c:pivotFmt>
      <c:pivotFmt>
        <c:idx val="817"/>
        <c:spPr>
          <a:solidFill>
            <a:schemeClr val="accent6"/>
          </a:solidFill>
          <a:ln>
            <a:noFill/>
          </a:ln>
          <a:effectLst>
            <a:outerShdw blurRad="254000" sx="102000" sy="102000" algn="ctr" rotWithShape="0">
              <a:prstClr val="black">
                <a:alpha val="20000"/>
              </a:prstClr>
            </a:outerShdw>
          </a:effectLst>
        </c:spPr>
      </c:pivotFmt>
      <c:pivotFmt>
        <c:idx val="81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1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3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4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5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6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70"/>
        <c:spPr>
          <a:solidFill>
            <a:schemeClr val="accent6"/>
          </a:solidFill>
          <a:ln>
            <a:noFill/>
          </a:ln>
          <a:effectLst>
            <a:outerShdw blurRad="254000" sx="102000" sy="102000" algn="ctr" rotWithShape="0">
              <a:prstClr val="black">
                <a:alpha val="20000"/>
              </a:prstClr>
            </a:outerShdw>
          </a:effectLst>
        </c:spPr>
      </c:pivotFmt>
      <c:pivotFmt>
        <c:idx val="871"/>
        <c:spPr>
          <a:solidFill>
            <a:schemeClr val="accent6"/>
          </a:solidFill>
          <a:ln>
            <a:noFill/>
          </a:ln>
          <a:effectLst>
            <a:outerShdw blurRad="254000" sx="102000" sy="102000" algn="ctr" rotWithShape="0">
              <a:prstClr val="black">
                <a:alpha val="20000"/>
              </a:prstClr>
            </a:outerShdw>
          </a:effectLst>
        </c:spPr>
      </c:pivotFmt>
      <c:pivotFmt>
        <c:idx val="872"/>
        <c:spPr>
          <a:solidFill>
            <a:schemeClr val="accent6"/>
          </a:solidFill>
          <a:ln>
            <a:noFill/>
          </a:ln>
          <a:effectLst>
            <a:outerShdw blurRad="254000" sx="102000" sy="102000" algn="ctr" rotWithShape="0">
              <a:prstClr val="black">
                <a:alpha val="20000"/>
              </a:prstClr>
            </a:outerShdw>
          </a:effectLst>
        </c:spPr>
      </c:pivotFmt>
      <c:pivotFmt>
        <c:idx val="873"/>
        <c:spPr>
          <a:solidFill>
            <a:schemeClr val="accent6"/>
          </a:solidFill>
          <a:ln>
            <a:noFill/>
          </a:ln>
          <a:effectLst>
            <a:outerShdw blurRad="254000" sx="102000" sy="102000" algn="ctr" rotWithShape="0">
              <a:prstClr val="black">
                <a:alpha val="20000"/>
              </a:prstClr>
            </a:outerShdw>
          </a:effectLst>
        </c:spPr>
      </c:pivotFmt>
      <c:pivotFmt>
        <c:idx val="874"/>
        <c:spPr>
          <a:solidFill>
            <a:schemeClr val="accent6"/>
          </a:solidFill>
          <a:ln>
            <a:noFill/>
          </a:ln>
          <a:effectLst>
            <a:outerShdw blurRad="254000" sx="102000" sy="102000" algn="ctr" rotWithShape="0">
              <a:prstClr val="black">
                <a:alpha val="20000"/>
              </a:prstClr>
            </a:outerShdw>
          </a:effectLst>
        </c:spPr>
      </c:pivotFmt>
      <c:pivotFmt>
        <c:idx val="875"/>
        <c:spPr>
          <a:solidFill>
            <a:schemeClr val="accent6"/>
          </a:solidFill>
          <a:ln>
            <a:noFill/>
          </a:ln>
          <a:effectLst>
            <a:outerShdw blurRad="254000" sx="102000" sy="102000" algn="ctr" rotWithShape="0">
              <a:prstClr val="black">
                <a:alpha val="20000"/>
              </a:prstClr>
            </a:outerShdw>
          </a:effectLst>
        </c:spPr>
      </c:pivotFmt>
      <c:pivotFmt>
        <c:idx val="876"/>
        <c:spPr>
          <a:solidFill>
            <a:schemeClr val="accent6"/>
          </a:solidFill>
          <a:ln>
            <a:noFill/>
          </a:ln>
          <a:effectLst>
            <a:outerShdw blurRad="254000" sx="102000" sy="102000" algn="ctr" rotWithShape="0">
              <a:prstClr val="black">
                <a:alpha val="20000"/>
              </a:prstClr>
            </a:outerShdw>
          </a:effectLst>
        </c:spPr>
      </c:pivotFmt>
      <c:pivotFmt>
        <c:idx val="877"/>
        <c:spPr>
          <a:solidFill>
            <a:schemeClr val="accent6"/>
          </a:solidFill>
          <a:ln>
            <a:noFill/>
          </a:ln>
          <a:effectLst>
            <a:outerShdw blurRad="254000" sx="102000" sy="102000" algn="ctr" rotWithShape="0">
              <a:prstClr val="black">
                <a:alpha val="20000"/>
              </a:prstClr>
            </a:outerShdw>
          </a:effectLst>
        </c:spPr>
      </c:pivotFmt>
      <c:pivotFmt>
        <c:idx val="878"/>
        <c:spPr>
          <a:solidFill>
            <a:schemeClr val="accent6"/>
          </a:solidFill>
          <a:ln>
            <a:noFill/>
          </a:ln>
          <a:effectLst>
            <a:outerShdw blurRad="254000" sx="102000" sy="102000" algn="ctr" rotWithShape="0">
              <a:prstClr val="black">
                <a:alpha val="20000"/>
              </a:prstClr>
            </a:outerShdw>
          </a:effectLst>
        </c:spPr>
      </c:pivotFmt>
      <c:pivotFmt>
        <c:idx val="879"/>
        <c:spPr>
          <a:solidFill>
            <a:schemeClr val="accent6"/>
          </a:solidFill>
          <a:ln>
            <a:noFill/>
          </a:ln>
          <a:effectLst>
            <a:outerShdw blurRad="254000" sx="102000" sy="102000" algn="ctr" rotWithShape="0">
              <a:prstClr val="black">
                <a:alpha val="20000"/>
              </a:prstClr>
            </a:outerShdw>
          </a:effectLst>
        </c:spPr>
      </c:pivotFmt>
      <c:pivotFmt>
        <c:idx val="88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82"/>
        <c:spPr>
          <a:solidFill>
            <a:schemeClr val="accent6"/>
          </a:solidFill>
          <a:ln>
            <a:noFill/>
          </a:ln>
          <a:effectLst>
            <a:outerShdw blurRad="254000" sx="102000" sy="102000" algn="ctr" rotWithShape="0">
              <a:prstClr val="black">
                <a:alpha val="20000"/>
              </a:prstClr>
            </a:outerShdw>
          </a:effectLst>
        </c:spPr>
      </c:pivotFmt>
      <c:pivotFmt>
        <c:idx val="883"/>
        <c:spPr>
          <a:solidFill>
            <a:schemeClr val="accent6"/>
          </a:solidFill>
          <a:ln>
            <a:noFill/>
          </a:ln>
          <a:effectLst>
            <a:outerShdw blurRad="254000" sx="102000" sy="102000" algn="ctr" rotWithShape="0">
              <a:prstClr val="black">
                <a:alpha val="20000"/>
              </a:prstClr>
            </a:outerShdw>
          </a:effectLst>
        </c:spPr>
      </c:pivotFmt>
      <c:pivotFmt>
        <c:idx val="884"/>
        <c:spPr>
          <a:solidFill>
            <a:schemeClr val="accent6"/>
          </a:solidFill>
          <a:ln>
            <a:noFill/>
          </a:ln>
          <a:effectLst>
            <a:outerShdw blurRad="254000" sx="102000" sy="102000" algn="ctr" rotWithShape="0">
              <a:prstClr val="black">
                <a:alpha val="20000"/>
              </a:prstClr>
            </a:outerShdw>
          </a:effectLst>
        </c:spPr>
      </c:pivotFmt>
      <c:pivotFmt>
        <c:idx val="885"/>
        <c:spPr>
          <a:solidFill>
            <a:schemeClr val="accent6"/>
          </a:solidFill>
          <a:ln>
            <a:noFill/>
          </a:ln>
          <a:effectLst>
            <a:outerShdw blurRad="254000" sx="102000" sy="102000" algn="ctr" rotWithShape="0">
              <a:prstClr val="black">
                <a:alpha val="20000"/>
              </a:prstClr>
            </a:outerShdw>
          </a:effectLst>
        </c:spPr>
      </c:pivotFmt>
      <c:pivotFmt>
        <c:idx val="886"/>
        <c:spPr>
          <a:solidFill>
            <a:schemeClr val="accent6"/>
          </a:solidFill>
          <a:ln>
            <a:noFill/>
          </a:ln>
          <a:effectLst>
            <a:outerShdw blurRad="254000" sx="102000" sy="102000" algn="ctr" rotWithShape="0">
              <a:prstClr val="black">
                <a:alpha val="20000"/>
              </a:prstClr>
            </a:outerShdw>
          </a:effectLst>
        </c:spPr>
      </c:pivotFmt>
      <c:pivotFmt>
        <c:idx val="887"/>
        <c:spPr>
          <a:solidFill>
            <a:schemeClr val="accent6"/>
          </a:solidFill>
          <a:ln>
            <a:noFill/>
          </a:ln>
          <a:effectLst>
            <a:outerShdw blurRad="254000" sx="102000" sy="102000" algn="ctr" rotWithShape="0">
              <a:prstClr val="black">
                <a:alpha val="20000"/>
              </a:prstClr>
            </a:outerShdw>
          </a:effectLst>
        </c:spPr>
      </c:pivotFmt>
      <c:pivotFmt>
        <c:idx val="888"/>
        <c:spPr>
          <a:solidFill>
            <a:schemeClr val="accent6"/>
          </a:solidFill>
          <a:ln>
            <a:noFill/>
          </a:ln>
          <a:effectLst>
            <a:outerShdw blurRad="254000" sx="102000" sy="102000" algn="ctr" rotWithShape="0">
              <a:prstClr val="black">
                <a:alpha val="20000"/>
              </a:prstClr>
            </a:outerShdw>
          </a:effectLst>
        </c:spPr>
      </c:pivotFmt>
      <c:pivotFmt>
        <c:idx val="889"/>
        <c:spPr>
          <a:solidFill>
            <a:schemeClr val="accent6"/>
          </a:solidFill>
          <a:ln>
            <a:noFill/>
          </a:ln>
          <a:effectLst>
            <a:outerShdw blurRad="254000" sx="102000" sy="102000" algn="ctr" rotWithShape="0">
              <a:prstClr val="black">
                <a:alpha val="20000"/>
              </a:prstClr>
            </a:outerShdw>
          </a:effectLst>
        </c:spPr>
      </c:pivotFmt>
      <c:pivotFmt>
        <c:idx val="890"/>
        <c:spPr>
          <a:solidFill>
            <a:schemeClr val="accent6"/>
          </a:solidFill>
          <a:ln>
            <a:noFill/>
          </a:ln>
          <a:effectLst>
            <a:outerShdw blurRad="254000" sx="102000" sy="102000" algn="ctr" rotWithShape="0">
              <a:prstClr val="black">
                <a:alpha val="20000"/>
              </a:prstClr>
            </a:outerShdw>
          </a:effectLst>
        </c:spPr>
      </c:pivotFmt>
      <c:pivotFmt>
        <c:idx val="891"/>
        <c:spPr>
          <a:solidFill>
            <a:schemeClr val="accent6"/>
          </a:solidFill>
          <a:ln>
            <a:noFill/>
          </a:ln>
          <a:effectLst>
            <a:outerShdw blurRad="254000" sx="102000" sy="102000" algn="ctr" rotWithShape="0">
              <a:prstClr val="black">
                <a:alpha val="20000"/>
              </a:prstClr>
            </a:outerShdw>
          </a:effectLst>
        </c:spPr>
      </c:pivotFmt>
      <c:pivotFmt>
        <c:idx val="8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9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9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9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9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9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9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9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00"/>
        <c:spPr>
          <a:solidFill>
            <a:schemeClr val="accent6"/>
          </a:solidFill>
          <a:ln>
            <a:noFill/>
          </a:ln>
          <a:effectLst>
            <a:outerShdw blurRad="254000" sx="102000" sy="102000" algn="ctr" rotWithShape="0">
              <a:prstClr val="black">
                <a:alpha val="20000"/>
              </a:prstClr>
            </a:outerShdw>
          </a:effectLst>
        </c:spPr>
      </c:pivotFmt>
      <c:pivotFmt>
        <c:idx val="901"/>
        <c:spPr>
          <a:solidFill>
            <a:schemeClr val="accent6"/>
          </a:solidFill>
          <a:ln>
            <a:noFill/>
          </a:ln>
          <a:effectLst>
            <a:outerShdw blurRad="254000" sx="102000" sy="102000" algn="ctr" rotWithShape="0">
              <a:prstClr val="black">
                <a:alpha val="20000"/>
              </a:prstClr>
            </a:outerShdw>
          </a:effectLst>
        </c:spPr>
      </c:pivotFmt>
      <c:pivotFmt>
        <c:idx val="902"/>
        <c:spPr>
          <a:solidFill>
            <a:schemeClr val="accent6"/>
          </a:solidFill>
          <a:ln>
            <a:noFill/>
          </a:ln>
          <a:effectLst>
            <a:outerShdw blurRad="254000" sx="102000" sy="102000" algn="ctr" rotWithShape="0">
              <a:prstClr val="black">
                <a:alpha val="20000"/>
              </a:prstClr>
            </a:outerShdw>
          </a:effectLst>
        </c:spPr>
      </c:pivotFmt>
      <c:pivotFmt>
        <c:idx val="903"/>
        <c:spPr>
          <a:solidFill>
            <a:schemeClr val="accent6"/>
          </a:solidFill>
          <a:ln>
            <a:noFill/>
          </a:ln>
          <a:effectLst>
            <a:outerShdw blurRad="254000" sx="102000" sy="102000" algn="ctr" rotWithShape="0">
              <a:prstClr val="black">
                <a:alpha val="20000"/>
              </a:prstClr>
            </a:outerShdw>
          </a:effectLst>
        </c:spPr>
      </c:pivotFmt>
      <c:pivotFmt>
        <c:idx val="904"/>
        <c:spPr>
          <a:solidFill>
            <a:schemeClr val="accent6"/>
          </a:solidFill>
          <a:ln>
            <a:noFill/>
          </a:ln>
          <a:effectLst>
            <a:outerShdw blurRad="254000" sx="102000" sy="102000" algn="ctr" rotWithShape="0">
              <a:prstClr val="black">
                <a:alpha val="20000"/>
              </a:prstClr>
            </a:outerShdw>
          </a:effectLst>
        </c:spPr>
      </c:pivotFmt>
      <c:pivotFmt>
        <c:idx val="905"/>
        <c:spPr>
          <a:solidFill>
            <a:schemeClr val="accent6"/>
          </a:solidFill>
          <a:ln>
            <a:noFill/>
          </a:ln>
          <a:effectLst>
            <a:outerShdw blurRad="254000" sx="102000" sy="102000" algn="ctr" rotWithShape="0">
              <a:prstClr val="black">
                <a:alpha val="20000"/>
              </a:prstClr>
            </a:outerShdw>
          </a:effectLst>
        </c:spPr>
      </c:pivotFmt>
      <c:pivotFmt>
        <c:idx val="906"/>
        <c:spPr>
          <a:solidFill>
            <a:schemeClr val="accent6"/>
          </a:solidFill>
          <a:ln>
            <a:noFill/>
          </a:ln>
          <a:effectLst>
            <a:outerShdw blurRad="254000" sx="102000" sy="102000" algn="ctr" rotWithShape="0">
              <a:prstClr val="black">
                <a:alpha val="20000"/>
              </a:prstClr>
            </a:outerShdw>
          </a:effectLst>
        </c:spPr>
      </c:pivotFmt>
      <c:pivotFmt>
        <c:idx val="907"/>
        <c:spPr>
          <a:solidFill>
            <a:schemeClr val="accent6"/>
          </a:solidFill>
          <a:ln>
            <a:noFill/>
          </a:ln>
          <a:effectLst>
            <a:outerShdw blurRad="254000" sx="102000" sy="102000" algn="ctr" rotWithShape="0">
              <a:prstClr val="black">
                <a:alpha val="20000"/>
              </a:prstClr>
            </a:outerShdw>
          </a:effectLst>
        </c:spPr>
      </c:pivotFmt>
      <c:pivotFmt>
        <c:idx val="908"/>
        <c:spPr>
          <a:solidFill>
            <a:schemeClr val="accent6"/>
          </a:solidFill>
          <a:ln>
            <a:noFill/>
          </a:ln>
          <a:effectLst>
            <a:outerShdw blurRad="254000" sx="102000" sy="102000" algn="ctr" rotWithShape="0">
              <a:prstClr val="black">
                <a:alpha val="20000"/>
              </a:prstClr>
            </a:outerShdw>
          </a:effectLst>
        </c:spPr>
      </c:pivotFmt>
      <c:pivotFmt>
        <c:idx val="90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1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1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1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1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1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1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1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1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1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1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2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2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2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2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2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2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2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2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2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2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3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31"/>
        <c:spPr>
          <a:solidFill>
            <a:schemeClr val="accent6"/>
          </a:solidFill>
          <a:ln>
            <a:noFill/>
          </a:ln>
          <a:effectLst>
            <a:outerShdw blurRad="254000" sx="102000" sy="102000" algn="ctr" rotWithShape="0">
              <a:prstClr val="black">
                <a:alpha val="20000"/>
              </a:prstClr>
            </a:outerShdw>
          </a:effectLst>
        </c:spPr>
      </c:pivotFmt>
      <c:pivotFmt>
        <c:idx val="932"/>
        <c:spPr>
          <a:solidFill>
            <a:schemeClr val="accent6"/>
          </a:solidFill>
          <a:ln>
            <a:noFill/>
          </a:ln>
          <a:effectLst>
            <a:outerShdw blurRad="254000" sx="102000" sy="102000" algn="ctr" rotWithShape="0">
              <a:prstClr val="black">
                <a:alpha val="20000"/>
              </a:prstClr>
            </a:outerShdw>
          </a:effectLst>
        </c:spPr>
      </c:pivotFmt>
      <c:pivotFmt>
        <c:idx val="933"/>
        <c:spPr>
          <a:solidFill>
            <a:schemeClr val="accent6"/>
          </a:solidFill>
          <a:ln>
            <a:noFill/>
          </a:ln>
          <a:effectLst>
            <a:outerShdw blurRad="254000" sx="102000" sy="102000" algn="ctr" rotWithShape="0">
              <a:prstClr val="black">
                <a:alpha val="20000"/>
              </a:prstClr>
            </a:outerShdw>
          </a:effectLst>
        </c:spPr>
      </c:pivotFmt>
      <c:pivotFmt>
        <c:idx val="934"/>
        <c:spPr>
          <a:solidFill>
            <a:schemeClr val="accent6"/>
          </a:solidFill>
          <a:ln>
            <a:noFill/>
          </a:ln>
          <a:effectLst>
            <a:outerShdw blurRad="254000" sx="102000" sy="102000" algn="ctr" rotWithShape="0">
              <a:prstClr val="black">
                <a:alpha val="20000"/>
              </a:prstClr>
            </a:outerShdw>
          </a:effectLst>
        </c:spPr>
      </c:pivotFmt>
      <c:pivotFmt>
        <c:idx val="935"/>
        <c:spPr>
          <a:solidFill>
            <a:schemeClr val="accent6"/>
          </a:solidFill>
          <a:ln>
            <a:noFill/>
          </a:ln>
          <a:effectLst>
            <a:outerShdw blurRad="254000" sx="102000" sy="102000" algn="ctr" rotWithShape="0">
              <a:prstClr val="black">
                <a:alpha val="20000"/>
              </a:prstClr>
            </a:outerShdw>
          </a:effectLst>
        </c:spPr>
      </c:pivotFmt>
      <c:pivotFmt>
        <c:idx val="936"/>
        <c:spPr>
          <a:solidFill>
            <a:schemeClr val="accent6"/>
          </a:solidFill>
          <a:ln>
            <a:noFill/>
          </a:ln>
          <a:effectLst>
            <a:outerShdw blurRad="254000" sx="102000" sy="102000" algn="ctr" rotWithShape="0">
              <a:prstClr val="black">
                <a:alpha val="20000"/>
              </a:prstClr>
            </a:outerShdw>
          </a:effectLst>
        </c:spPr>
      </c:pivotFmt>
      <c:pivotFmt>
        <c:idx val="937"/>
        <c:spPr>
          <a:solidFill>
            <a:schemeClr val="accent6"/>
          </a:solidFill>
          <a:ln>
            <a:noFill/>
          </a:ln>
          <a:effectLst>
            <a:outerShdw blurRad="254000" sx="102000" sy="102000" algn="ctr" rotWithShape="0">
              <a:prstClr val="black">
                <a:alpha val="20000"/>
              </a:prstClr>
            </a:outerShdw>
          </a:effectLst>
        </c:spPr>
      </c:pivotFmt>
      <c:pivotFmt>
        <c:idx val="938"/>
        <c:spPr>
          <a:solidFill>
            <a:schemeClr val="accent6"/>
          </a:solidFill>
          <a:ln>
            <a:noFill/>
          </a:ln>
          <a:effectLst>
            <a:outerShdw blurRad="254000" sx="102000" sy="102000" algn="ctr" rotWithShape="0">
              <a:prstClr val="black">
                <a:alpha val="20000"/>
              </a:prstClr>
            </a:outerShdw>
          </a:effectLst>
        </c:spPr>
      </c:pivotFmt>
      <c:pivotFmt>
        <c:idx val="939"/>
        <c:spPr>
          <a:solidFill>
            <a:schemeClr val="accent6"/>
          </a:solidFill>
          <a:ln>
            <a:noFill/>
          </a:ln>
          <a:effectLst>
            <a:outerShdw blurRad="254000" sx="102000" sy="102000" algn="ctr" rotWithShape="0">
              <a:prstClr val="black">
                <a:alpha val="20000"/>
              </a:prstClr>
            </a:outerShdw>
          </a:effectLst>
        </c:spPr>
      </c:pivotFmt>
      <c:pivotFmt>
        <c:idx val="940"/>
        <c:spPr>
          <a:solidFill>
            <a:schemeClr val="accent6"/>
          </a:solidFill>
          <a:ln>
            <a:noFill/>
          </a:ln>
          <a:effectLst>
            <a:outerShdw blurRad="254000" sx="102000" sy="102000" algn="ctr" rotWithShape="0">
              <a:prstClr val="black">
                <a:alpha val="20000"/>
              </a:prstClr>
            </a:outerShdw>
          </a:effectLst>
        </c:spPr>
      </c:pivotFmt>
      <c:pivotFmt>
        <c:idx val="941"/>
        <c:spPr>
          <a:solidFill>
            <a:schemeClr val="accent6"/>
          </a:solidFill>
          <a:ln>
            <a:noFill/>
          </a:ln>
          <a:effectLst>
            <a:outerShdw blurRad="254000" sx="102000" sy="102000" algn="ctr" rotWithShape="0">
              <a:prstClr val="black">
                <a:alpha val="20000"/>
              </a:prstClr>
            </a:outerShdw>
          </a:effectLst>
        </c:spPr>
      </c:pivotFmt>
      <c:pivotFmt>
        <c:idx val="942"/>
        <c:spPr>
          <a:solidFill>
            <a:schemeClr val="accent6"/>
          </a:solidFill>
          <a:ln>
            <a:noFill/>
          </a:ln>
          <a:effectLst>
            <a:outerShdw blurRad="254000" sx="102000" sy="102000" algn="ctr" rotWithShape="0">
              <a:prstClr val="black">
                <a:alpha val="20000"/>
              </a:prstClr>
            </a:outerShdw>
          </a:effectLst>
        </c:spPr>
      </c:pivotFmt>
      <c:pivotFmt>
        <c:idx val="943"/>
        <c:spPr>
          <a:solidFill>
            <a:schemeClr val="accent6"/>
          </a:solidFill>
          <a:ln>
            <a:noFill/>
          </a:ln>
          <a:effectLst>
            <a:outerShdw blurRad="254000" sx="102000" sy="102000" algn="ctr" rotWithShape="0">
              <a:prstClr val="black">
                <a:alpha val="20000"/>
              </a:prstClr>
            </a:outerShdw>
          </a:effectLst>
        </c:spPr>
      </c:pivotFmt>
      <c:pivotFmt>
        <c:idx val="944"/>
        <c:spPr>
          <a:solidFill>
            <a:schemeClr val="accent6"/>
          </a:solidFill>
          <a:ln>
            <a:noFill/>
          </a:ln>
          <a:effectLst>
            <a:outerShdw blurRad="254000" sx="102000" sy="102000" algn="ctr" rotWithShape="0">
              <a:prstClr val="black">
                <a:alpha val="20000"/>
              </a:prstClr>
            </a:outerShdw>
          </a:effectLst>
        </c:spPr>
      </c:pivotFmt>
      <c:pivotFmt>
        <c:idx val="945"/>
        <c:spPr>
          <a:solidFill>
            <a:schemeClr val="accent6"/>
          </a:solidFill>
          <a:ln>
            <a:noFill/>
          </a:ln>
          <a:effectLst>
            <a:outerShdw blurRad="254000" sx="102000" sy="102000" algn="ctr" rotWithShape="0">
              <a:prstClr val="black">
                <a:alpha val="20000"/>
              </a:prstClr>
            </a:outerShdw>
          </a:effectLst>
        </c:spPr>
      </c:pivotFmt>
      <c:pivotFmt>
        <c:idx val="946"/>
        <c:spPr>
          <a:solidFill>
            <a:schemeClr val="accent6"/>
          </a:solidFill>
          <a:ln>
            <a:noFill/>
          </a:ln>
          <a:effectLst>
            <a:outerShdw blurRad="254000" sx="102000" sy="102000" algn="ctr" rotWithShape="0">
              <a:prstClr val="black">
                <a:alpha val="20000"/>
              </a:prstClr>
            </a:outerShdw>
          </a:effectLst>
        </c:spPr>
      </c:pivotFmt>
      <c:pivotFmt>
        <c:idx val="947"/>
        <c:spPr>
          <a:solidFill>
            <a:schemeClr val="accent6"/>
          </a:solidFill>
          <a:ln>
            <a:noFill/>
          </a:ln>
          <a:effectLst>
            <a:outerShdw blurRad="254000" sx="102000" sy="102000" algn="ctr" rotWithShape="0">
              <a:prstClr val="black">
                <a:alpha val="20000"/>
              </a:prstClr>
            </a:outerShdw>
          </a:effectLst>
        </c:spPr>
      </c:pivotFmt>
      <c:pivotFmt>
        <c:idx val="948"/>
        <c:spPr>
          <a:solidFill>
            <a:schemeClr val="accent6"/>
          </a:solidFill>
          <a:ln>
            <a:noFill/>
          </a:ln>
          <a:effectLst>
            <a:outerShdw blurRad="254000" sx="102000" sy="102000" algn="ctr" rotWithShape="0">
              <a:prstClr val="black">
                <a:alpha val="20000"/>
              </a:prstClr>
            </a:outerShdw>
          </a:effectLst>
        </c:spPr>
      </c:pivotFmt>
      <c:pivotFmt>
        <c:idx val="94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5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6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6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6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6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6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6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67"/>
        <c:spPr>
          <a:solidFill>
            <a:schemeClr val="accent6"/>
          </a:solidFill>
          <a:ln>
            <a:noFill/>
          </a:ln>
          <a:effectLst>
            <a:outerShdw blurRad="254000" sx="102000" sy="102000" algn="ctr" rotWithShape="0">
              <a:prstClr val="black">
                <a:alpha val="20000"/>
              </a:prstClr>
            </a:outerShdw>
          </a:effectLst>
        </c:spPr>
      </c:pivotFmt>
      <c:pivotFmt>
        <c:idx val="968"/>
        <c:spPr>
          <a:solidFill>
            <a:schemeClr val="accent6"/>
          </a:solidFill>
          <a:ln>
            <a:noFill/>
          </a:ln>
          <a:effectLst>
            <a:outerShdw blurRad="254000" sx="102000" sy="102000" algn="ctr" rotWithShape="0">
              <a:prstClr val="black">
                <a:alpha val="20000"/>
              </a:prstClr>
            </a:outerShdw>
          </a:effectLst>
        </c:spPr>
      </c:pivotFmt>
      <c:pivotFmt>
        <c:idx val="969"/>
        <c:spPr>
          <a:solidFill>
            <a:schemeClr val="accent6"/>
          </a:solidFill>
          <a:ln>
            <a:noFill/>
          </a:ln>
          <a:effectLst>
            <a:outerShdw blurRad="254000" sx="102000" sy="102000" algn="ctr" rotWithShape="0">
              <a:prstClr val="black">
                <a:alpha val="20000"/>
              </a:prstClr>
            </a:outerShdw>
          </a:effectLst>
        </c:spPr>
      </c:pivotFmt>
      <c:pivotFmt>
        <c:idx val="970"/>
        <c:spPr>
          <a:solidFill>
            <a:schemeClr val="accent6"/>
          </a:solidFill>
          <a:ln>
            <a:noFill/>
          </a:ln>
          <a:effectLst>
            <a:outerShdw blurRad="254000" sx="102000" sy="102000" algn="ctr" rotWithShape="0">
              <a:prstClr val="black">
                <a:alpha val="20000"/>
              </a:prstClr>
            </a:outerShdw>
          </a:effectLst>
        </c:spPr>
      </c:pivotFmt>
      <c:pivotFmt>
        <c:idx val="971"/>
        <c:spPr>
          <a:solidFill>
            <a:schemeClr val="accent6"/>
          </a:solidFill>
          <a:ln>
            <a:noFill/>
          </a:ln>
          <a:effectLst>
            <a:outerShdw blurRad="254000" sx="102000" sy="102000" algn="ctr" rotWithShape="0">
              <a:prstClr val="black">
                <a:alpha val="20000"/>
              </a:prstClr>
            </a:outerShdw>
          </a:effectLst>
        </c:spPr>
      </c:pivotFmt>
      <c:pivotFmt>
        <c:idx val="972"/>
        <c:spPr>
          <a:solidFill>
            <a:schemeClr val="accent6"/>
          </a:solidFill>
          <a:ln>
            <a:noFill/>
          </a:ln>
          <a:effectLst>
            <a:outerShdw blurRad="254000" sx="102000" sy="102000" algn="ctr" rotWithShape="0">
              <a:prstClr val="black">
                <a:alpha val="20000"/>
              </a:prstClr>
            </a:outerShdw>
          </a:effectLst>
        </c:spPr>
      </c:pivotFmt>
      <c:pivotFmt>
        <c:idx val="973"/>
        <c:spPr>
          <a:solidFill>
            <a:schemeClr val="accent6"/>
          </a:solidFill>
          <a:ln>
            <a:noFill/>
          </a:ln>
          <a:effectLst>
            <a:outerShdw blurRad="254000" sx="102000" sy="102000" algn="ctr" rotWithShape="0">
              <a:prstClr val="black">
                <a:alpha val="20000"/>
              </a:prstClr>
            </a:outerShdw>
          </a:effectLst>
        </c:spPr>
      </c:pivotFmt>
      <c:pivotFmt>
        <c:idx val="974"/>
        <c:spPr>
          <a:solidFill>
            <a:schemeClr val="accent6"/>
          </a:solidFill>
          <a:ln>
            <a:noFill/>
          </a:ln>
          <a:effectLst>
            <a:outerShdw blurRad="254000" sx="102000" sy="102000" algn="ctr" rotWithShape="0">
              <a:prstClr val="black">
                <a:alpha val="20000"/>
              </a:prstClr>
            </a:outerShdw>
          </a:effectLst>
        </c:spPr>
      </c:pivotFmt>
      <c:pivotFmt>
        <c:idx val="975"/>
        <c:spPr>
          <a:solidFill>
            <a:schemeClr val="accent6"/>
          </a:solidFill>
          <a:ln>
            <a:noFill/>
          </a:ln>
          <a:effectLst>
            <a:outerShdw blurRad="254000" sx="102000" sy="102000" algn="ctr" rotWithShape="0">
              <a:prstClr val="black">
                <a:alpha val="20000"/>
              </a:prstClr>
            </a:outerShdw>
          </a:effectLst>
        </c:spPr>
      </c:pivotFmt>
      <c:pivotFmt>
        <c:idx val="976"/>
        <c:spPr>
          <a:solidFill>
            <a:schemeClr val="accent6"/>
          </a:solidFill>
          <a:ln>
            <a:noFill/>
          </a:ln>
          <a:effectLst>
            <a:outerShdw blurRad="254000" sx="102000" sy="102000" algn="ctr" rotWithShape="0">
              <a:prstClr val="black">
                <a:alpha val="20000"/>
              </a:prstClr>
            </a:outerShdw>
          </a:effectLst>
        </c:spPr>
      </c:pivotFmt>
      <c:pivotFmt>
        <c:idx val="977"/>
        <c:spPr>
          <a:solidFill>
            <a:schemeClr val="accent6"/>
          </a:solidFill>
          <a:ln>
            <a:noFill/>
          </a:ln>
          <a:effectLst>
            <a:outerShdw blurRad="254000" sx="102000" sy="102000" algn="ctr" rotWithShape="0">
              <a:prstClr val="black">
                <a:alpha val="20000"/>
              </a:prstClr>
            </a:outerShdw>
          </a:effectLst>
        </c:spPr>
      </c:pivotFmt>
      <c:pivotFmt>
        <c:idx val="978"/>
        <c:spPr>
          <a:solidFill>
            <a:schemeClr val="accent6"/>
          </a:solidFill>
          <a:ln>
            <a:noFill/>
          </a:ln>
          <a:effectLst>
            <a:outerShdw blurRad="254000" sx="102000" sy="102000" algn="ctr" rotWithShape="0">
              <a:prstClr val="black">
                <a:alpha val="20000"/>
              </a:prstClr>
            </a:outerShdw>
          </a:effectLst>
        </c:spPr>
      </c:pivotFmt>
      <c:pivotFmt>
        <c:idx val="979"/>
        <c:spPr>
          <a:solidFill>
            <a:schemeClr val="accent6"/>
          </a:solidFill>
          <a:ln>
            <a:noFill/>
          </a:ln>
          <a:effectLst>
            <a:outerShdw blurRad="254000" sx="102000" sy="102000" algn="ctr" rotWithShape="0">
              <a:prstClr val="black">
                <a:alpha val="20000"/>
              </a:prstClr>
            </a:outerShdw>
          </a:effectLst>
        </c:spPr>
      </c:pivotFmt>
      <c:pivotFmt>
        <c:idx val="980"/>
        <c:spPr>
          <a:solidFill>
            <a:schemeClr val="accent6"/>
          </a:solidFill>
          <a:ln>
            <a:noFill/>
          </a:ln>
          <a:effectLst>
            <a:outerShdw blurRad="254000" sx="102000" sy="102000" algn="ctr" rotWithShape="0">
              <a:prstClr val="black">
                <a:alpha val="20000"/>
              </a:prstClr>
            </a:outerShdw>
          </a:effectLst>
        </c:spPr>
      </c:pivotFmt>
      <c:pivotFmt>
        <c:idx val="981"/>
        <c:spPr>
          <a:solidFill>
            <a:schemeClr val="accent6"/>
          </a:solidFill>
          <a:ln>
            <a:noFill/>
          </a:ln>
          <a:effectLst>
            <a:outerShdw blurRad="254000" sx="102000" sy="102000" algn="ctr" rotWithShape="0">
              <a:prstClr val="black">
                <a:alpha val="20000"/>
              </a:prstClr>
            </a:outerShdw>
          </a:effectLst>
        </c:spPr>
      </c:pivotFmt>
      <c:pivotFmt>
        <c:idx val="982"/>
        <c:spPr>
          <a:solidFill>
            <a:schemeClr val="accent6"/>
          </a:solidFill>
          <a:ln>
            <a:noFill/>
          </a:ln>
          <a:effectLst>
            <a:outerShdw blurRad="254000" sx="102000" sy="102000" algn="ctr" rotWithShape="0">
              <a:prstClr val="black">
                <a:alpha val="20000"/>
              </a:prstClr>
            </a:outerShdw>
          </a:effectLst>
        </c:spPr>
      </c:pivotFmt>
      <c:pivotFmt>
        <c:idx val="983"/>
        <c:spPr>
          <a:solidFill>
            <a:schemeClr val="accent6"/>
          </a:solidFill>
          <a:ln>
            <a:noFill/>
          </a:ln>
          <a:effectLst>
            <a:outerShdw blurRad="254000" sx="102000" sy="102000" algn="ctr" rotWithShape="0">
              <a:prstClr val="black">
                <a:alpha val="20000"/>
              </a:prstClr>
            </a:outerShdw>
          </a:effectLst>
        </c:spPr>
      </c:pivotFmt>
      <c:pivotFmt>
        <c:idx val="984"/>
        <c:spPr>
          <a:solidFill>
            <a:schemeClr val="accent6"/>
          </a:solidFill>
          <a:ln>
            <a:noFill/>
          </a:ln>
          <a:effectLst>
            <a:outerShdw blurRad="254000" sx="102000" sy="102000" algn="ctr" rotWithShape="0">
              <a:prstClr val="black">
                <a:alpha val="20000"/>
              </a:prstClr>
            </a:outerShdw>
          </a:effectLst>
        </c:spPr>
      </c:pivotFmt>
      <c:pivotFmt>
        <c:idx val="985"/>
        <c:spPr>
          <a:solidFill>
            <a:schemeClr val="accent6"/>
          </a:solidFill>
          <a:ln>
            <a:noFill/>
          </a:ln>
          <a:effectLst>
            <a:outerShdw blurRad="254000" sx="102000" sy="102000" algn="ctr" rotWithShape="0">
              <a:prstClr val="black">
                <a:alpha val="20000"/>
              </a:prstClr>
            </a:outerShdw>
          </a:effectLst>
        </c:spPr>
      </c:pivotFmt>
      <c:pivotFmt>
        <c:idx val="986"/>
        <c:spPr>
          <a:solidFill>
            <a:schemeClr val="accent6"/>
          </a:solidFill>
          <a:ln>
            <a:noFill/>
          </a:ln>
          <a:effectLst>
            <a:outerShdw blurRad="254000" sx="102000" sy="102000" algn="ctr" rotWithShape="0">
              <a:prstClr val="black">
                <a:alpha val="20000"/>
              </a:prstClr>
            </a:outerShdw>
          </a:effectLst>
        </c:spPr>
      </c:pivotFmt>
      <c:pivotFmt>
        <c:idx val="987"/>
        <c:spPr>
          <a:solidFill>
            <a:schemeClr val="accent6"/>
          </a:solidFill>
          <a:ln>
            <a:noFill/>
          </a:ln>
          <a:effectLst>
            <a:outerShdw blurRad="254000" sx="102000" sy="102000" algn="ctr" rotWithShape="0">
              <a:prstClr val="black">
                <a:alpha val="20000"/>
              </a:prstClr>
            </a:outerShdw>
          </a:effectLst>
        </c:spPr>
      </c:pivotFmt>
      <c:pivotFmt>
        <c:idx val="988"/>
        <c:spPr>
          <a:solidFill>
            <a:schemeClr val="accent6"/>
          </a:solidFill>
          <a:ln>
            <a:noFill/>
          </a:ln>
          <a:effectLst>
            <a:outerShdw blurRad="254000" sx="102000" sy="102000" algn="ctr" rotWithShape="0">
              <a:prstClr val="black">
                <a:alpha val="20000"/>
              </a:prstClr>
            </a:outerShdw>
          </a:effectLst>
        </c:spPr>
      </c:pivotFmt>
      <c:pivotFmt>
        <c:idx val="989"/>
        <c:spPr>
          <a:solidFill>
            <a:schemeClr val="accent6"/>
          </a:solidFill>
          <a:ln>
            <a:noFill/>
          </a:ln>
          <a:effectLst>
            <a:outerShdw blurRad="254000" sx="102000" sy="102000" algn="ctr" rotWithShape="0">
              <a:prstClr val="black">
                <a:alpha val="20000"/>
              </a:prstClr>
            </a:outerShdw>
          </a:effectLst>
        </c:spPr>
      </c:pivotFmt>
      <c:pivotFmt>
        <c:idx val="990"/>
        <c:spPr>
          <a:solidFill>
            <a:schemeClr val="accent6"/>
          </a:solidFill>
          <a:ln>
            <a:noFill/>
          </a:ln>
          <a:effectLst>
            <a:outerShdw blurRad="254000" sx="102000" sy="102000" algn="ctr" rotWithShape="0">
              <a:prstClr val="black">
                <a:alpha val="20000"/>
              </a:prstClr>
            </a:outerShdw>
          </a:effectLst>
        </c:spPr>
      </c:pivotFmt>
      <c:pivotFmt>
        <c:idx val="991"/>
        <c:spPr>
          <a:solidFill>
            <a:schemeClr val="accent6"/>
          </a:solidFill>
          <a:ln>
            <a:noFill/>
          </a:ln>
          <a:effectLst>
            <a:outerShdw blurRad="254000" sx="102000" sy="102000" algn="ctr" rotWithShape="0">
              <a:prstClr val="black">
                <a:alpha val="20000"/>
              </a:prstClr>
            </a:outerShdw>
          </a:effectLst>
        </c:spPr>
      </c:pivotFmt>
      <c:pivotFmt>
        <c:idx val="992"/>
        <c:spPr>
          <a:solidFill>
            <a:schemeClr val="accent6"/>
          </a:solidFill>
          <a:ln>
            <a:noFill/>
          </a:ln>
          <a:effectLst>
            <a:outerShdw blurRad="254000" sx="102000" sy="102000" algn="ctr" rotWithShape="0">
              <a:prstClr val="black">
                <a:alpha val="20000"/>
              </a:prstClr>
            </a:outerShdw>
          </a:effectLst>
        </c:spPr>
      </c:pivotFmt>
      <c:pivotFmt>
        <c:idx val="993"/>
        <c:spPr>
          <a:solidFill>
            <a:schemeClr val="accent6"/>
          </a:solidFill>
          <a:ln>
            <a:noFill/>
          </a:ln>
          <a:effectLst>
            <a:outerShdw blurRad="254000" sx="102000" sy="102000" algn="ctr" rotWithShape="0">
              <a:prstClr val="black">
                <a:alpha val="20000"/>
              </a:prstClr>
            </a:outerShdw>
          </a:effectLst>
        </c:spPr>
      </c:pivotFmt>
      <c:pivotFmt>
        <c:idx val="994"/>
        <c:spPr>
          <a:solidFill>
            <a:schemeClr val="accent6"/>
          </a:solidFill>
          <a:ln>
            <a:noFill/>
          </a:ln>
          <a:effectLst>
            <a:outerShdw blurRad="254000" sx="102000" sy="102000" algn="ctr" rotWithShape="0">
              <a:prstClr val="black">
                <a:alpha val="20000"/>
              </a:prstClr>
            </a:outerShdw>
          </a:effectLst>
        </c:spPr>
      </c:pivotFmt>
      <c:pivotFmt>
        <c:idx val="995"/>
        <c:spPr>
          <a:solidFill>
            <a:schemeClr val="accent6"/>
          </a:solidFill>
          <a:ln>
            <a:noFill/>
          </a:ln>
          <a:effectLst>
            <a:outerShdw blurRad="254000" sx="102000" sy="102000" algn="ctr" rotWithShape="0">
              <a:prstClr val="black">
                <a:alpha val="20000"/>
              </a:prstClr>
            </a:outerShdw>
          </a:effectLst>
        </c:spPr>
      </c:pivotFmt>
      <c:pivotFmt>
        <c:idx val="996"/>
        <c:spPr>
          <a:solidFill>
            <a:schemeClr val="accent6"/>
          </a:solidFill>
          <a:ln>
            <a:noFill/>
          </a:ln>
          <a:effectLst>
            <a:outerShdw blurRad="254000" sx="102000" sy="102000" algn="ctr" rotWithShape="0">
              <a:prstClr val="black">
                <a:alpha val="20000"/>
              </a:prstClr>
            </a:outerShdw>
          </a:effectLst>
        </c:spPr>
      </c:pivotFmt>
      <c:pivotFmt>
        <c:idx val="997"/>
        <c:spPr>
          <a:solidFill>
            <a:schemeClr val="accent6"/>
          </a:solidFill>
          <a:ln>
            <a:noFill/>
          </a:ln>
          <a:effectLst>
            <a:outerShdw blurRad="254000" sx="102000" sy="102000" algn="ctr" rotWithShape="0">
              <a:prstClr val="black">
                <a:alpha val="20000"/>
              </a:prstClr>
            </a:outerShdw>
          </a:effectLst>
        </c:spPr>
      </c:pivotFmt>
      <c:pivotFmt>
        <c:idx val="998"/>
        <c:spPr>
          <a:solidFill>
            <a:schemeClr val="accent6"/>
          </a:solidFill>
          <a:ln>
            <a:noFill/>
          </a:ln>
          <a:effectLst>
            <a:outerShdw blurRad="254000" sx="102000" sy="102000" algn="ctr" rotWithShape="0">
              <a:prstClr val="black">
                <a:alpha val="20000"/>
              </a:prstClr>
            </a:outerShdw>
          </a:effectLst>
        </c:spPr>
      </c:pivotFmt>
      <c:pivotFmt>
        <c:idx val="999"/>
        <c:spPr>
          <a:solidFill>
            <a:schemeClr val="accent6"/>
          </a:solidFill>
          <a:ln>
            <a:noFill/>
          </a:ln>
          <a:effectLst>
            <a:outerShdw blurRad="254000" sx="102000" sy="102000" algn="ctr" rotWithShape="0">
              <a:prstClr val="black">
                <a:alpha val="20000"/>
              </a:prstClr>
            </a:outerShdw>
          </a:effectLst>
        </c:spPr>
      </c:pivotFmt>
      <c:pivotFmt>
        <c:idx val="1000"/>
        <c:spPr>
          <a:solidFill>
            <a:schemeClr val="accent6"/>
          </a:solidFill>
          <a:ln>
            <a:noFill/>
          </a:ln>
          <a:effectLst>
            <a:outerShdw blurRad="254000" sx="102000" sy="102000" algn="ctr" rotWithShape="0">
              <a:prstClr val="black">
                <a:alpha val="20000"/>
              </a:prstClr>
            </a:outerShdw>
          </a:effectLst>
        </c:spPr>
      </c:pivotFmt>
      <c:pivotFmt>
        <c:idx val="1001"/>
        <c:spPr>
          <a:solidFill>
            <a:schemeClr val="accent6"/>
          </a:solidFill>
          <a:ln>
            <a:noFill/>
          </a:ln>
          <a:effectLst>
            <a:outerShdw blurRad="254000" sx="102000" sy="102000" algn="ctr" rotWithShape="0">
              <a:prstClr val="black">
                <a:alpha val="20000"/>
              </a:prstClr>
            </a:outerShdw>
          </a:effectLst>
        </c:spPr>
      </c:pivotFmt>
      <c:pivotFmt>
        <c:idx val="1002"/>
        <c:spPr>
          <a:solidFill>
            <a:schemeClr val="accent6"/>
          </a:solidFill>
          <a:ln>
            <a:noFill/>
          </a:ln>
          <a:effectLst>
            <a:outerShdw blurRad="254000" sx="102000" sy="102000" algn="ctr" rotWithShape="0">
              <a:prstClr val="black">
                <a:alpha val="20000"/>
              </a:prstClr>
            </a:outerShdw>
          </a:effectLst>
        </c:spPr>
      </c:pivotFmt>
      <c:pivotFmt>
        <c:idx val="1003"/>
        <c:spPr>
          <a:solidFill>
            <a:schemeClr val="accent6"/>
          </a:solidFill>
          <a:ln>
            <a:noFill/>
          </a:ln>
          <a:effectLst>
            <a:outerShdw blurRad="254000" sx="102000" sy="102000" algn="ctr" rotWithShape="0">
              <a:prstClr val="black">
                <a:alpha val="20000"/>
              </a:prstClr>
            </a:outerShdw>
          </a:effectLst>
        </c:spPr>
      </c:pivotFmt>
      <c:pivotFmt>
        <c:idx val="1004"/>
        <c:spPr>
          <a:solidFill>
            <a:schemeClr val="accent6"/>
          </a:solidFill>
          <a:ln>
            <a:noFill/>
          </a:ln>
          <a:effectLst>
            <a:outerShdw blurRad="254000" sx="102000" sy="102000" algn="ctr" rotWithShape="0">
              <a:prstClr val="black">
                <a:alpha val="20000"/>
              </a:prstClr>
            </a:outerShdw>
          </a:effectLst>
        </c:spPr>
      </c:pivotFmt>
      <c:pivotFmt>
        <c:idx val="1005"/>
        <c:spPr>
          <a:solidFill>
            <a:schemeClr val="accent6"/>
          </a:solidFill>
          <a:ln>
            <a:noFill/>
          </a:ln>
          <a:effectLst>
            <a:outerShdw blurRad="254000" sx="102000" sy="102000" algn="ctr" rotWithShape="0">
              <a:prstClr val="black">
                <a:alpha val="20000"/>
              </a:prstClr>
            </a:outerShdw>
          </a:effectLst>
        </c:spPr>
      </c:pivotFmt>
      <c:pivotFmt>
        <c:idx val="1006"/>
        <c:spPr>
          <a:solidFill>
            <a:schemeClr val="accent6"/>
          </a:solidFill>
          <a:ln>
            <a:noFill/>
          </a:ln>
          <a:effectLst>
            <a:outerShdw blurRad="254000" sx="102000" sy="102000" algn="ctr" rotWithShape="0">
              <a:prstClr val="black">
                <a:alpha val="20000"/>
              </a:prstClr>
            </a:outerShdw>
          </a:effectLst>
        </c:spPr>
      </c:pivotFmt>
      <c:pivotFmt>
        <c:idx val="1007"/>
        <c:spPr>
          <a:solidFill>
            <a:schemeClr val="accent6"/>
          </a:solidFill>
          <a:ln>
            <a:noFill/>
          </a:ln>
          <a:effectLst>
            <a:outerShdw blurRad="254000" sx="102000" sy="102000" algn="ctr" rotWithShape="0">
              <a:prstClr val="black">
                <a:alpha val="20000"/>
              </a:prstClr>
            </a:outerShdw>
          </a:effectLst>
        </c:spPr>
      </c:pivotFmt>
      <c:pivotFmt>
        <c:idx val="1008"/>
        <c:spPr>
          <a:solidFill>
            <a:schemeClr val="accent6"/>
          </a:solidFill>
          <a:ln>
            <a:noFill/>
          </a:ln>
          <a:effectLst>
            <a:outerShdw blurRad="254000" sx="102000" sy="102000" algn="ctr" rotWithShape="0">
              <a:prstClr val="black">
                <a:alpha val="20000"/>
              </a:prstClr>
            </a:outerShdw>
          </a:effectLst>
        </c:spPr>
      </c:pivotFmt>
      <c:pivotFmt>
        <c:idx val="1009"/>
        <c:spPr>
          <a:solidFill>
            <a:schemeClr val="accent6"/>
          </a:solidFill>
          <a:ln>
            <a:noFill/>
          </a:ln>
          <a:effectLst>
            <a:outerShdw blurRad="254000" sx="102000" sy="102000" algn="ctr" rotWithShape="0">
              <a:prstClr val="black">
                <a:alpha val="20000"/>
              </a:prstClr>
            </a:outerShdw>
          </a:effectLst>
        </c:spPr>
      </c:pivotFmt>
      <c:pivotFmt>
        <c:idx val="1010"/>
        <c:spPr>
          <a:solidFill>
            <a:schemeClr val="accent6"/>
          </a:solidFill>
          <a:ln>
            <a:noFill/>
          </a:ln>
          <a:effectLst>
            <a:outerShdw blurRad="254000" sx="102000" sy="102000" algn="ctr" rotWithShape="0">
              <a:prstClr val="black">
                <a:alpha val="20000"/>
              </a:prstClr>
            </a:outerShdw>
          </a:effectLst>
        </c:spPr>
      </c:pivotFmt>
      <c:pivotFmt>
        <c:idx val="1011"/>
        <c:spPr>
          <a:solidFill>
            <a:schemeClr val="accent6"/>
          </a:solidFill>
          <a:ln>
            <a:noFill/>
          </a:ln>
          <a:effectLst>
            <a:outerShdw blurRad="254000" sx="102000" sy="102000" algn="ctr" rotWithShape="0">
              <a:prstClr val="black">
                <a:alpha val="20000"/>
              </a:prstClr>
            </a:outerShdw>
          </a:effectLst>
        </c:spPr>
      </c:pivotFmt>
      <c:pivotFmt>
        <c:idx val="1012"/>
        <c:spPr>
          <a:solidFill>
            <a:schemeClr val="accent6"/>
          </a:solidFill>
          <a:ln>
            <a:noFill/>
          </a:ln>
          <a:effectLst>
            <a:outerShdw blurRad="254000" sx="102000" sy="102000" algn="ctr" rotWithShape="0">
              <a:prstClr val="black">
                <a:alpha val="20000"/>
              </a:prstClr>
            </a:outerShdw>
          </a:effectLst>
        </c:spPr>
      </c:pivotFmt>
      <c:pivotFmt>
        <c:idx val="1013"/>
        <c:spPr>
          <a:solidFill>
            <a:schemeClr val="accent6"/>
          </a:solidFill>
          <a:ln>
            <a:noFill/>
          </a:ln>
          <a:effectLst>
            <a:outerShdw blurRad="254000" sx="102000" sy="102000" algn="ctr" rotWithShape="0">
              <a:prstClr val="black">
                <a:alpha val="20000"/>
              </a:prstClr>
            </a:outerShdw>
          </a:effectLst>
        </c:spPr>
      </c:pivotFmt>
      <c:pivotFmt>
        <c:idx val="1014"/>
        <c:spPr>
          <a:solidFill>
            <a:schemeClr val="accent6"/>
          </a:solidFill>
          <a:ln>
            <a:noFill/>
          </a:ln>
          <a:effectLst>
            <a:outerShdw blurRad="254000" sx="102000" sy="102000" algn="ctr" rotWithShape="0">
              <a:prstClr val="black">
                <a:alpha val="20000"/>
              </a:prstClr>
            </a:outerShdw>
          </a:effectLst>
        </c:spPr>
      </c:pivotFmt>
      <c:pivotFmt>
        <c:idx val="1015"/>
        <c:spPr>
          <a:solidFill>
            <a:schemeClr val="accent6"/>
          </a:solidFill>
          <a:ln>
            <a:noFill/>
          </a:ln>
          <a:effectLst>
            <a:outerShdw blurRad="254000" sx="102000" sy="102000" algn="ctr" rotWithShape="0">
              <a:prstClr val="black">
                <a:alpha val="20000"/>
              </a:prstClr>
            </a:outerShdw>
          </a:effectLst>
        </c:spPr>
      </c:pivotFmt>
      <c:pivotFmt>
        <c:idx val="1016"/>
        <c:spPr>
          <a:solidFill>
            <a:schemeClr val="accent6"/>
          </a:solidFill>
          <a:ln>
            <a:noFill/>
          </a:ln>
          <a:effectLst>
            <a:outerShdw blurRad="254000" sx="102000" sy="102000" algn="ctr" rotWithShape="0">
              <a:prstClr val="black">
                <a:alpha val="20000"/>
              </a:prstClr>
            </a:outerShdw>
          </a:effectLst>
        </c:spPr>
      </c:pivotFmt>
      <c:pivotFmt>
        <c:idx val="1017"/>
        <c:spPr>
          <a:solidFill>
            <a:schemeClr val="accent6"/>
          </a:solidFill>
          <a:ln>
            <a:noFill/>
          </a:ln>
          <a:effectLst>
            <a:outerShdw blurRad="254000" sx="102000" sy="102000" algn="ctr" rotWithShape="0">
              <a:prstClr val="black">
                <a:alpha val="20000"/>
              </a:prstClr>
            </a:outerShdw>
          </a:effectLst>
        </c:spPr>
      </c:pivotFmt>
      <c:pivotFmt>
        <c:idx val="1018"/>
        <c:spPr>
          <a:solidFill>
            <a:schemeClr val="accent6"/>
          </a:solidFill>
          <a:ln>
            <a:noFill/>
          </a:ln>
          <a:effectLst>
            <a:outerShdw blurRad="254000" sx="102000" sy="102000" algn="ctr" rotWithShape="0">
              <a:prstClr val="black">
                <a:alpha val="20000"/>
              </a:prstClr>
            </a:outerShdw>
          </a:effectLst>
        </c:spPr>
      </c:pivotFmt>
      <c:pivotFmt>
        <c:idx val="1019"/>
        <c:spPr>
          <a:solidFill>
            <a:schemeClr val="accent6"/>
          </a:solidFill>
          <a:ln>
            <a:noFill/>
          </a:ln>
          <a:effectLst>
            <a:outerShdw blurRad="254000" sx="102000" sy="102000" algn="ctr" rotWithShape="0">
              <a:prstClr val="black">
                <a:alpha val="20000"/>
              </a:prstClr>
            </a:outerShdw>
          </a:effectLst>
        </c:spPr>
      </c:pivotFmt>
      <c:pivotFmt>
        <c:idx val="1020"/>
        <c:spPr>
          <a:solidFill>
            <a:schemeClr val="accent6"/>
          </a:solidFill>
          <a:ln>
            <a:noFill/>
          </a:ln>
          <a:effectLst>
            <a:outerShdw blurRad="254000" sx="102000" sy="102000" algn="ctr" rotWithShape="0">
              <a:prstClr val="black">
                <a:alpha val="20000"/>
              </a:prstClr>
            </a:outerShdw>
          </a:effectLst>
        </c:spPr>
      </c:pivotFmt>
      <c:pivotFmt>
        <c:idx val="1021"/>
        <c:spPr>
          <a:solidFill>
            <a:schemeClr val="accent6"/>
          </a:solidFill>
          <a:ln>
            <a:noFill/>
          </a:ln>
          <a:effectLst>
            <a:outerShdw blurRad="254000" sx="102000" sy="102000" algn="ctr" rotWithShape="0">
              <a:prstClr val="black">
                <a:alpha val="20000"/>
              </a:prstClr>
            </a:outerShdw>
          </a:effectLst>
        </c:spPr>
      </c:pivotFmt>
      <c:pivotFmt>
        <c:idx val="1022"/>
        <c:spPr>
          <a:solidFill>
            <a:schemeClr val="accent6"/>
          </a:solidFill>
          <a:ln>
            <a:noFill/>
          </a:ln>
          <a:effectLst>
            <a:outerShdw blurRad="254000" sx="102000" sy="102000" algn="ctr" rotWithShape="0">
              <a:prstClr val="black">
                <a:alpha val="20000"/>
              </a:prstClr>
            </a:outerShdw>
          </a:effectLst>
        </c:spPr>
      </c:pivotFmt>
      <c:pivotFmt>
        <c:idx val="1023"/>
        <c:spPr>
          <a:solidFill>
            <a:schemeClr val="accent6"/>
          </a:solidFill>
          <a:ln>
            <a:noFill/>
          </a:ln>
          <a:effectLst>
            <a:outerShdw blurRad="254000" sx="102000" sy="102000" algn="ctr" rotWithShape="0">
              <a:prstClr val="black">
                <a:alpha val="20000"/>
              </a:prstClr>
            </a:outerShdw>
          </a:effectLst>
        </c:spPr>
      </c:pivotFmt>
      <c:pivotFmt>
        <c:idx val="1024"/>
        <c:spPr>
          <a:solidFill>
            <a:schemeClr val="accent6"/>
          </a:solidFill>
          <a:ln>
            <a:noFill/>
          </a:ln>
          <a:effectLst>
            <a:outerShdw blurRad="254000" sx="102000" sy="102000" algn="ctr" rotWithShape="0">
              <a:prstClr val="black">
                <a:alpha val="20000"/>
              </a:prstClr>
            </a:outerShdw>
          </a:effectLst>
        </c:spPr>
      </c:pivotFmt>
      <c:pivotFmt>
        <c:idx val="1025"/>
        <c:spPr>
          <a:solidFill>
            <a:schemeClr val="accent6"/>
          </a:solidFill>
          <a:ln>
            <a:noFill/>
          </a:ln>
          <a:effectLst>
            <a:outerShdw blurRad="254000" sx="102000" sy="102000" algn="ctr" rotWithShape="0">
              <a:prstClr val="black">
                <a:alpha val="20000"/>
              </a:prstClr>
            </a:outerShdw>
          </a:effectLst>
        </c:spPr>
      </c:pivotFmt>
      <c:pivotFmt>
        <c:idx val="1026"/>
        <c:spPr>
          <a:solidFill>
            <a:schemeClr val="accent6"/>
          </a:solidFill>
          <a:ln>
            <a:noFill/>
          </a:ln>
          <a:effectLst>
            <a:outerShdw blurRad="254000" sx="102000" sy="102000" algn="ctr" rotWithShape="0">
              <a:prstClr val="black">
                <a:alpha val="20000"/>
              </a:prstClr>
            </a:outerShdw>
          </a:effectLst>
        </c:spPr>
      </c:pivotFmt>
      <c:pivotFmt>
        <c:idx val="1027"/>
        <c:spPr>
          <a:solidFill>
            <a:schemeClr val="accent6"/>
          </a:solidFill>
          <a:ln>
            <a:noFill/>
          </a:ln>
          <a:effectLst>
            <a:outerShdw blurRad="254000" sx="102000" sy="102000" algn="ctr" rotWithShape="0">
              <a:prstClr val="black">
                <a:alpha val="20000"/>
              </a:prstClr>
            </a:outerShdw>
          </a:effectLst>
        </c:spPr>
      </c:pivotFmt>
      <c:pivotFmt>
        <c:idx val="1028"/>
        <c:spPr>
          <a:solidFill>
            <a:schemeClr val="accent6"/>
          </a:solidFill>
          <a:ln>
            <a:noFill/>
          </a:ln>
          <a:effectLst>
            <a:outerShdw blurRad="254000" sx="102000" sy="102000" algn="ctr" rotWithShape="0">
              <a:prstClr val="black">
                <a:alpha val="20000"/>
              </a:prstClr>
            </a:outerShdw>
          </a:effectLst>
        </c:spPr>
      </c:pivotFmt>
      <c:pivotFmt>
        <c:idx val="1029"/>
        <c:spPr>
          <a:solidFill>
            <a:schemeClr val="accent6"/>
          </a:solidFill>
          <a:ln>
            <a:noFill/>
          </a:ln>
          <a:effectLst>
            <a:outerShdw blurRad="254000" sx="102000" sy="102000" algn="ctr" rotWithShape="0">
              <a:prstClr val="black">
                <a:alpha val="20000"/>
              </a:prstClr>
            </a:outerShdw>
          </a:effectLst>
        </c:spPr>
      </c:pivotFmt>
      <c:pivotFmt>
        <c:idx val="1030"/>
        <c:spPr>
          <a:solidFill>
            <a:schemeClr val="accent6"/>
          </a:solidFill>
          <a:ln>
            <a:noFill/>
          </a:ln>
          <a:effectLst>
            <a:outerShdw blurRad="254000" sx="102000" sy="102000" algn="ctr" rotWithShape="0">
              <a:prstClr val="black">
                <a:alpha val="20000"/>
              </a:prstClr>
            </a:outerShdw>
          </a:effectLst>
        </c:spPr>
      </c:pivotFmt>
      <c:pivotFmt>
        <c:idx val="1031"/>
        <c:spPr>
          <a:solidFill>
            <a:schemeClr val="accent6"/>
          </a:solidFill>
          <a:ln>
            <a:noFill/>
          </a:ln>
          <a:effectLst>
            <a:outerShdw blurRad="254000" sx="102000" sy="102000" algn="ctr" rotWithShape="0">
              <a:prstClr val="black">
                <a:alpha val="20000"/>
              </a:prstClr>
            </a:outerShdw>
          </a:effectLst>
        </c:spPr>
      </c:pivotFmt>
      <c:pivotFmt>
        <c:idx val="1032"/>
        <c:spPr>
          <a:solidFill>
            <a:schemeClr val="accent6"/>
          </a:solidFill>
          <a:ln>
            <a:noFill/>
          </a:ln>
          <a:effectLst>
            <a:outerShdw blurRad="254000" sx="102000" sy="102000" algn="ctr" rotWithShape="0">
              <a:prstClr val="black">
                <a:alpha val="20000"/>
              </a:prstClr>
            </a:outerShdw>
          </a:effectLst>
        </c:spPr>
      </c:pivotFmt>
      <c:pivotFmt>
        <c:idx val="1033"/>
        <c:spPr>
          <a:solidFill>
            <a:schemeClr val="accent6"/>
          </a:solidFill>
          <a:ln>
            <a:noFill/>
          </a:ln>
          <a:effectLst>
            <a:outerShdw blurRad="254000" sx="102000" sy="102000" algn="ctr" rotWithShape="0">
              <a:prstClr val="black">
                <a:alpha val="20000"/>
              </a:prstClr>
            </a:outerShdw>
          </a:effectLst>
        </c:spPr>
      </c:pivotFmt>
      <c:pivotFmt>
        <c:idx val="1034"/>
        <c:spPr>
          <a:solidFill>
            <a:schemeClr val="accent6"/>
          </a:solidFill>
          <a:ln>
            <a:noFill/>
          </a:ln>
          <a:effectLst>
            <a:outerShdw blurRad="254000" sx="102000" sy="102000" algn="ctr" rotWithShape="0">
              <a:prstClr val="black">
                <a:alpha val="20000"/>
              </a:prstClr>
            </a:outerShdw>
          </a:effectLst>
        </c:spPr>
      </c:pivotFmt>
      <c:pivotFmt>
        <c:idx val="1035"/>
        <c:spPr>
          <a:solidFill>
            <a:schemeClr val="accent6"/>
          </a:solidFill>
          <a:ln>
            <a:noFill/>
          </a:ln>
          <a:effectLst>
            <a:outerShdw blurRad="254000" sx="102000" sy="102000" algn="ctr" rotWithShape="0">
              <a:prstClr val="black">
                <a:alpha val="20000"/>
              </a:prstClr>
            </a:outerShdw>
          </a:effectLst>
        </c:spPr>
      </c:pivotFmt>
      <c:pivotFmt>
        <c:idx val="1036"/>
        <c:spPr>
          <a:solidFill>
            <a:schemeClr val="accent6"/>
          </a:solidFill>
          <a:ln>
            <a:noFill/>
          </a:ln>
          <a:effectLst>
            <a:outerShdw blurRad="254000" sx="102000" sy="102000" algn="ctr" rotWithShape="0">
              <a:prstClr val="black">
                <a:alpha val="20000"/>
              </a:prstClr>
            </a:outerShdw>
          </a:effectLst>
        </c:spPr>
      </c:pivotFmt>
      <c:pivotFmt>
        <c:idx val="1037"/>
        <c:spPr>
          <a:solidFill>
            <a:schemeClr val="accent6"/>
          </a:solidFill>
          <a:ln>
            <a:noFill/>
          </a:ln>
          <a:effectLst>
            <a:outerShdw blurRad="254000" sx="102000" sy="102000" algn="ctr" rotWithShape="0">
              <a:prstClr val="black">
                <a:alpha val="20000"/>
              </a:prstClr>
            </a:outerShdw>
          </a:effectLst>
        </c:spPr>
      </c:pivotFmt>
      <c:pivotFmt>
        <c:idx val="1038"/>
        <c:spPr>
          <a:solidFill>
            <a:schemeClr val="accent6"/>
          </a:solidFill>
          <a:ln>
            <a:noFill/>
          </a:ln>
          <a:effectLst>
            <a:outerShdw blurRad="254000" sx="102000" sy="102000" algn="ctr" rotWithShape="0">
              <a:prstClr val="black">
                <a:alpha val="20000"/>
              </a:prstClr>
            </a:outerShdw>
          </a:effectLst>
        </c:spPr>
      </c:pivotFmt>
      <c:pivotFmt>
        <c:idx val="1039"/>
        <c:spPr>
          <a:solidFill>
            <a:schemeClr val="accent6"/>
          </a:solidFill>
          <a:ln>
            <a:noFill/>
          </a:ln>
          <a:effectLst>
            <a:outerShdw blurRad="254000" sx="102000" sy="102000" algn="ctr" rotWithShape="0">
              <a:prstClr val="black">
                <a:alpha val="20000"/>
              </a:prstClr>
            </a:outerShdw>
          </a:effectLst>
        </c:spPr>
      </c:pivotFmt>
      <c:pivotFmt>
        <c:idx val="1040"/>
        <c:spPr>
          <a:solidFill>
            <a:schemeClr val="accent6"/>
          </a:solidFill>
          <a:ln>
            <a:noFill/>
          </a:ln>
          <a:effectLst>
            <a:outerShdw blurRad="254000" sx="102000" sy="102000" algn="ctr" rotWithShape="0">
              <a:prstClr val="black">
                <a:alpha val="20000"/>
              </a:prstClr>
            </a:outerShdw>
          </a:effectLst>
        </c:spPr>
      </c:pivotFmt>
      <c:pivotFmt>
        <c:idx val="1041"/>
        <c:spPr>
          <a:solidFill>
            <a:schemeClr val="accent6"/>
          </a:solidFill>
          <a:ln>
            <a:noFill/>
          </a:ln>
          <a:effectLst>
            <a:outerShdw blurRad="254000" sx="102000" sy="102000" algn="ctr" rotWithShape="0">
              <a:prstClr val="black">
                <a:alpha val="20000"/>
              </a:prstClr>
            </a:outerShdw>
          </a:effectLst>
        </c:spPr>
      </c:pivotFmt>
      <c:pivotFmt>
        <c:idx val="1042"/>
        <c:spPr>
          <a:solidFill>
            <a:schemeClr val="accent6"/>
          </a:solidFill>
          <a:ln>
            <a:noFill/>
          </a:ln>
          <a:effectLst>
            <a:outerShdw blurRad="254000" sx="102000" sy="102000" algn="ctr" rotWithShape="0">
              <a:prstClr val="black">
                <a:alpha val="20000"/>
              </a:prstClr>
            </a:outerShdw>
          </a:effectLst>
        </c:spPr>
      </c:pivotFmt>
      <c:pivotFmt>
        <c:idx val="1043"/>
        <c:spPr>
          <a:solidFill>
            <a:schemeClr val="accent6"/>
          </a:solidFill>
          <a:ln>
            <a:noFill/>
          </a:ln>
          <a:effectLst>
            <a:outerShdw blurRad="254000" sx="102000" sy="102000" algn="ctr" rotWithShape="0">
              <a:prstClr val="black">
                <a:alpha val="20000"/>
              </a:prstClr>
            </a:outerShdw>
          </a:effectLst>
        </c:spPr>
      </c:pivotFmt>
      <c:pivotFmt>
        <c:idx val="1044"/>
        <c:spPr>
          <a:solidFill>
            <a:schemeClr val="accent6"/>
          </a:solidFill>
          <a:ln>
            <a:noFill/>
          </a:ln>
          <a:effectLst>
            <a:outerShdw blurRad="254000" sx="102000" sy="102000" algn="ctr" rotWithShape="0">
              <a:prstClr val="black">
                <a:alpha val="20000"/>
              </a:prstClr>
            </a:outerShdw>
          </a:effectLst>
        </c:spPr>
      </c:pivotFmt>
      <c:pivotFmt>
        <c:idx val="1045"/>
        <c:spPr>
          <a:solidFill>
            <a:schemeClr val="accent6"/>
          </a:solidFill>
          <a:ln>
            <a:noFill/>
          </a:ln>
          <a:effectLst>
            <a:outerShdw blurRad="254000" sx="102000" sy="102000" algn="ctr" rotWithShape="0">
              <a:prstClr val="black">
                <a:alpha val="20000"/>
              </a:prstClr>
            </a:outerShdw>
          </a:effectLst>
        </c:spPr>
      </c:pivotFmt>
      <c:pivotFmt>
        <c:idx val="1046"/>
        <c:spPr>
          <a:solidFill>
            <a:schemeClr val="accent6"/>
          </a:solidFill>
          <a:ln>
            <a:noFill/>
          </a:ln>
          <a:effectLst>
            <a:outerShdw blurRad="254000" sx="102000" sy="102000" algn="ctr" rotWithShape="0">
              <a:prstClr val="black">
                <a:alpha val="20000"/>
              </a:prstClr>
            </a:outerShdw>
          </a:effectLst>
        </c:spPr>
      </c:pivotFmt>
      <c:pivotFmt>
        <c:idx val="1047"/>
        <c:spPr>
          <a:solidFill>
            <a:schemeClr val="accent6"/>
          </a:solidFill>
          <a:ln>
            <a:noFill/>
          </a:ln>
          <a:effectLst>
            <a:outerShdw blurRad="254000" sx="102000" sy="102000" algn="ctr" rotWithShape="0">
              <a:prstClr val="black">
                <a:alpha val="20000"/>
              </a:prstClr>
            </a:outerShdw>
          </a:effectLst>
        </c:spPr>
      </c:pivotFmt>
      <c:pivotFmt>
        <c:idx val="1048"/>
        <c:spPr>
          <a:solidFill>
            <a:schemeClr val="accent6"/>
          </a:solidFill>
          <a:ln>
            <a:noFill/>
          </a:ln>
          <a:effectLst>
            <a:outerShdw blurRad="254000" sx="102000" sy="102000" algn="ctr" rotWithShape="0">
              <a:prstClr val="black">
                <a:alpha val="20000"/>
              </a:prstClr>
            </a:outerShdw>
          </a:effectLst>
        </c:spPr>
      </c:pivotFmt>
      <c:pivotFmt>
        <c:idx val="1049"/>
        <c:spPr>
          <a:solidFill>
            <a:schemeClr val="accent6"/>
          </a:solidFill>
          <a:ln>
            <a:noFill/>
          </a:ln>
          <a:effectLst>
            <a:outerShdw blurRad="254000" sx="102000" sy="102000" algn="ctr" rotWithShape="0">
              <a:prstClr val="black">
                <a:alpha val="20000"/>
              </a:prstClr>
            </a:outerShdw>
          </a:effectLst>
        </c:spPr>
      </c:pivotFmt>
      <c:pivotFmt>
        <c:idx val="1050"/>
        <c:spPr>
          <a:solidFill>
            <a:schemeClr val="accent6"/>
          </a:solidFill>
          <a:ln>
            <a:noFill/>
          </a:ln>
          <a:effectLst>
            <a:outerShdw blurRad="254000" sx="102000" sy="102000" algn="ctr" rotWithShape="0">
              <a:prstClr val="black">
                <a:alpha val="20000"/>
              </a:prstClr>
            </a:outerShdw>
          </a:effectLst>
        </c:spPr>
      </c:pivotFmt>
      <c:pivotFmt>
        <c:idx val="1051"/>
        <c:spPr>
          <a:solidFill>
            <a:schemeClr val="accent6"/>
          </a:solidFill>
          <a:ln>
            <a:noFill/>
          </a:ln>
          <a:effectLst>
            <a:outerShdw blurRad="254000" sx="102000" sy="102000" algn="ctr" rotWithShape="0">
              <a:prstClr val="black">
                <a:alpha val="20000"/>
              </a:prstClr>
            </a:outerShdw>
          </a:effectLst>
        </c:spPr>
      </c:pivotFmt>
      <c:pivotFmt>
        <c:idx val="1052"/>
        <c:spPr>
          <a:solidFill>
            <a:schemeClr val="accent6"/>
          </a:solidFill>
          <a:ln>
            <a:noFill/>
          </a:ln>
          <a:effectLst>
            <a:outerShdw blurRad="254000" sx="102000" sy="102000" algn="ctr" rotWithShape="0">
              <a:prstClr val="black">
                <a:alpha val="20000"/>
              </a:prstClr>
            </a:outerShdw>
          </a:effectLst>
        </c:spPr>
      </c:pivotFmt>
      <c:pivotFmt>
        <c:idx val="1053"/>
        <c:spPr>
          <a:solidFill>
            <a:schemeClr val="accent6"/>
          </a:solidFill>
          <a:ln>
            <a:noFill/>
          </a:ln>
          <a:effectLst>
            <a:outerShdw blurRad="254000" sx="102000" sy="102000" algn="ctr" rotWithShape="0">
              <a:prstClr val="black">
                <a:alpha val="20000"/>
              </a:prstClr>
            </a:outerShdw>
          </a:effectLst>
        </c:spPr>
      </c:pivotFmt>
      <c:pivotFmt>
        <c:idx val="1054"/>
        <c:spPr>
          <a:solidFill>
            <a:schemeClr val="accent6"/>
          </a:solidFill>
          <a:ln>
            <a:noFill/>
          </a:ln>
          <a:effectLst>
            <a:outerShdw blurRad="254000" sx="102000" sy="102000" algn="ctr" rotWithShape="0">
              <a:prstClr val="black">
                <a:alpha val="20000"/>
              </a:prstClr>
            </a:outerShdw>
          </a:effectLst>
        </c:spPr>
      </c:pivotFmt>
      <c:pivotFmt>
        <c:idx val="1055"/>
        <c:spPr>
          <a:solidFill>
            <a:schemeClr val="accent6"/>
          </a:solidFill>
          <a:ln>
            <a:noFill/>
          </a:ln>
          <a:effectLst>
            <a:outerShdw blurRad="254000" sx="102000" sy="102000" algn="ctr" rotWithShape="0">
              <a:prstClr val="black">
                <a:alpha val="20000"/>
              </a:prstClr>
            </a:outerShdw>
          </a:effectLst>
        </c:spPr>
      </c:pivotFmt>
      <c:pivotFmt>
        <c:idx val="1056"/>
        <c:spPr>
          <a:solidFill>
            <a:schemeClr val="accent6"/>
          </a:solidFill>
          <a:ln>
            <a:noFill/>
          </a:ln>
          <a:effectLst>
            <a:outerShdw blurRad="254000" sx="102000" sy="102000" algn="ctr" rotWithShape="0">
              <a:prstClr val="black">
                <a:alpha val="20000"/>
              </a:prstClr>
            </a:outerShdw>
          </a:effectLst>
        </c:spPr>
      </c:pivotFmt>
      <c:pivotFmt>
        <c:idx val="1057"/>
        <c:spPr>
          <a:solidFill>
            <a:schemeClr val="accent6"/>
          </a:solidFill>
          <a:ln>
            <a:noFill/>
          </a:ln>
          <a:effectLst>
            <a:outerShdw blurRad="254000" sx="102000" sy="102000" algn="ctr" rotWithShape="0">
              <a:prstClr val="black">
                <a:alpha val="20000"/>
              </a:prstClr>
            </a:outerShdw>
          </a:effectLst>
        </c:spPr>
      </c:pivotFmt>
      <c:pivotFmt>
        <c:idx val="1058"/>
        <c:spPr>
          <a:solidFill>
            <a:schemeClr val="accent6"/>
          </a:solidFill>
          <a:ln>
            <a:noFill/>
          </a:ln>
          <a:effectLst>
            <a:outerShdw blurRad="254000" sx="102000" sy="102000" algn="ctr" rotWithShape="0">
              <a:prstClr val="black">
                <a:alpha val="20000"/>
              </a:prstClr>
            </a:outerShdw>
          </a:effectLst>
        </c:spPr>
      </c:pivotFmt>
      <c:pivotFmt>
        <c:idx val="1059"/>
        <c:spPr>
          <a:solidFill>
            <a:schemeClr val="accent6"/>
          </a:solidFill>
          <a:ln>
            <a:noFill/>
          </a:ln>
          <a:effectLst>
            <a:outerShdw blurRad="254000" sx="102000" sy="102000" algn="ctr" rotWithShape="0">
              <a:prstClr val="black">
                <a:alpha val="20000"/>
              </a:prstClr>
            </a:outerShdw>
          </a:effectLst>
        </c:spPr>
      </c:pivotFmt>
      <c:pivotFmt>
        <c:idx val="1060"/>
        <c:spPr>
          <a:solidFill>
            <a:schemeClr val="accent6"/>
          </a:solidFill>
          <a:ln>
            <a:noFill/>
          </a:ln>
          <a:effectLst>
            <a:outerShdw blurRad="254000" sx="102000" sy="102000" algn="ctr" rotWithShape="0">
              <a:prstClr val="black">
                <a:alpha val="20000"/>
              </a:prstClr>
            </a:outerShdw>
          </a:effectLst>
        </c:spPr>
      </c:pivotFmt>
      <c:pivotFmt>
        <c:idx val="1061"/>
        <c:spPr>
          <a:solidFill>
            <a:schemeClr val="accent6"/>
          </a:solidFill>
          <a:ln>
            <a:noFill/>
          </a:ln>
          <a:effectLst>
            <a:outerShdw blurRad="254000" sx="102000" sy="102000" algn="ctr" rotWithShape="0">
              <a:prstClr val="black">
                <a:alpha val="20000"/>
              </a:prstClr>
            </a:outerShdw>
          </a:effectLst>
        </c:spPr>
      </c:pivotFmt>
      <c:pivotFmt>
        <c:idx val="1062"/>
        <c:spPr>
          <a:solidFill>
            <a:schemeClr val="accent6"/>
          </a:solidFill>
          <a:ln>
            <a:noFill/>
          </a:ln>
          <a:effectLst>
            <a:outerShdw blurRad="254000" sx="102000" sy="102000" algn="ctr" rotWithShape="0">
              <a:prstClr val="black">
                <a:alpha val="20000"/>
              </a:prstClr>
            </a:outerShdw>
          </a:effectLst>
        </c:spPr>
      </c:pivotFmt>
      <c:pivotFmt>
        <c:idx val="1063"/>
        <c:spPr>
          <a:solidFill>
            <a:schemeClr val="accent6"/>
          </a:solidFill>
          <a:ln>
            <a:noFill/>
          </a:ln>
          <a:effectLst>
            <a:outerShdw blurRad="254000" sx="102000" sy="102000" algn="ctr" rotWithShape="0">
              <a:prstClr val="black">
                <a:alpha val="20000"/>
              </a:prstClr>
            </a:outerShdw>
          </a:effectLst>
        </c:spPr>
      </c:pivotFmt>
      <c:pivotFmt>
        <c:idx val="1064"/>
        <c:spPr>
          <a:solidFill>
            <a:schemeClr val="accent6"/>
          </a:solidFill>
          <a:ln>
            <a:noFill/>
          </a:ln>
          <a:effectLst>
            <a:outerShdw blurRad="254000" sx="102000" sy="102000" algn="ctr" rotWithShape="0">
              <a:prstClr val="black">
                <a:alpha val="20000"/>
              </a:prstClr>
            </a:outerShdw>
          </a:effectLst>
        </c:spPr>
      </c:pivotFmt>
      <c:pivotFmt>
        <c:idx val="1065"/>
        <c:spPr>
          <a:solidFill>
            <a:schemeClr val="accent6"/>
          </a:solidFill>
          <a:ln>
            <a:noFill/>
          </a:ln>
          <a:effectLst>
            <a:outerShdw blurRad="254000" sx="102000" sy="102000" algn="ctr" rotWithShape="0">
              <a:prstClr val="black">
                <a:alpha val="20000"/>
              </a:prstClr>
            </a:outerShdw>
          </a:effectLst>
        </c:spPr>
      </c:pivotFmt>
      <c:pivotFmt>
        <c:idx val="1066"/>
        <c:spPr>
          <a:solidFill>
            <a:schemeClr val="accent6"/>
          </a:solidFill>
          <a:ln>
            <a:noFill/>
          </a:ln>
          <a:effectLst>
            <a:outerShdw blurRad="254000" sx="102000" sy="102000" algn="ctr" rotWithShape="0">
              <a:prstClr val="black">
                <a:alpha val="20000"/>
              </a:prstClr>
            </a:outerShdw>
          </a:effectLst>
        </c:spPr>
      </c:pivotFmt>
      <c:pivotFmt>
        <c:idx val="1067"/>
        <c:spPr>
          <a:solidFill>
            <a:schemeClr val="accent6"/>
          </a:solidFill>
          <a:ln>
            <a:noFill/>
          </a:ln>
          <a:effectLst>
            <a:outerShdw blurRad="254000" sx="102000" sy="102000" algn="ctr" rotWithShape="0">
              <a:prstClr val="black">
                <a:alpha val="20000"/>
              </a:prstClr>
            </a:outerShdw>
          </a:effectLst>
        </c:spPr>
      </c:pivotFmt>
      <c:pivotFmt>
        <c:idx val="1068"/>
        <c:spPr>
          <a:solidFill>
            <a:schemeClr val="accent6"/>
          </a:solidFill>
          <a:ln>
            <a:noFill/>
          </a:ln>
          <a:effectLst>
            <a:outerShdw blurRad="254000" sx="102000" sy="102000" algn="ctr" rotWithShape="0">
              <a:prstClr val="black">
                <a:alpha val="20000"/>
              </a:prstClr>
            </a:outerShdw>
          </a:effectLst>
        </c:spPr>
      </c:pivotFmt>
      <c:pivotFmt>
        <c:idx val="1069"/>
        <c:spPr>
          <a:solidFill>
            <a:schemeClr val="accent6"/>
          </a:solidFill>
          <a:ln>
            <a:noFill/>
          </a:ln>
          <a:effectLst>
            <a:outerShdw blurRad="254000" sx="102000" sy="102000" algn="ctr" rotWithShape="0">
              <a:prstClr val="black">
                <a:alpha val="20000"/>
              </a:prstClr>
            </a:outerShdw>
          </a:effectLst>
        </c:spPr>
      </c:pivotFmt>
      <c:pivotFmt>
        <c:idx val="1070"/>
        <c:spPr>
          <a:solidFill>
            <a:schemeClr val="accent6"/>
          </a:solidFill>
          <a:ln>
            <a:noFill/>
          </a:ln>
          <a:effectLst>
            <a:outerShdw blurRad="254000" sx="102000" sy="102000" algn="ctr" rotWithShape="0">
              <a:prstClr val="black">
                <a:alpha val="20000"/>
              </a:prstClr>
            </a:outerShdw>
          </a:effectLst>
        </c:spPr>
      </c:pivotFmt>
      <c:pivotFmt>
        <c:idx val="1071"/>
        <c:spPr>
          <a:solidFill>
            <a:schemeClr val="accent6"/>
          </a:solidFill>
          <a:ln>
            <a:noFill/>
          </a:ln>
          <a:effectLst>
            <a:outerShdw blurRad="254000" sx="102000" sy="102000" algn="ctr" rotWithShape="0">
              <a:prstClr val="black">
                <a:alpha val="20000"/>
              </a:prstClr>
            </a:outerShdw>
          </a:effectLst>
        </c:spPr>
      </c:pivotFmt>
      <c:pivotFmt>
        <c:idx val="1072"/>
        <c:spPr>
          <a:solidFill>
            <a:schemeClr val="accent6"/>
          </a:solidFill>
          <a:ln>
            <a:noFill/>
          </a:ln>
          <a:effectLst>
            <a:outerShdw blurRad="254000" sx="102000" sy="102000" algn="ctr" rotWithShape="0">
              <a:prstClr val="black">
                <a:alpha val="20000"/>
              </a:prstClr>
            </a:outerShdw>
          </a:effectLst>
        </c:spPr>
      </c:pivotFmt>
      <c:pivotFmt>
        <c:idx val="1073"/>
        <c:spPr>
          <a:solidFill>
            <a:schemeClr val="accent6"/>
          </a:solidFill>
          <a:ln>
            <a:noFill/>
          </a:ln>
          <a:effectLst>
            <a:outerShdw blurRad="254000" sx="102000" sy="102000" algn="ctr" rotWithShape="0">
              <a:prstClr val="black">
                <a:alpha val="20000"/>
              </a:prstClr>
            </a:outerShdw>
          </a:effectLst>
        </c:spPr>
      </c:pivotFmt>
      <c:pivotFmt>
        <c:idx val="1074"/>
        <c:spPr>
          <a:solidFill>
            <a:schemeClr val="accent6"/>
          </a:solidFill>
          <a:ln>
            <a:noFill/>
          </a:ln>
          <a:effectLst>
            <a:outerShdw blurRad="254000" sx="102000" sy="102000" algn="ctr" rotWithShape="0">
              <a:prstClr val="black">
                <a:alpha val="20000"/>
              </a:prstClr>
            </a:outerShdw>
          </a:effectLst>
        </c:spPr>
      </c:pivotFmt>
      <c:pivotFmt>
        <c:idx val="1075"/>
        <c:spPr>
          <a:solidFill>
            <a:schemeClr val="accent6"/>
          </a:solidFill>
          <a:ln>
            <a:noFill/>
          </a:ln>
          <a:effectLst>
            <a:outerShdw blurRad="254000" sx="102000" sy="102000" algn="ctr" rotWithShape="0">
              <a:prstClr val="black">
                <a:alpha val="20000"/>
              </a:prstClr>
            </a:outerShdw>
          </a:effectLst>
        </c:spPr>
      </c:pivotFmt>
      <c:pivotFmt>
        <c:idx val="1076"/>
        <c:spPr>
          <a:solidFill>
            <a:schemeClr val="accent6"/>
          </a:solidFill>
          <a:ln>
            <a:noFill/>
          </a:ln>
          <a:effectLst>
            <a:outerShdw blurRad="254000" sx="102000" sy="102000" algn="ctr" rotWithShape="0">
              <a:prstClr val="black">
                <a:alpha val="20000"/>
              </a:prstClr>
            </a:outerShdw>
          </a:effectLst>
        </c:spPr>
      </c:pivotFmt>
      <c:pivotFmt>
        <c:idx val="1077"/>
        <c:spPr>
          <a:solidFill>
            <a:schemeClr val="accent6"/>
          </a:solidFill>
          <a:ln>
            <a:noFill/>
          </a:ln>
          <a:effectLst>
            <a:outerShdw blurRad="254000" sx="102000" sy="102000" algn="ctr" rotWithShape="0">
              <a:prstClr val="black">
                <a:alpha val="20000"/>
              </a:prstClr>
            </a:outerShdw>
          </a:effectLst>
        </c:spPr>
      </c:pivotFmt>
      <c:pivotFmt>
        <c:idx val="1078"/>
        <c:spPr>
          <a:solidFill>
            <a:schemeClr val="accent6"/>
          </a:solidFill>
          <a:ln>
            <a:noFill/>
          </a:ln>
          <a:effectLst>
            <a:outerShdw blurRad="254000" sx="102000" sy="102000" algn="ctr" rotWithShape="0">
              <a:prstClr val="black">
                <a:alpha val="20000"/>
              </a:prstClr>
            </a:outerShdw>
          </a:effectLst>
        </c:spPr>
      </c:pivotFmt>
      <c:pivotFmt>
        <c:idx val="1079"/>
        <c:spPr>
          <a:solidFill>
            <a:schemeClr val="accent6"/>
          </a:solidFill>
          <a:ln>
            <a:noFill/>
          </a:ln>
          <a:effectLst>
            <a:outerShdw blurRad="254000" sx="102000" sy="102000" algn="ctr" rotWithShape="0">
              <a:prstClr val="black">
                <a:alpha val="20000"/>
              </a:prstClr>
            </a:outerShdw>
          </a:effectLst>
        </c:spPr>
      </c:pivotFmt>
      <c:pivotFmt>
        <c:idx val="1080"/>
        <c:spPr>
          <a:solidFill>
            <a:schemeClr val="accent6"/>
          </a:solidFill>
          <a:ln>
            <a:noFill/>
          </a:ln>
          <a:effectLst>
            <a:outerShdw blurRad="254000" sx="102000" sy="102000" algn="ctr" rotWithShape="0">
              <a:prstClr val="black">
                <a:alpha val="20000"/>
              </a:prstClr>
            </a:outerShdw>
          </a:effectLst>
        </c:spPr>
      </c:pivotFmt>
      <c:pivotFmt>
        <c:idx val="1081"/>
        <c:spPr>
          <a:solidFill>
            <a:schemeClr val="accent6"/>
          </a:solidFill>
          <a:ln>
            <a:noFill/>
          </a:ln>
          <a:effectLst>
            <a:outerShdw blurRad="254000" sx="102000" sy="102000" algn="ctr" rotWithShape="0">
              <a:prstClr val="black">
                <a:alpha val="20000"/>
              </a:prstClr>
            </a:outerShdw>
          </a:effectLst>
        </c:spPr>
      </c:pivotFmt>
      <c:pivotFmt>
        <c:idx val="1082"/>
        <c:spPr>
          <a:solidFill>
            <a:schemeClr val="accent6"/>
          </a:solidFill>
          <a:ln>
            <a:noFill/>
          </a:ln>
          <a:effectLst>
            <a:outerShdw blurRad="254000" sx="102000" sy="102000" algn="ctr" rotWithShape="0">
              <a:prstClr val="black">
                <a:alpha val="20000"/>
              </a:prstClr>
            </a:outerShdw>
          </a:effectLst>
        </c:spPr>
      </c:pivotFmt>
      <c:pivotFmt>
        <c:idx val="1083"/>
        <c:spPr>
          <a:solidFill>
            <a:schemeClr val="accent6"/>
          </a:solidFill>
          <a:ln>
            <a:noFill/>
          </a:ln>
          <a:effectLst>
            <a:outerShdw blurRad="254000" sx="102000" sy="102000" algn="ctr" rotWithShape="0">
              <a:prstClr val="black">
                <a:alpha val="20000"/>
              </a:prstClr>
            </a:outerShdw>
          </a:effectLst>
        </c:spPr>
      </c:pivotFmt>
      <c:pivotFmt>
        <c:idx val="1084"/>
        <c:spPr>
          <a:solidFill>
            <a:schemeClr val="accent6"/>
          </a:solidFill>
          <a:ln>
            <a:noFill/>
          </a:ln>
          <a:effectLst>
            <a:outerShdw blurRad="254000" sx="102000" sy="102000" algn="ctr" rotWithShape="0">
              <a:prstClr val="black">
                <a:alpha val="20000"/>
              </a:prstClr>
            </a:outerShdw>
          </a:effectLst>
        </c:spPr>
      </c:pivotFmt>
      <c:pivotFmt>
        <c:idx val="1085"/>
        <c:spPr>
          <a:solidFill>
            <a:schemeClr val="accent6"/>
          </a:solidFill>
          <a:ln>
            <a:noFill/>
          </a:ln>
          <a:effectLst>
            <a:outerShdw blurRad="254000" sx="102000" sy="102000" algn="ctr" rotWithShape="0">
              <a:prstClr val="black">
                <a:alpha val="20000"/>
              </a:prstClr>
            </a:outerShdw>
          </a:effectLst>
        </c:spPr>
      </c:pivotFmt>
      <c:pivotFmt>
        <c:idx val="1086"/>
        <c:spPr>
          <a:solidFill>
            <a:schemeClr val="accent6"/>
          </a:solidFill>
          <a:ln>
            <a:noFill/>
          </a:ln>
          <a:effectLst>
            <a:outerShdw blurRad="254000" sx="102000" sy="102000" algn="ctr" rotWithShape="0">
              <a:prstClr val="black">
                <a:alpha val="20000"/>
              </a:prstClr>
            </a:outerShdw>
          </a:effectLst>
        </c:spPr>
      </c:pivotFmt>
      <c:pivotFmt>
        <c:idx val="1087"/>
        <c:spPr>
          <a:solidFill>
            <a:schemeClr val="accent6"/>
          </a:solidFill>
          <a:ln>
            <a:noFill/>
          </a:ln>
          <a:effectLst>
            <a:outerShdw blurRad="254000" sx="102000" sy="102000" algn="ctr" rotWithShape="0">
              <a:prstClr val="black">
                <a:alpha val="20000"/>
              </a:prstClr>
            </a:outerShdw>
          </a:effectLst>
        </c:spPr>
      </c:pivotFmt>
      <c:pivotFmt>
        <c:idx val="1088"/>
        <c:spPr>
          <a:solidFill>
            <a:schemeClr val="accent6"/>
          </a:solidFill>
          <a:ln>
            <a:noFill/>
          </a:ln>
          <a:effectLst>
            <a:outerShdw blurRad="254000" sx="102000" sy="102000" algn="ctr" rotWithShape="0">
              <a:prstClr val="black">
                <a:alpha val="20000"/>
              </a:prstClr>
            </a:outerShdw>
          </a:effectLst>
        </c:spPr>
      </c:pivotFmt>
      <c:pivotFmt>
        <c:idx val="1089"/>
        <c:spPr>
          <a:solidFill>
            <a:schemeClr val="accent6"/>
          </a:solidFill>
          <a:ln>
            <a:noFill/>
          </a:ln>
          <a:effectLst>
            <a:outerShdw blurRad="254000" sx="102000" sy="102000" algn="ctr" rotWithShape="0">
              <a:prstClr val="black">
                <a:alpha val="20000"/>
              </a:prstClr>
            </a:outerShdw>
          </a:effectLst>
        </c:spPr>
      </c:pivotFmt>
      <c:pivotFmt>
        <c:idx val="1090"/>
        <c:spPr>
          <a:solidFill>
            <a:schemeClr val="accent6"/>
          </a:solidFill>
          <a:ln>
            <a:noFill/>
          </a:ln>
          <a:effectLst>
            <a:outerShdw blurRad="254000" sx="102000" sy="102000" algn="ctr" rotWithShape="0">
              <a:prstClr val="black">
                <a:alpha val="20000"/>
              </a:prstClr>
            </a:outerShdw>
          </a:effectLst>
        </c:spPr>
      </c:pivotFmt>
      <c:pivotFmt>
        <c:idx val="1091"/>
        <c:spPr>
          <a:solidFill>
            <a:schemeClr val="accent6"/>
          </a:solidFill>
          <a:ln>
            <a:noFill/>
          </a:ln>
          <a:effectLst>
            <a:outerShdw blurRad="254000" sx="102000" sy="102000" algn="ctr" rotWithShape="0">
              <a:prstClr val="black">
                <a:alpha val="20000"/>
              </a:prstClr>
            </a:outerShdw>
          </a:effectLst>
        </c:spPr>
      </c:pivotFmt>
      <c:pivotFmt>
        <c:idx val="1092"/>
        <c:spPr>
          <a:solidFill>
            <a:schemeClr val="accent6"/>
          </a:solidFill>
          <a:ln>
            <a:noFill/>
          </a:ln>
          <a:effectLst>
            <a:outerShdw blurRad="254000" sx="102000" sy="102000" algn="ctr" rotWithShape="0">
              <a:prstClr val="black">
                <a:alpha val="20000"/>
              </a:prstClr>
            </a:outerShdw>
          </a:effectLst>
        </c:spPr>
      </c:pivotFmt>
      <c:pivotFmt>
        <c:idx val="1093"/>
        <c:spPr>
          <a:solidFill>
            <a:schemeClr val="accent6"/>
          </a:solidFill>
          <a:ln>
            <a:noFill/>
          </a:ln>
          <a:effectLst>
            <a:outerShdw blurRad="254000" sx="102000" sy="102000" algn="ctr" rotWithShape="0">
              <a:prstClr val="black">
                <a:alpha val="20000"/>
              </a:prstClr>
            </a:outerShdw>
          </a:effectLst>
        </c:spPr>
      </c:pivotFmt>
      <c:pivotFmt>
        <c:idx val="1094"/>
        <c:spPr>
          <a:solidFill>
            <a:schemeClr val="accent6"/>
          </a:solidFill>
          <a:ln>
            <a:noFill/>
          </a:ln>
          <a:effectLst>
            <a:outerShdw blurRad="254000" sx="102000" sy="102000" algn="ctr" rotWithShape="0">
              <a:prstClr val="black">
                <a:alpha val="20000"/>
              </a:prstClr>
            </a:outerShdw>
          </a:effectLst>
        </c:spPr>
      </c:pivotFmt>
      <c:pivotFmt>
        <c:idx val="1095"/>
        <c:spPr>
          <a:solidFill>
            <a:schemeClr val="accent6"/>
          </a:solidFill>
          <a:ln>
            <a:noFill/>
          </a:ln>
          <a:effectLst>
            <a:outerShdw blurRad="254000" sx="102000" sy="102000" algn="ctr" rotWithShape="0">
              <a:prstClr val="black">
                <a:alpha val="20000"/>
              </a:prstClr>
            </a:outerShdw>
          </a:effectLst>
        </c:spPr>
      </c:pivotFmt>
      <c:pivotFmt>
        <c:idx val="1096"/>
        <c:spPr>
          <a:solidFill>
            <a:schemeClr val="accent6"/>
          </a:solidFill>
          <a:ln>
            <a:noFill/>
          </a:ln>
          <a:effectLst>
            <a:outerShdw blurRad="254000" sx="102000" sy="102000" algn="ctr" rotWithShape="0">
              <a:prstClr val="black">
                <a:alpha val="20000"/>
              </a:prstClr>
            </a:outerShdw>
          </a:effectLst>
        </c:spPr>
      </c:pivotFmt>
      <c:pivotFmt>
        <c:idx val="1097"/>
        <c:spPr>
          <a:solidFill>
            <a:schemeClr val="accent6"/>
          </a:solidFill>
          <a:ln>
            <a:noFill/>
          </a:ln>
          <a:effectLst>
            <a:outerShdw blurRad="254000" sx="102000" sy="102000" algn="ctr" rotWithShape="0">
              <a:prstClr val="black">
                <a:alpha val="20000"/>
              </a:prstClr>
            </a:outerShdw>
          </a:effectLst>
        </c:spPr>
      </c:pivotFmt>
      <c:pivotFmt>
        <c:idx val="1098"/>
        <c:spPr>
          <a:solidFill>
            <a:schemeClr val="accent6"/>
          </a:solidFill>
          <a:ln>
            <a:noFill/>
          </a:ln>
          <a:effectLst>
            <a:outerShdw blurRad="254000" sx="102000" sy="102000" algn="ctr" rotWithShape="0">
              <a:prstClr val="black">
                <a:alpha val="20000"/>
              </a:prstClr>
            </a:outerShdw>
          </a:effectLst>
        </c:spPr>
      </c:pivotFmt>
      <c:pivotFmt>
        <c:idx val="1099"/>
        <c:spPr>
          <a:solidFill>
            <a:schemeClr val="accent6"/>
          </a:solidFill>
          <a:ln>
            <a:noFill/>
          </a:ln>
          <a:effectLst>
            <a:outerShdw blurRad="254000" sx="102000" sy="102000" algn="ctr" rotWithShape="0">
              <a:prstClr val="black">
                <a:alpha val="20000"/>
              </a:prstClr>
            </a:outerShdw>
          </a:effectLst>
        </c:spPr>
      </c:pivotFmt>
      <c:pivotFmt>
        <c:idx val="1100"/>
        <c:spPr>
          <a:solidFill>
            <a:schemeClr val="accent6"/>
          </a:solidFill>
          <a:ln>
            <a:noFill/>
          </a:ln>
          <a:effectLst>
            <a:outerShdw blurRad="254000" sx="102000" sy="102000" algn="ctr" rotWithShape="0">
              <a:prstClr val="black">
                <a:alpha val="20000"/>
              </a:prstClr>
            </a:outerShdw>
          </a:effectLst>
        </c:spPr>
      </c:pivotFmt>
      <c:pivotFmt>
        <c:idx val="1101"/>
        <c:spPr>
          <a:solidFill>
            <a:schemeClr val="accent6"/>
          </a:solidFill>
          <a:ln>
            <a:noFill/>
          </a:ln>
          <a:effectLst>
            <a:outerShdw blurRad="254000" sx="102000" sy="102000" algn="ctr" rotWithShape="0">
              <a:prstClr val="black">
                <a:alpha val="20000"/>
              </a:prstClr>
            </a:outerShdw>
          </a:effectLst>
        </c:spPr>
      </c:pivotFmt>
      <c:pivotFmt>
        <c:idx val="1102"/>
        <c:spPr>
          <a:solidFill>
            <a:schemeClr val="accent6"/>
          </a:solidFill>
          <a:ln>
            <a:noFill/>
          </a:ln>
          <a:effectLst>
            <a:outerShdw blurRad="254000" sx="102000" sy="102000" algn="ctr" rotWithShape="0">
              <a:prstClr val="black">
                <a:alpha val="20000"/>
              </a:prstClr>
            </a:outerShdw>
          </a:effectLst>
        </c:spPr>
      </c:pivotFmt>
      <c:pivotFmt>
        <c:idx val="1103"/>
        <c:spPr>
          <a:solidFill>
            <a:schemeClr val="accent6"/>
          </a:solidFill>
          <a:ln>
            <a:noFill/>
          </a:ln>
          <a:effectLst>
            <a:outerShdw blurRad="254000" sx="102000" sy="102000" algn="ctr" rotWithShape="0">
              <a:prstClr val="black">
                <a:alpha val="20000"/>
              </a:prstClr>
            </a:outerShdw>
          </a:effectLst>
        </c:spPr>
      </c:pivotFmt>
      <c:pivotFmt>
        <c:idx val="1104"/>
        <c:spPr>
          <a:solidFill>
            <a:schemeClr val="accent6"/>
          </a:solidFill>
          <a:ln>
            <a:noFill/>
          </a:ln>
          <a:effectLst>
            <a:outerShdw blurRad="254000" sx="102000" sy="102000" algn="ctr" rotWithShape="0">
              <a:prstClr val="black">
                <a:alpha val="20000"/>
              </a:prstClr>
            </a:outerShdw>
          </a:effectLst>
        </c:spPr>
      </c:pivotFmt>
      <c:pivotFmt>
        <c:idx val="1105"/>
        <c:spPr>
          <a:solidFill>
            <a:schemeClr val="accent6"/>
          </a:solidFill>
          <a:ln>
            <a:noFill/>
          </a:ln>
          <a:effectLst>
            <a:outerShdw blurRad="254000" sx="102000" sy="102000" algn="ctr" rotWithShape="0">
              <a:prstClr val="black">
                <a:alpha val="20000"/>
              </a:prstClr>
            </a:outerShdw>
          </a:effectLst>
        </c:spPr>
      </c:pivotFmt>
      <c:pivotFmt>
        <c:idx val="1106"/>
        <c:spPr>
          <a:solidFill>
            <a:schemeClr val="accent6"/>
          </a:solidFill>
          <a:ln>
            <a:noFill/>
          </a:ln>
          <a:effectLst>
            <a:outerShdw blurRad="254000" sx="102000" sy="102000" algn="ctr" rotWithShape="0">
              <a:prstClr val="black">
                <a:alpha val="20000"/>
              </a:prstClr>
            </a:outerShdw>
          </a:effectLst>
        </c:spPr>
      </c:pivotFmt>
      <c:pivotFmt>
        <c:idx val="1107"/>
        <c:spPr>
          <a:solidFill>
            <a:schemeClr val="accent6"/>
          </a:solidFill>
          <a:ln>
            <a:noFill/>
          </a:ln>
          <a:effectLst>
            <a:outerShdw blurRad="254000" sx="102000" sy="102000" algn="ctr" rotWithShape="0">
              <a:prstClr val="black">
                <a:alpha val="20000"/>
              </a:prstClr>
            </a:outerShdw>
          </a:effectLst>
        </c:spPr>
      </c:pivotFmt>
      <c:pivotFmt>
        <c:idx val="1108"/>
        <c:spPr>
          <a:solidFill>
            <a:schemeClr val="accent6"/>
          </a:solidFill>
          <a:ln>
            <a:noFill/>
          </a:ln>
          <a:effectLst>
            <a:outerShdw blurRad="254000" sx="102000" sy="102000" algn="ctr" rotWithShape="0">
              <a:prstClr val="black">
                <a:alpha val="20000"/>
              </a:prstClr>
            </a:outerShdw>
          </a:effectLst>
        </c:spPr>
      </c:pivotFmt>
      <c:pivotFmt>
        <c:idx val="1109"/>
        <c:spPr>
          <a:solidFill>
            <a:schemeClr val="accent6"/>
          </a:solidFill>
          <a:ln>
            <a:noFill/>
          </a:ln>
          <a:effectLst>
            <a:outerShdw blurRad="254000" sx="102000" sy="102000" algn="ctr" rotWithShape="0">
              <a:prstClr val="black">
                <a:alpha val="20000"/>
              </a:prstClr>
            </a:outerShdw>
          </a:effectLst>
        </c:spPr>
      </c:pivotFmt>
      <c:pivotFmt>
        <c:idx val="1110"/>
        <c:spPr>
          <a:solidFill>
            <a:schemeClr val="accent6"/>
          </a:solidFill>
          <a:ln>
            <a:noFill/>
          </a:ln>
          <a:effectLst>
            <a:outerShdw blurRad="254000" sx="102000" sy="102000" algn="ctr" rotWithShape="0">
              <a:prstClr val="black">
                <a:alpha val="20000"/>
              </a:prstClr>
            </a:outerShdw>
          </a:effectLst>
        </c:spPr>
      </c:pivotFmt>
      <c:pivotFmt>
        <c:idx val="1111"/>
        <c:spPr>
          <a:solidFill>
            <a:schemeClr val="accent6"/>
          </a:solidFill>
          <a:ln>
            <a:noFill/>
          </a:ln>
          <a:effectLst>
            <a:outerShdw blurRad="254000" sx="102000" sy="102000" algn="ctr" rotWithShape="0">
              <a:prstClr val="black">
                <a:alpha val="20000"/>
              </a:prstClr>
            </a:outerShdw>
          </a:effectLst>
        </c:spPr>
      </c:pivotFmt>
      <c:pivotFmt>
        <c:idx val="1112"/>
        <c:spPr>
          <a:solidFill>
            <a:schemeClr val="accent6"/>
          </a:solidFill>
          <a:ln>
            <a:noFill/>
          </a:ln>
          <a:effectLst>
            <a:outerShdw blurRad="254000" sx="102000" sy="102000" algn="ctr" rotWithShape="0">
              <a:prstClr val="black">
                <a:alpha val="20000"/>
              </a:prstClr>
            </a:outerShdw>
          </a:effectLst>
        </c:spPr>
      </c:pivotFmt>
      <c:pivotFmt>
        <c:idx val="1113"/>
        <c:spPr>
          <a:solidFill>
            <a:schemeClr val="accent6"/>
          </a:solidFill>
          <a:ln>
            <a:noFill/>
          </a:ln>
          <a:effectLst>
            <a:outerShdw blurRad="254000" sx="102000" sy="102000" algn="ctr" rotWithShape="0">
              <a:prstClr val="black">
                <a:alpha val="20000"/>
              </a:prstClr>
            </a:outerShdw>
          </a:effectLst>
        </c:spPr>
      </c:pivotFmt>
      <c:pivotFmt>
        <c:idx val="1114"/>
        <c:spPr>
          <a:solidFill>
            <a:schemeClr val="accent6"/>
          </a:solidFill>
          <a:ln>
            <a:noFill/>
          </a:ln>
          <a:effectLst>
            <a:outerShdw blurRad="254000" sx="102000" sy="102000" algn="ctr" rotWithShape="0">
              <a:prstClr val="black">
                <a:alpha val="20000"/>
              </a:prstClr>
            </a:outerShdw>
          </a:effectLst>
        </c:spPr>
      </c:pivotFmt>
      <c:pivotFmt>
        <c:idx val="1115"/>
        <c:spPr>
          <a:solidFill>
            <a:schemeClr val="accent6"/>
          </a:solidFill>
          <a:ln>
            <a:noFill/>
          </a:ln>
          <a:effectLst>
            <a:outerShdw blurRad="254000" sx="102000" sy="102000" algn="ctr" rotWithShape="0">
              <a:prstClr val="black">
                <a:alpha val="20000"/>
              </a:prstClr>
            </a:outerShdw>
          </a:effectLst>
        </c:spPr>
      </c:pivotFmt>
      <c:pivotFmt>
        <c:idx val="1116"/>
        <c:spPr>
          <a:solidFill>
            <a:schemeClr val="accent6"/>
          </a:solidFill>
          <a:ln>
            <a:noFill/>
          </a:ln>
          <a:effectLst>
            <a:outerShdw blurRad="254000" sx="102000" sy="102000" algn="ctr" rotWithShape="0">
              <a:prstClr val="black">
                <a:alpha val="20000"/>
              </a:prstClr>
            </a:outerShdw>
          </a:effectLst>
        </c:spPr>
      </c:pivotFmt>
      <c:pivotFmt>
        <c:idx val="1117"/>
        <c:spPr>
          <a:solidFill>
            <a:schemeClr val="accent6"/>
          </a:solidFill>
          <a:ln>
            <a:noFill/>
          </a:ln>
          <a:effectLst>
            <a:outerShdw blurRad="254000" sx="102000" sy="102000" algn="ctr" rotWithShape="0">
              <a:prstClr val="black">
                <a:alpha val="20000"/>
              </a:prstClr>
            </a:outerShdw>
          </a:effectLst>
        </c:spPr>
      </c:pivotFmt>
      <c:pivotFmt>
        <c:idx val="1118"/>
        <c:spPr>
          <a:solidFill>
            <a:schemeClr val="accent6"/>
          </a:solidFill>
          <a:ln>
            <a:noFill/>
          </a:ln>
          <a:effectLst>
            <a:outerShdw blurRad="254000" sx="102000" sy="102000" algn="ctr" rotWithShape="0">
              <a:prstClr val="black">
                <a:alpha val="20000"/>
              </a:prstClr>
            </a:outerShdw>
          </a:effectLst>
        </c:spPr>
      </c:pivotFmt>
      <c:pivotFmt>
        <c:idx val="1119"/>
        <c:spPr>
          <a:solidFill>
            <a:schemeClr val="accent6"/>
          </a:solidFill>
          <a:ln>
            <a:noFill/>
          </a:ln>
          <a:effectLst>
            <a:outerShdw blurRad="254000" sx="102000" sy="102000" algn="ctr" rotWithShape="0">
              <a:prstClr val="black">
                <a:alpha val="20000"/>
              </a:prstClr>
            </a:outerShdw>
          </a:effectLst>
        </c:spPr>
      </c:pivotFmt>
      <c:pivotFmt>
        <c:idx val="1120"/>
        <c:spPr>
          <a:solidFill>
            <a:schemeClr val="accent6"/>
          </a:solidFill>
          <a:ln>
            <a:noFill/>
          </a:ln>
          <a:effectLst>
            <a:outerShdw blurRad="254000" sx="102000" sy="102000" algn="ctr" rotWithShape="0">
              <a:prstClr val="black">
                <a:alpha val="20000"/>
              </a:prstClr>
            </a:outerShdw>
          </a:effectLst>
        </c:spPr>
      </c:pivotFmt>
      <c:pivotFmt>
        <c:idx val="1121"/>
        <c:spPr>
          <a:solidFill>
            <a:schemeClr val="accent6"/>
          </a:solidFill>
          <a:ln>
            <a:noFill/>
          </a:ln>
          <a:effectLst>
            <a:outerShdw blurRad="254000" sx="102000" sy="102000" algn="ctr" rotWithShape="0">
              <a:prstClr val="black">
                <a:alpha val="20000"/>
              </a:prstClr>
            </a:outerShdw>
          </a:effectLst>
        </c:spPr>
      </c:pivotFmt>
      <c:pivotFmt>
        <c:idx val="1122"/>
        <c:spPr>
          <a:solidFill>
            <a:schemeClr val="accent6"/>
          </a:solidFill>
          <a:ln>
            <a:noFill/>
          </a:ln>
          <a:effectLst>
            <a:outerShdw blurRad="254000" sx="102000" sy="102000" algn="ctr" rotWithShape="0">
              <a:prstClr val="black">
                <a:alpha val="20000"/>
              </a:prstClr>
            </a:outerShdw>
          </a:effectLst>
        </c:spPr>
      </c:pivotFmt>
      <c:pivotFmt>
        <c:idx val="1123"/>
        <c:spPr>
          <a:solidFill>
            <a:schemeClr val="accent6"/>
          </a:solidFill>
          <a:ln>
            <a:noFill/>
          </a:ln>
          <a:effectLst>
            <a:outerShdw blurRad="254000" sx="102000" sy="102000" algn="ctr" rotWithShape="0">
              <a:prstClr val="black">
                <a:alpha val="20000"/>
              </a:prstClr>
            </a:outerShdw>
          </a:effectLst>
        </c:spPr>
      </c:pivotFmt>
      <c:pivotFmt>
        <c:idx val="1124"/>
        <c:spPr>
          <a:solidFill>
            <a:schemeClr val="accent6"/>
          </a:solidFill>
          <a:ln>
            <a:noFill/>
          </a:ln>
          <a:effectLst>
            <a:outerShdw blurRad="254000" sx="102000" sy="102000" algn="ctr" rotWithShape="0">
              <a:prstClr val="black">
                <a:alpha val="20000"/>
              </a:prstClr>
            </a:outerShdw>
          </a:effectLst>
        </c:spPr>
      </c:pivotFmt>
      <c:pivotFmt>
        <c:idx val="1125"/>
        <c:spPr>
          <a:solidFill>
            <a:schemeClr val="accent6"/>
          </a:solidFill>
          <a:ln>
            <a:noFill/>
          </a:ln>
          <a:effectLst>
            <a:outerShdw blurRad="254000" sx="102000" sy="102000" algn="ctr" rotWithShape="0">
              <a:prstClr val="black">
                <a:alpha val="20000"/>
              </a:prstClr>
            </a:outerShdw>
          </a:effectLst>
        </c:spPr>
      </c:pivotFmt>
      <c:pivotFmt>
        <c:idx val="1126"/>
        <c:spPr>
          <a:solidFill>
            <a:schemeClr val="accent6"/>
          </a:solidFill>
          <a:ln>
            <a:noFill/>
          </a:ln>
          <a:effectLst>
            <a:outerShdw blurRad="254000" sx="102000" sy="102000" algn="ctr" rotWithShape="0">
              <a:prstClr val="black">
                <a:alpha val="20000"/>
              </a:prstClr>
            </a:outerShdw>
          </a:effectLst>
        </c:spPr>
      </c:pivotFmt>
      <c:pivotFmt>
        <c:idx val="1127"/>
        <c:spPr>
          <a:solidFill>
            <a:schemeClr val="accent6"/>
          </a:solidFill>
          <a:ln>
            <a:noFill/>
          </a:ln>
          <a:effectLst>
            <a:outerShdw blurRad="254000" sx="102000" sy="102000" algn="ctr" rotWithShape="0">
              <a:prstClr val="black">
                <a:alpha val="20000"/>
              </a:prstClr>
            </a:outerShdw>
          </a:effectLst>
        </c:spPr>
      </c:pivotFmt>
      <c:pivotFmt>
        <c:idx val="1128"/>
        <c:spPr>
          <a:solidFill>
            <a:schemeClr val="accent6"/>
          </a:solidFill>
          <a:ln>
            <a:noFill/>
          </a:ln>
          <a:effectLst>
            <a:outerShdw blurRad="254000" sx="102000" sy="102000" algn="ctr" rotWithShape="0">
              <a:prstClr val="black">
                <a:alpha val="20000"/>
              </a:prstClr>
            </a:outerShdw>
          </a:effectLst>
        </c:spPr>
      </c:pivotFmt>
      <c:pivotFmt>
        <c:idx val="1129"/>
        <c:spPr>
          <a:solidFill>
            <a:schemeClr val="accent6"/>
          </a:solidFill>
          <a:ln>
            <a:noFill/>
          </a:ln>
          <a:effectLst>
            <a:outerShdw blurRad="254000" sx="102000" sy="102000" algn="ctr" rotWithShape="0">
              <a:prstClr val="black">
                <a:alpha val="20000"/>
              </a:prstClr>
            </a:outerShdw>
          </a:effectLst>
        </c:spPr>
      </c:pivotFmt>
      <c:pivotFmt>
        <c:idx val="1130"/>
        <c:spPr>
          <a:solidFill>
            <a:schemeClr val="accent6"/>
          </a:solidFill>
          <a:ln>
            <a:noFill/>
          </a:ln>
          <a:effectLst>
            <a:outerShdw blurRad="254000" sx="102000" sy="102000" algn="ctr" rotWithShape="0">
              <a:prstClr val="black">
                <a:alpha val="20000"/>
              </a:prstClr>
            </a:outerShdw>
          </a:effectLst>
        </c:spPr>
      </c:pivotFmt>
      <c:pivotFmt>
        <c:idx val="1131"/>
        <c:spPr>
          <a:solidFill>
            <a:schemeClr val="accent6"/>
          </a:solidFill>
          <a:ln>
            <a:noFill/>
          </a:ln>
          <a:effectLst>
            <a:outerShdw blurRad="254000" sx="102000" sy="102000" algn="ctr" rotWithShape="0">
              <a:prstClr val="black">
                <a:alpha val="20000"/>
              </a:prstClr>
            </a:outerShdw>
          </a:effectLst>
        </c:spPr>
      </c:pivotFmt>
      <c:pivotFmt>
        <c:idx val="1132"/>
        <c:spPr>
          <a:solidFill>
            <a:schemeClr val="accent6"/>
          </a:solidFill>
          <a:ln>
            <a:noFill/>
          </a:ln>
          <a:effectLst>
            <a:outerShdw blurRad="254000" sx="102000" sy="102000" algn="ctr" rotWithShape="0">
              <a:prstClr val="black">
                <a:alpha val="20000"/>
              </a:prstClr>
            </a:outerShdw>
          </a:effectLst>
        </c:spPr>
      </c:pivotFmt>
      <c:pivotFmt>
        <c:idx val="1133"/>
        <c:spPr>
          <a:solidFill>
            <a:schemeClr val="accent6"/>
          </a:solidFill>
          <a:ln>
            <a:noFill/>
          </a:ln>
          <a:effectLst>
            <a:outerShdw blurRad="254000" sx="102000" sy="102000" algn="ctr" rotWithShape="0">
              <a:prstClr val="black">
                <a:alpha val="20000"/>
              </a:prstClr>
            </a:outerShdw>
          </a:effectLst>
        </c:spPr>
      </c:pivotFmt>
      <c:pivotFmt>
        <c:idx val="1134"/>
        <c:spPr>
          <a:solidFill>
            <a:schemeClr val="accent6"/>
          </a:solidFill>
          <a:ln>
            <a:noFill/>
          </a:ln>
          <a:effectLst>
            <a:outerShdw blurRad="254000" sx="102000" sy="102000" algn="ctr" rotWithShape="0">
              <a:prstClr val="black">
                <a:alpha val="20000"/>
              </a:prstClr>
            </a:outerShdw>
          </a:effectLst>
        </c:spPr>
      </c:pivotFmt>
      <c:pivotFmt>
        <c:idx val="1135"/>
        <c:spPr>
          <a:solidFill>
            <a:schemeClr val="accent6"/>
          </a:solidFill>
          <a:ln>
            <a:noFill/>
          </a:ln>
          <a:effectLst>
            <a:outerShdw blurRad="254000" sx="102000" sy="102000" algn="ctr" rotWithShape="0">
              <a:prstClr val="black">
                <a:alpha val="20000"/>
              </a:prstClr>
            </a:outerShdw>
          </a:effectLst>
        </c:spPr>
      </c:pivotFmt>
      <c:pivotFmt>
        <c:idx val="1136"/>
        <c:spPr>
          <a:solidFill>
            <a:schemeClr val="accent6"/>
          </a:solidFill>
          <a:ln>
            <a:noFill/>
          </a:ln>
          <a:effectLst>
            <a:outerShdw blurRad="254000" sx="102000" sy="102000" algn="ctr" rotWithShape="0">
              <a:prstClr val="black">
                <a:alpha val="20000"/>
              </a:prstClr>
            </a:outerShdw>
          </a:effectLst>
        </c:spPr>
      </c:pivotFmt>
      <c:pivotFmt>
        <c:idx val="1137"/>
        <c:spPr>
          <a:solidFill>
            <a:schemeClr val="accent6"/>
          </a:solidFill>
          <a:ln>
            <a:noFill/>
          </a:ln>
          <a:effectLst>
            <a:outerShdw blurRad="254000" sx="102000" sy="102000" algn="ctr" rotWithShape="0">
              <a:prstClr val="black">
                <a:alpha val="20000"/>
              </a:prstClr>
            </a:outerShdw>
          </a:effectLst>
        </c:spPr>
      </c:pivotFmt>
      <c:pivotFmt>
        <c:idx val="1138"/>
        <c:spPr>
          <a:solidFill>
            <a:schemeClr val="accent6"/>
          </a:solidFill>
          <a:ln>
            <a:noFill/>
          </a:ln>
          <a:effectLst>
            <a:outerShdw blurRad="254000" sx="102000" sy="102000" algn="ctr" rotWithShape="0">
              <a:prstClr val="black">
                <a:alpha val="20000"/>
              </a:prstClr>
            </a:outerShdw>
          </a:effectLst>
        </c:spPr>
      </c:pivotFmt>
      <c:pivotFmt>
        <c:idx val="1139"/>
        <c:spPr>
          <a:solidFill>
            <a:schemeClr val="accent6"/>
          </a:solidFill>
          <a:ln>
            <a:noFill/>
          </a:ln>
          <a:effectLst>
            <a:outerShdw blurRad="254000" sx="102000" sy="102000" algn="ctr" rotWithShape="0">
              <a:prstClr val="black">
                <a:alpha val="20000"/>
              </a:prstClr>
            </a:outerShdw>
          </a:effectLst>
        </c:spPr>
      </c:pivotFmt>
      <c:pivotFmt>
        <c:idx val="1140"/>
        <c:spPr>
          <a:solidFill>
            <a:schemeClr val="accent6"/>
          </a:solidFill>
          <a:ln>
            <a:noFill/>
          </a:ln>
          <a:effectLst>
            <a:outerShdw blurRad="254000" sx="102000" sy="102000" algn="ctr" rotWithShape="0">
              <a:prstClr val="black">
                <a:alpha val="20000"/>
              </a:prstClr>
            </a:outerShdw>
          </a:effectLst>
        </c:spPr>
      </c:pivotFmt>
      <c:pivotFmt>
        <c:idx val="1141"/>
        <c:spPr>
          <a:solidFill>
            <a:schemeClr val="accent6"/>
          </a:solidFill>
          <a:ln>
            <a:noFill/>
          </a:ln>
          <a:effectLst>
            <a:outerShdw blurRad="254000" sx="102000" sy="102000" algn="ctr" rotWithShape="0">
              <a:prstClr val="black">
                <a:alpha val="20000"/>
              </a:prstClr>
            </a:outerShdw>
          </a:effectLst>
        </c:spPr>
      </c:pivotFmt>
      <c:pivotFmt>
        <c:idx val="1142"/>
        <c:spPr>
          <a:solidFill>
            <a:schemeClr val="accent6"/>
          </a:solidFill>
          <a:ln>
            <a:noFill/>
          </a:ln>
          <a:effectLst>
            <a:outerShdw blurRad="254000" sx="102000" sy="102000" algn="ctr" rotWithShape="0">
              <a:prstClr val="black">
                <a:alpha val="20000"/>
              </a:prstClr>
            </a:outerShdw>
          </a:effectLst>
        </c:spPr>
      </c:pivotFmt>
      <c:pivotFmt>
        <c:idx val="1143"/>
        <c:spPr>
          <a:solidFill>
            <a:schemeClr val="accent6"/>
          </a:solidFill>
          <a:ln>
            <a:noFill/>
          </a:ln>
          <a:effectLst>
            <a:outerShdw blurRad="254000" sx="102000" sy="102000" algn="ctr" rotWithShape="0">
              <a:prstClr val="black">
                <a:alpha val="20000"/>
              </a:prstClr>
            </a:outerShdw>
          </a:effectLst>
        </c:spPr>
      </c:pivotFmt>
      <c:pivotFmt>
        <c:idx val="1144"/>
        <c:spPr>
          <a:solidFill>
            <a:schemeClr val="accent6"/>
          </a:solidFill>
          <a:ln>
            <a:noFill/>
          </a:ln>
          <a:effectLst>
            <a:outerShdw blurRad="254000" sx="102000" sy="102000" algn="ctr" rotWithShape="0">
              <a:prstClr val="black">
                <a:alpha val="20000"/>
              </a:prstClr>
            </a:outerShdw>
          </a:effectLst>
        </c:spPr>
      </c:pivotFmt>
      <c:pivotFmt>
        <c:idx val="1145"/>
        <c:spPr>
          <a:solidFill>
            <a:schemeClr val="accent6"/>
          </a:solidFill>
          <a:ln>
            <a:noFill/>
          </a:ln>
          <a:effectLst>
            <a:outerShdw blurRad="254000" sx="102000" sy="102000" algn="ctr" rotWithShape="0">
              <a:prstClr val="black">
                <a:alpha val="20000"/>
              </a:prstClr>
            </a:outerShdw>
          </a:effectLst>
        </c:spPr>
      </c:pivotFmt>
      <c:pivotFmt>
        <c:idx val="1146"/>
        <c:spPr>
          <a:solidFill>
            <a:schemeClr val="accent6"/>
          </a:solidFill>
          <a:ln>
            <a:noFill/>
          </a:ln>
          <a:effectLst>
            <a:outerShdw blurRad="254000" sx="102000" sy="102000" algn="ctr" rotWithShape="0">
              <a:prstClr val="black">
                <a:alpha val="20000"/>
              </a:prstClr>
            </a:outerShdw>
          </a:effectLst>
        </c:spPr>
      </c:pivotFmt>
      <c:pivotFmt>
        <c:idx val="1147"/>
        <c:spPr>
          <a:solidFill>
            <a:schemeClr val="accent6"/>
          </a:solidFill>
          <a:ln>
            <a:noFill/>
          </a:ln>
          <a:effectLst>
            <a:outerShdw blurRad="254000" sx="102000" sy="102000" algn="ctr" rotWithShape="0">
              <a:prstClr val="black">
                <a:alpha val="20000"/>
              </a:prstClr>
            </a:outerShdw>
          </a:effectLst>
        </c:spPr>
      </c:pivotFmt>
      <c:pivotFmt>
        <c:idx val="1148"/>
        <c:spPr>
          <a:solidFill>
            <a:schemeClr val="accent6"/>
          </a:solidFill>
          <a:ln>
            <a:noFill/>
          </a:ln>
          <a:effectLst>
            <a:outerShdw blurRad="254000" sx="102000" sy="102000" algn="ctr" rotWithShape="0">
              <a:prstClr val="black">
                <a:alpha val="20000"/>
              </a:prstClr>
            </a:outerShdw>
          </a:effectLst>
        </c:spPr>
      </c:pivotFmt>
      <c:pivotFmt>
        <c:idx val="1149"/>
        <c:spPr>
          <a:solidFill>
            <a:schemeClr val="accent6"/>
          </a:solidFill>
          <a:ln>
            <a:noFill/>
          </a:ln>
          <a:effectLst>
            <a:outerShdw blurRad="254000" sx="102000" sy="102000" algn="ctr" rotWithShape="0">
              <a:prstClr val="black">
                <a:alpha val="20000"/>
              </a:prstClr>
            </a:outerShdw>
          </a:effectLst>
        </c:spPr>
      </c:pivotFmt>
      <c:pivotFmt>
        <c:idx val="1150"/>
        <c:spPr>
          <a:solidFill>
            <a:schemeClr val="accent6"/>
          </a:solidFill>
          <a:ln>
            <a:noFill/>
          </a:ln>
          <a:effectLst>
            <a:outerShdw blurRad="254000" sx="102000" sy="102000" algn="ctr" rotWithShape="0">
              <a:prstClr val="black">
                <a:alpha val="20000"/>
              </a:prstClr>
            </a:outerShdw>
          </a:effectLst>
        </c:spPr>
      </c:pivotFmt>
      <c:pivotFmt>
        <c:idx val="1151"/>
        <c:spPr>
          <a:solidFill>
            <a:schemeClr val="accent6"/>
          </a:solidFill>
          <a:ln>
            <a:noFill/>
          </a:ln>
          <a:effectLst>
            <a:outerShdw blurRad="254000" sx="102000" sy="102000" algn="ctr" rotWithShape="0">
              <a:prstClr val="black">
                <a:alpha val="20000"/>
              </a:prstClr>
            </a:outerShdw>
          </a:effectLst>
        </c:spPr>
      </c:pivotFmt>
      <c:pivotFmt>
        <c:idx val="1152"/>
        <c:spPr>
          <a:solidFill>
            <a:schemeClr val="accent6"/>
          </a:solidFill>
          <a:ln>
            <a:noFill/>
          </a:ln>
          <a:effectLst>
            <a:outerShdw blurRad="254000" sx="102000" sy="102000" algn="ctr" rotWithShape="0">
              <a:prstClr val="black">
                <a:alpha val="20000"/>
              </a:prstClr>
            </a:outerShdw>
          </a:effectLst>
        </c:spPr>
      </c:pivotFmt>
      <c:pivotFmt>
        <c:idx val="1153"/>
        <c:spPr>
          <a:solidFill>
            <a:schemeClr val="accent6"/>
          </a:solidFill>
          <a:ln>
            <a:noFill/>
          </a:ln>
          <a:effectLst>
            <a:outerShdw blurRad="254000" sx="102000" sy="102000" algn="ctr" rotWithShape="0">
              <a:prstClr val="black">
                <a:alpha val="20000"/>
              </a:prstClr>
            </a:outerShdw>
          </a:effectLst>
        </c:spPr>
      </c:pivotFmt>
      <c:pivotFmt>
        <c:idx val="1154"/>
        <c:spPr>
          <a:solidFill>
            <a:schemeClr val="accent6"/>
          </a:solidFill>
          <a:ln>
            <a:noFill/>
          </a:ln>
          <a:effectLst>
            <a:outerShdw blurRad="254000" sx="102000" sy="102000" algn="ctr" rotWithShape="0">
              <a:prstClr val="black">
                <a:alpha val="20000"/>
              </a:prstClr>
            </a:outerShdw>
          </a:effectLst>
        </c:spPr>
      </c:pivotFmt>
      <c:pivotFmt>
        <c:idx val="1155"/>
        <c:spPr>
          <a:solidFill>
            <a:schemeClr val="accent6"/>
          </a:solidFill>
          <a:ln>
            <a:noFill/>
          </a:ln>
          <a:effectLst>
            <a:outerShdw blurRad="254000" sx="102000" sy="102000" algn="ctr" rotWithShape="0">
              <a:prstClr val="black">
                <a:alpha val="20000"/>
              </a:prstClr>
            </a:outerShdw>
          </a:effectLst>
        </c:spPr>
      </c:pivotFmt>
      <c:pivotFmt>
        <c:idx val="1156"/>
        <c:spPr>
          <a:solidFill>
            <a:schemeClr val="accent6"/>
          </a:solidFill>
          <a:ln>
            <a:noFill/>
          </a:ln>
          <a:effectLst>
            <a:outerShdw blurRad="254000" sx="102000" sy="102000" algn="ctr" rotWithShape="0">
              <a:prstClr val="black">
                <a:alpha val="20000"/>
              </a:prstClr>
            </a:outerShdw>
          </a:effectLst>
        </c:spPr>
      </c:pivotFmt>
      <c:pivotFmt>
        <c:idx val="1157"/>
        <c:spPr>
          <a:solidFill>
            <a:schemeClr val="accent6"/>
          </a:solidFill>
          <a:ln>
            <a:noFill/>
          </a:ln>
          <a:effectLst>
            <a:outerShdw blurRad="254000" sx="102000" sy="102000" algn="ctr" rotWithShape="0">
              <a:prstClr val="black">
                <a:alpha val="20000"/>
              </a:prstClr>
            </a:outerShdw>
          </a:effectLst>
        </c:spPr>
      </c:pivotFmt>
      <c:pivotFmt>
        <c:idx val="1158"/>
        <c:spPr>
          <a:solidFill>
            <a:schemeClr val="accent6"/>
          </a:solidFill>
          <a:ln>
            <a:noFill/>
          </a:ln>
          <a:effectLst>
            <a:outerShdw blurRad="254000" sx="102000" sy="102000" algn="ctr" rotWithShape="0">
              <a:prstClr val="black">
                <a:alpha val="20000"/>
              </a:prstClr>
            </a:outerShdw>
          </a:effectLst>
        </c:spPr>
      </c:pivotFmt>
      <c:pivotFmt>
        <c:idx val="1159"/>
        <c:spPr>
          <a:solidFill>
            <a:schemeClr val="accent6"/>
          </a:solidFill>
          <a:ln>
            <a:noFill/>
          </a:ln>
          <a:effectLst>
            <a:outerShdw blurRad="254000" sx="102000" sy="102000" algn="ctr" rotWithShape="0">
              <a:prstClr val="black">
                <a:alpha val="20000"/>
              </a:prstClr>
            </a:outerShdw>
          </a:effectLst>
        </c:spPr>
      </c:pivotFmt>
      <c:pivotFmt>
        <c:idx val="1160"/>
        <c:spPr>
          <a:solidFill>
            <a:schemeClr val="accent6"/>
          </a:solidFill>
          <a:ln>
            <a:noFill/>
          </a:ln>
          <a:effectLst>
            <a:outerShdw blurRad="254000" sx="102000" sy="102000" algn="ctr" rotWithShape="0">
              <a:prstClr val="black">
                <a:alpha val="20000"/>
              </a:prstClr>
            </a:outerShdw>
          </a:effectLst>
        </c:spPr>
      </c:pivotFmt>
      <c:pivotFmt>
        <c:idx val="1161"/>
        <c:spPr>
          <a:solidFill>
            <a:schemeClr val="accent6"/>
          </a:solidFill>
          <a:ln>
            <a:noFill/>
          </a:ln>
          <a:effectLst>
            <a:outerShdw blurRad="254000" sx="102000" sy="102000" algn="ctr" rotWithShape="0">
              <a:prstClr val="black">
                <a:alpha val="20000"/>
              </a:prstClr>
            </a:outerShdw>
          </a:effectLst>
        </c:spPr>
      </c:pivotFmt>
      <c:pivotFmt>
        <c:idx val="1162"/>
        <c:spPr>
          <a:solidFill>
            <a:schemeClr val="accent6"/>
          </a:solidFill>
          <a:ln>
            <a:noFill/>
          </a:ln>
          <a:effectLst>
            <a:outerShdw blurRad="254000" sx="102000" sy="102000" algn="ctr" rotWithShape="0">
              <a:prstClr val="black">
                <a:alpha val="20000"/>
              </a:prstClr>
            </a:outerShdw>
          </a:effectLst>
        </c:spPr>
      </c:pivotFmt>
      <c:pivotFmt>
        <c:idx val="1163"/>
        <c:spPr>
          <a:solidFill>
            <a:schemeClr val="accent6"/>
          </a:solidFill>
          <a:ln>
            <a:noFill/>
          </a:ln>
          <a:effectLst>
            <a:outerShdw blurRad="254000" sx="102000" sy="102000" algn="ctr" rotWithShape="0">
              <a:prstClr val="black">
                <a:alpha val="20000"/>
              </a:prstClr>
            </a:outerShdw>
          </a:effectLst>
        </c:spPr>
      </c:pivotFmt>
      <c:pivotFmt>
        <c:idx val="1164"/>
        <c:spPr>
          <a:solidFill>
            <a:schemeClr val="accent6"/>
          </a:solidFill>
          <a:ln>
            <a:noFill/>
          </a:ln>
          <a:effectLst>
            <a:outerShdw blurRad="254000" sx="102000" sy="102000" algn="ctr" rotWithShape="0">
              <a:prstClr val="black">
                <a:alpha val="20000"/>
              </a:prstClr>
            </a:outerShdw>
          </a:effectLst>
        </c:spPr>
      </c:pivotFmt>
      <c:pivotFmt>
        <c:idx val="116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16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16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6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6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17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171"/>
      </c:pivotFmt>
      <c:pivotFmt>
        <c:idx val="1172"/>
      </c:pivotFmt>
      <c:pivotFmt>
        <c:idx val="1173"/>
      </c:pivotFmt>
      <c:pivotFmt>
        <c:idx val="1174"/>
      </c:pivotFmt>
      <c:pivotFmt>
        <c:idx val="1175"/>
      </c:pivotFmt>
      <c:pivotFmt>
        <c:idx val="1176"/>
      </c:pivotFmt>
      <c:pivotFmt>
        <c:idx val="1177"/>
      </c:pivotFmt>
      <c:pivotFmt>
        <c:idx val="1178"/>
      </c:pivotFmt>
      <c:pivotFmt>
        <c:idx val="1179"/>
      </c:pivotFmt>
      <c:pivotFmt>
        <c:idx val="118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81"/>
        <c:spPr>
          <a:solidFill>
            <a:schemeClr val="accent6"/>
          </a:solidFill>
          <a:ln>
            <a:noFill/>
          </a:ln>
          <a:effectLst>
            <a:outerShdw blurRad="254000" sx="102000" sy="102000" algn="ctr" rotWithShape="0">
              <a:prstClr val="black">
                <a:alpha val="20000"/>
              </a:prstClr>
            </a:outerShdw>
          </a:effectLst>
        </c:spPr>
      </c:pivotFmt>
      <c:pivotFmt>
        <c:idx val="1182"/>
        <c:spPr>
          <a:solidFill>
            <a:schemeClr val="accent6"/>
          </a:solidFill>
          <a:ln>
            <a:noFill/>
          </a:ln>
          <a:effectLst>
            <a:outerShdw blurRad="254000" sx="102000" sy="102000" algn="ctr" rotWithShape="0">
              <a:prstClr val="black">
                <a:alpha val="20000"/>
              </a:prstClr>
            </a:outerShdw>
          </a:effectLst>
        </c:spPr>
      </c:pivotFmt>
      <c:pivotFmt>
        <c:idx val="1183"/>
        <c:spPr>
          <a:solidFill>
            <a:schemeClr val="accent6"/>
          </a:solidFill>
          <a:ln>
            <a:noFill/>
          </a:ln>
          <a:effectLst>
            <a:outerShdw blurRad="254000" sx="102000" sy="102000" algn="ctr" rotWithShape="0">
              <a:prstClr val="black">
                <a:alpha val="20000"/>
              </a:prstClr>
            </a:outerShdw>
          </a:effectLst>
        </c:spPr>
      </c:pivotFmt>
      <c:pivotFmt>
        <c:idx val="1184"/>
        <c:spPr>
          <a:solidFill>
            <a:schemeClr val="accent6"/>
          </a:solidFill>
          <a:ln>
            <a:noFill/>
          </a:ln>
          <a:effectLst>
            <a:outerShdw blurRad="254000" sx="102000" sy="102000" algn="ctr" rotWithShape="0">
              <a:prstClr val="black">
                <a:alpha val="20000"/>
              </a:prstClr>
            </a:outerShdw>
          </a:effectLst>
        </c:spPr>
      </c:pivotFmt>
      <c:pivotFmt>
        <c:idx val="1185"/>
        <c:spPr>
          <a:solidFill>
            <a:schemeClr val="accent6"/>
          </a:solidFill>
          <a:ln>
            <a:noFill/>
          </a:ln>
          <a:effectLst>
            <a:outerShdw blurRad="254000" sx="102000" sy="102000" algn="ctr" rotWithShape="0">
              <a:prstClr val="black">
                <a:alpha val="20000"/>
              </a:prstClr>
            </a:outerShdw>
          </a:effectLst>
        </c:spPr>
      </c:pivotFmt>
      <c:pivotFmt>
        <c:idx val="1186"/>
        <c:spPr>
          <a:solidFill>
            <a:schemeClr val="accent6"/>
          </a:solidFill>
          <a:ln>
            <a:noFill/>
          </a:ln>
          <a:effectLst>
            <a:outerShdw blurRad="254000" sx="102000" sy="102000" algn="ctr" rotWithShape="0">
              <a:prstClr val="black">
                <a:alpha val="20000"/>
              </a:prstClr>
            </a:outerShdw>
          </a:effectLst>
        </c:spPr>
      </c:pivotFmt>
      <c:pivotFmt>
        <c:idx val="1187"/>
        <c:spPr>
          <a:solidFill>
            <a:schemeClr val="accent6"/>
          </a:solidFill>
          <a:ln>
            <a:noFill/>
          </a:ln>
          <a:effectLst>
            <a:outerShdw blurRad="254000" sx="102000" sy="102000" algn="ctr" rotWithShape="0">
              <a:prstClr val="black">
                <a:alpha val="20000"/>
              </a:prstClr>
            </a:outerShdw>
          </a:effectLst>
        </c:spPr>
      </c:pivotFmt>
      <c:pivotFmt>
        <c:idx val="1188"/>
        <c:spPr>
          <a:solidFill>
            <a:schemeClr val="accent6"/>
          </a:solidFill>
          <a:ln>
            <a:noFill/>
          </a:ln>
          <a:effectLst>
            <a:outerShdw blurRad="254000" sx="102000" sy="102000" algn="ctr" rotWithShape="0">
              <a:prstClr val="black">
                <a:alpha val="20000"/>
              </a:prstClr>
            </a:outerShdw>
          </a:effectLst>
        </c:spPr>
      </c:pivotFmt>
      <c:pivotFmt>
        <c:idx val="1189"/>
        <c:spPr>
          <a:solidFill>
            <a:schemeClr val="accent6"/>
          </a:solidFill>
          <a:ln>
            <a:noFill/>
          </a:ln>
          <a:effectLst>
            <a:outerShdw blurRad="254000" sx="102000" sy="102000" algn="ctr" rotWithShape="0">
              <a:prstClr val="black">
                <a:alpha val="20000"/>
              </a:prstClr>
            </a:outerShdw>
          </a:effectLst>
        </c:spPr>
      </c:pivotFmt>
      <c:pivotFmt>
        <c:idx val="119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9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9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9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9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9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9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9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200"/>
        <c:spPr>
          <a:solidFill>
            <a:schemeClr val="accent6"/>
          </a:solidFill>
          <a:ln>
            <a:noFill/>
          </a:ln>
          <a:effectLst>
            <a:outerShdw blurRad="254000" sx="102000" sy="102000" algn="ctr" rotWithShape="0">
              <a:prstClr val="black">
                <a:alpha val="20000"/>
              </a:prstClr>
            </a:outerShdw>
          </a:effectLst>
        </c:spPr>
      </c:pivotFmt>
      <c:pivotFmt>
        <c:idx val="1201"/>
        <c:spPr>
          <a:solidFill>
            <a:schemeClr val="accent6"/>
          </a:solidFill>
          <a:ln>
            <a:noFill/>
          </a:ln>
          <a:effectLst>
            <a:outerShdw blurRad="254000" sx="102000" sy="102000" algn="ctr" rotWithShape="0">
              <a:prstClr val="black">
                <a:alpha val="20000"/>
              </a:prstClr>
            </a:outerShdw>
          </a:effectLst>
        </c:spPr>
      </c:pivotFmt>
      <c:pivotFmt>
        <c:idx val="1202"/>
        <c:spPr>
          <a:solidFill>
            <a:schemeClr val="accent6"/>
          </a:solidFill>
          <a:ln>
            <a:noFill/>
          </a:ln>
          <a:effectLst>
            <a:outerShdw blurRad="254000" sx="102000" sy="102000" algn="ctr" rotWithShape="0">
              <a:prstClr val="black">
                <a:alpha val="20000"/>
              </a:prstClr>
            </a:outerShdw>
          </a:effectLst>
        </c:spPr>
      </c:pivotFmt>
      <c:pivotFmt>
        <c:idx val="1203"/>
        <c:spPr>
          <a:solidFill>
            <a:schemeClr val="accent6"/>
          </a:solidFill>
          <a:ln>
            <a:noFill/>
          </a:ln>
          <a:effectLst>
            <a:outerShdw blurRad="254000" sx="102000" sy="102000" algn="ctr" rotWithShape="0">
              <a:prstClr val="black">
                <a:alpha val="20000"/>
              </a:prstClr>
            </a:outerShdw>
          </a:effectLst>
        </c:spPr>
      </c:pivotFmt>
      <c:pivotFmt>
        <c:idx val="1204"/>
        <c:spPr>
          <a:solidFill>
            <a:schemeClr val="accent6"/>
          </a:solidFill>
          <a:ln>
            <a:noFill/>
          </a:ln>
          <a:effectLst>
            <a:outerShdw blurRad="254000" sx="102000" sy="102000" algn="ctr" rotWithShape="0">
              <a:prstClr val="black">
                <a:alpha val="20000"/>
              </a:prstClr>
            </a:outerShdw>
          </a:effectLst>
        </c:spPr>
      </c:pivotFmt>
      <c:pivotFmt>
        <c:idx val="1205"/>
        <c:spPr>
          <a:solidFill>
            <a:schemeClr val="accent6"/>
          </a:solidFill>
          <a:ln>
            <a:noFill/>
          </a:ln>
          <a:effectLst>
            <a:outerShdw blurRad="254000" sx="102000" sy="102000" algn="ctr" rotWithShape="0">
              <a:prstClr val="black">
                <a:alpha val="20000"/>
              </a:prstClr>
            </a:outerShdw>
          </a:effectLst>
        </c:spPr>
      </c:pivotFmt>
      <c:pivotFmt>
        <c:idx val="1206"/>
        <c:spPr>
          <a:solidFill>
            <a:schemeClr val="accent6"/>
          </a:solidFill>
          <a:ln>
            <a:noFill/>
          </a:ln>
          <a:effectLst>
            <a:outerShdw blurRad="254000" sx="102000" sy="102000" algn="ctr" rotWithShape="0">
              <a:prstClr val="black">
                <a:alpha val="20000"/>
              </a:prstClr>
            </a:outerShdw>
          </a:effectLst>
        </c:spPr>
      </c:pivotFmt>
      <c:pivotFmt>
        <c:idx val="1207"/>
        <c:spPr>
          <a:solidFill>
            <a:schemeClr val="accent6"/>
          </a:solidFill>
          <a:ln>
            <a:noFill/>
          </a:ln>
          <a:effectLst>
            <a:outerShdw blurRad="254000" sx="102000" sy="102000" algn="ctr" rotWithShape="0">
              <a:prstClr val="black">
                <a:alpha val="20000"/>
              </a:prstClr>
            </a:outerShdw>
          </a:effectLst>
        </c:spPr>
      </c:pivotFmt>
      <c:pivotFmt>
        <c:idx val="1208"/>
        <c:spPr>
          <a:solidFill>
            <a:schemeClr val="accent6"/>
          </a:solidFill>
          <a:ln>
            <a:noFill/>
          </a:ln>
          <a:effectLst>
            <a:outerShdw blurRad="254000" sx="102000" sy="102000" algn="ctr" rotWithShape="0">
              <a:prstClr val="black">
                <a:alpha val="20000"/>
              </a:prstClr>
            </a:outerShdw>
          </a:effectLst>
        </c:spPr>
      </c:pivotFmt>
      <c:pivotFmt>
        <c:idx val="1209"/>
        <c:spPr>
          <a:solidFill>
            <a:schemeClr val="accent6"/>
          </a:solidFill>
          <a:ln>
            <a:noFill/>
          </a:ln>
          <a:effectLst>
            <a:outerShdw blurRad="254000" sx="102000" sy="102000" algn="ctr" rotWithShape="0">
              <a:prstClr val="black">
                <a:alpha val="20000"/>
              </a:prstClr>
            </a:outerShdw>
          </a:effectLst>
        </c:spPr>
      </c:pivotFmt>
      <c:pivotFmt>
        <c:idx val="1210"/>
        <c:spPr>
          <a:solidFill>
            <a:schemeClr val="accent6"/>
          </a:solidFill>
          <a:ln>
            <a:noFill/>
          </a:ln>
          <a:effectLst>
            <a:outerShdw blurRad="254000" sx="102000" sy="102000" algn="ctr" rotWithShape="0">
              <a:prstClr val="black">
                <a:alpha val="20000"/>
              </a:prstClr>
            </a:outerShdw>
          </a:effectLst>
        </c:spPr>
      </c:pivotFmt>
      <c:pivotFmt>
        <c:idx val="1211"/>
        <c:spPr>
          <a:solidFill>
            <a:schemeClr val="accent6"/>
          </a:solidFill>
          <a:ln>
            <a:noFill/>
          </a:ln>
          <a:effectLst>
            <a:outerShdw blurRad="254000" sx="102000" sy="102000" algn="ctr" rotWithShape="0">
              <a:prstClr val="black">
                <a:alpha val="20000"/>
              </a:prstClr>
            </a:outerShdw>
          </a:effectLst>
        </c:spPr>
      </c:pivotFmt>
      <c:pivotFmt>
        <c:idx val="1212"/>
        <c:spPr>
          <a:solidFill>
            <a:schemeClr val="accent6"/>
          </a:solidFill>
          <a:ln>
            <a:noFill/>
          </a:ln>
          <a:effectLst>
            <a:outerShdw blurRad="254000" sx="102000" sy="102000" algn="ctr" rotWithShape="0">
              <a:prstClr val="black">
                <a:alpha val="20000"/>
              </a:prstClr>
            </a:outerShdw>
          </a:effectLst>
        </c:spPr>
      </c:pivotFmt>
      <c:pivotFmt>
        <c:idx val="1213"/>
        <c:spPr>
          <a:solidFill>
            <a:schemeClr val="accent6"/>
          </a:solidFill>
          <a:ln>
            <a:noFill/>
          </a:ln>
          <a:effectLst>
            <a:outerShdw blurRad="254000" sx="102000" sy="102000" algn="ctr" rotWithShape="0">
              <a:prstClr val="black">
                <a:alpha val="20000"/>
              </a:prstClr>
            </a:outerShdw>
          </a:effectLst>
        </c:spPr>
      </c:pivotFmt>
      <c:pivotFmt>
        <c:idx val="1214"/>
        <c:spPr>
          <a:solidFill>
            <a:schemeClr val="accent6"/>
          </a:solidFill>
          <a:ln>
            <a:noFill/>
          </a:ln>
          <a:effectLst>
            <a:outerShdw blurRad="254000" sx="102000" sy="102000" algn="ctr" rotWithShape="0">
              <a:prstClr val="black">
                <a:alpha val="20000"/>
              </a:prstClr>
            </a:outerShdw>
          </a:effectLst>
        </c:spPr>
      </c:pivotFmt>
      <c:pivotFmt>
        <c:idx val="1215"/>
        <c:spPr>
          <a:solidFill>
            <a:schemeClr val="accent6"/>
          </a:solidFill>
          <a:ln>
            <a:noFill/>
          </a:ln>
          <a:effectLst>
            <a:outerShdw blurRad="254000" sx="102000" sy="102000" algn="ctr" rotWithShape="0">
              <a:prstClr val="black">
                <a:alpha val="20000"/>
              </a:prstClr>
            </a:outerShdw>
          </a:effectLst>
        </c:spPr>
      </c:pivotFmt>
      <c:pivotFmt>
        <c:idx val="1216"/>
        <c:spPr>
          <a:solidFill>
            <a:schemeClr val="accent6"/>
          </a:solidFill>
          <a:ln>
            <a:noFill/>
          </a:ln>
          <a:effectLst>
            <a:outerShdw blurRad="254000" sx="102000" sy="102000" algn="ctr" rotWithShape="0">
              <a:prstClr val="black">
                <a:alpha val="20000"/>
              </a:prstClr>
            </a:outerShdw>
          </a:effectLst>
        </c:spPr>
      </c:pivotFmt>
      <c:pivotFmt>
        <c:idx val="1217"/>
        <c:spPr>
          <a:solidFill>
            <a:schemeClr val="accent6"/>
          </a:solidFill>
          <a:ln>
            <a:noFill/>
          </a:ln>
          <a:effectLst>
            <a:outerShdw blurRad="254000" sx="102000" sy="102000" algn="ctr" rotWithShape="0">
              <a:prstClr val="black">
                <a:alpha val="20000"/>
              </a:prstClr>
            </a:outerShdw>
          </a:effectLst>
        </c:spPr>
      </c:pivotFmt>
      <c:pivotFmt>
        <c:idx val="1218"/>
        <c:spPr>
          <a:solidFill>
            <a:schemeClr val="accent6"/>
          </a:solidFill>
          <a:ln>
            <a:noFill/>
          </a:ln>
          <a:effectLst>
            <a:outerShdw blurRad="254000" sx="102000" sy="102000" algn="ctr" rotWithShape="0">
              <a:prstClr val="black">
                <a:alpha val="20000"/>
              </a:prstClr>
            </a:outerShdw>
          </a:effectLst>
        </c:spPr>
      </c:pivotFmt>
      <c:pivotFmt>
        <c:idx val="1219"/>
        <c:spPr>
          <a:solidFill>
            <a:schemeClr val="accent6"/>
          </a:solidFill>
          <a:ln>
            <a:noFill/>
          </a:ln>
          <a:effectLst>
            <a:outerShdw blurRad="254000" sx="102000" sy="102000" algn="ctr" rotWithShape="0">
              <a:prstClr val="black">
                <a:alpha val="20000"/>
              </a:prstClr>
            </a:outerShdw>
          </a:effectLst>
        </c:spPr>
      </c:pivotFmt>
      <c:pivotFmt>
        <c:idx val="1220"/>
        <c:spPr>
          <a:solidFill>
            <a:schemeClr val="accent6"/>
          </a:solidFill>
          <a:ln>
            <a:noFill/>
          </a:ln>
          <a:effectLst>
            <a:outerShdw blurRad="254000" sx="102000" sy="102000" algn="ctr" rotWithShape="0">
              <a:prstClr val="black">
                <a:alpha val="20000"/>
              </a:prstClr>
            </a:outerShdw>
          </a:effectLst>
        </c:spPr>
      </c:pivotFmt>
      <c:pivotFmt>
        <c:idx val="1221"/>
        <c:spPr>
          <a:solidFill>
            <a:schemeClr val="accent6"/>
          </a:solidFill>
          <a:ln>
            <a:noFill/>
          </a:ln>
          <a:effectLst>
            <a:outerShdw blurRad="254000" sx="102000" sy="102000" algn="ctr" rotWithShape="0">
              <a:prstClr val="black">
                <a:alpha val="20000"/>
              </a:prstClr>
            </a:outerShdw>
          </a:effectLst>
        </c:spPr>
      </c:pivotFmt>
      <c:pivotFmt>
        <c:idx val="1222"/>
        <c:spPr>
          <a:solidFill>
            <a:schemeClr val="accent6"/>
          </a:solidFill>
          <a:ln>
            <a:noFill/>
          </a:ln>
          <a:effectLst>
            <a:outerShdw blurRad="254000" sx="102000" sy="102000" algn="ctr" rotWithShape="0">
              <a:prstClr val="black">
                <a:alpha val="20000"/>
              </a:prstClr>
            </a:outerShdw>
          </a:effectLst>
        </c:spPr>
      </c:pivotFmt>
      <c:pivotFmt>
        <c:idx val="1223"/>
        <c:spPr>
          <a:solidFill>
            <a:schemeClr val="accent6"/>
          </a:solidFill>
          <a:ln>
            <a:noFill/>
          </a:ln>
          <a:effectLst>
            <a:outerShdw blurRad="254000" sx="102000" sy="102000" algn="ctr" rotWithShape="0">
              <a:prstClr val="black">
                <a:alpha val="20000"/>
              </a:prstClr>
            </a:outerShdw>
          </a:effectLst>
        </c:spPr>
      </c:pivotFmt>
      <c:pivotFmt>
        <c:idx val="1224"/>
        <c:spPr>
          <a:solidFill>
            <a:schemeClr val="accent6"/>
          </a:solidFill>
          <a:ln>
            <a:noFill/>
          </a:ln>
          <a:effectLst>
            <a:outerShdw blurRad="254000" sx="102000" sy="102000" algn="ctr" rotWithShape="0">
              <a:prstClr val="black">
                <a:alpha val="20000"/>
              </a:prstClr>
            </a:outerShdw>
          </a:effectLst>
        </c:spPr>
      </c:pivotFmt>
      <c:pivotFmt>
        <c:idx val="1225"/>
        <c:spPr>
          <a:solidFill>
            <a:schemeClr val="accent6"/>
          </a:solidFill>
          <a:ln>
            <a:noFill/>
          </a:ln>
          <a:effectLst>
            <a:outerShdw blurRad="254000" sx="102000" sy="102000" algn="ctr" rotWithShape="0">
              <a:prstClr val="black">
                <a:alpha val="20000"/>
              </a:prstClr>
            </a:outerShdw>
          </a:effectLst>
        </c:spPr>
      </c:pivotFmt>
      <c:pivotFmt>
        <c:idx val="1226"/>
        <c:spPr>
          <a:solidFill>
            <a:schemeClr val="accent6"/>
          </a:solidFill>
          <a:ln>
            <a:noFill/>
          </a:ln>
          <a:effectLst>
            <a:outerShdw blurRad="254000" sx="102000" sy="102000" algn="ctr" rotWithShape="0">
              <a:prstClr val="black">
                <a:alpha val="20000"/>
              </a:prstClr>
            </a:outerShdw>
          </a:effectLst>
        </c:spPr>
      </c:pivotFmt>
      <c:pivotFmt>
        <c:idx val="1227"/>
        <c:spPr>
          <a:solidFill>
            <a:schemeClr val="accent6"/>
          </a:solidFill>
          <a:ln>
            <a:noFill/>
          </a:ln>
          <a:effectLst>
            <a:outerShdw blurRad="254000" sx="102000" sy="102000" algn="ctr" rotWithShape="0">
              <a:prstClr val="black">
                <a:alpha val="20000"/>
              </a:prstClr>
            </a:outerShdw>
          </a:effectLst>
        </c:spPr>
      </c:pivotFmt>
      <c:pivotFmt>
        <c:idx val="1228"/>
        <c:spPr>
          <a:solidFill>
            <a:schemeClr val="accent6"/>
          </a:solidFill>
          <a:ln>
            <a:noFill/>
          </a:ln>
          <a:effectLst>
            <a:outerShdw blurRad="254000" sx="102000" sy="102000" algn="ctr" rotWithShape="0">
              <a:prstClr val="black">
                <a:alpha val="20000"/>
              </a:prstClr>
            </a:outerShdw>
          </a:effectLst>
        </c:spPr>
      </c:pivotFmt>
      <c:pivotFmt>
        <c:idx val="1229"/>
        <c:spPr>
          <a:solidFill>
            <a:schemeClr val="accent6"/>
          </a:solidFill>
          <a:ln>
            <a:noFill/>
          </a:ln>
          <a:effectLst>
            <a:outerShdw blurRad="254000" sx="102000" sy="102000" algn="ctr" rotWithShape="0">
              <a:prstClr val="black">
                <a:alpha val="20000"/>
              </a:prstClr>
            </a:outerShdw>
          </a:effectLst>
        </c:spPr>
      </c:pivotFmt>
      <c:pivotFmt>
        <c:idx val="1230"/>
        <c:spPr>
          <a:solidFill>
            <a:schemeClr val="accent6"/>
          </a:solidFill>
          <a:ln>
            <a:noFill/>
          </a:ln>
          <a:effectLst>
            <a:outerShdw blurRad="254000" sx="102000" sy="102000" algn="ctr" rotWithShape="0">
              <a:prstClr val="black">
                <a:alpha val="20000"/>
              </a:prstClr>
            </a:outerShdw>
          </a:effectLst>
        </c:spPr>
      </c:pivotFmt>
      <c:pivotFmt>
        <c:idx val="1231"/>
        <c:spPr>
          <a:solidFill>
            <a:schemeClr val="accent6"/>
          </a:solidFill>
          <a:ln>
            <a:noFill/>
          </a:ln>
          <a:effectLst>
            <a:outerShdw blurRad="254000" sx="102000" sy="102000" algn="ctr" rotWithShape="0">
              <a:prstClr val="black">
                <a:alpha val="20000"/>
              </a:prstClr>
            </a:outerShdw>
          </a:effectLst>
        </c:spPr>
      </c:pivotFmt>
      <c:pivotFmt>
        <c:idx val="1232"/>
        <c:spPr>
          <a:solidFill>
            <a:schemeClr val="accent6"/>
          </a:solidFill>
          <a:ln>
            <a:noFill/>
          </a:ln>
          <a:effectLst>
            <a:outerShdw blurRad="254000" sx="102000" sy="102000" algn="ctr" rotWithShape="0">
              <a:prstClr val="black">
                <a:alpha val="20000"/>
              </a:prstClr>
            </a:outerShdw>
          </a:effectLst>
        </c:spPr>
      </c:pivotFmt>
      <c:pivotFmt>
        <c:idx val="1233"/>
        <c:spPr>
          <a:solidFill>
            <a:schemeClr val="accent6"/>
          </a:solidFill>
          <a:ln>
            <a:noFill/>
          </a:ln>
          <a:effectLst>
            <a:outerShdw blurRad="254000" sx="102000" sy="102000" algn="ctr" rotWithShape="0">
              <a:prstClr val="black">
                <a:alpha val="20000"/>
              </a:prstClr>
            </a:outerShdw>
          </a:effectLst>
        </c:spPr>
      </c:pivotFmt>
      <c:pivotFmt>
        <c:idx val="1234"/>
        <c:spPr>
          <a:solidFill>
            <a:schemeClr val="accent6"/>
          </a:solidFill>
          <a:ln>
            <a:noFill/>
          </a:ln>
          <a:effectLst>
            <a:outerShdw blurRad="254000" sx="102000" sy="102000" algn="ctr" rotWithShape="0">
              <a:prstClr val="black">
                <a:alpha val="20000"/>
              </a:prstClr>
            </a:outerShdw>
          </a:effectLst>
        </c:spPr>
      </c:pivotFmt>
      <c:pivotFmt>
        <c:idx val="1235"/>
        <c:spPr>
          <a:solidFill>
            <a:schemeClr val="accent6"/>
          </a:solidFill>
          <a:ln>
            <a:noFill/>
          </a:ln>
          <a:effectLst>
            <a:outerShdw blurRad="254000" sx="102000" sy="102000" algn="ctr" rotWithShape="0">
              <a:prstClr val="black">
                <a:alpha val="20000"/>
              </a:prstClr>
            </a:outerShdw>
          </a:effectLst>
        </c:spPr>
      </c:pivotFmt>
      <c:pivotFmt>
        <c:idx val="1236"/>
        <c:spPr>
          <a:solidFill>
            <a:schemeClr val="accent6"/>
          </a:solidFill>
          <a:ln>
            <a:noFill/>
          </a:ln>
          <a:effectLst>
            <a:outerShdw blurRad="254000" sx="102000" sy="102000" algn="ctr" rotWithShape="0">
              <a:prstClr val="black">
                <a:alpha val="20000"/>
              </a:prstClr>
            </a:outerShdw>
          </a:effectLst>
        </c:spPr>
      </c:pivotFmt>
      <c:pivotFmt>
        <c:idx val="1237"/>
        <c:spPr>
          <a:solidFill>
            <a:schemeClr val="accent6"/>
          </a:solidFill>
          <a:ln>
            <a:noFill/>
          </a:ln>
          <a:effectLst>
            <a:outerShdw blurRad="254000" sx="102000" sy="102000" algn="ctr" rotWithShape="0">
              <a:prstClr val="black">
                <a:alpha val="20000"/>
              </a:prstClr>
            </a:outerShdw>
          </a:effectLst>
        </c:spPr>
      </c:pivotFmt>
      <c:pivotFmt>
        <c:idx val="1238"/>
        <c:spPr>
          <a:solidFill>
            <a:schemeClr val="accent6"/>
          </a:solidFill>
          <a:ln>
            <a:noFill/>
          </a:ln>
          <a:effectLst>
            <a:outerShdw blurRad="254000" sx="102000" sy="102000" algn="ctr" rotWithShape="0">
              <a:prstClr val="black">
                <a:alpha val="20000"/>
              </a:prstClr>
            </a:outerShdw>
          </a:effectLst>
        </c:spPr>
      </c:pivotFmt>
      <c:pivotFmt>
        <c:idx val="1239"/>
        <c:spPr>
          <a:solidFill>
            <a:schemeClr val="accent6"/>
          </a:solidFill>
          <a:ln>
            <a:noFill/>
          </a:ln>
          <a:effectLst>
            <a:outerShdw blurRad="254000" sx="102000" sy="102000" algn="ctr" rotWithShape="0">
              <a:prstClr val="black">
                <a:alpha val="20000"/>
              </a:prstClr>
            </a:outerShdw>
          </a:effectLst>
        </c:spPr>
      </c:pivotFmt>
      <c:pivotFmt>
        <c:idx val="1240"/>
        <c:spPr>
          <a:solidFill>
            <a:schemeClr val="accent6"/>
          </a:solidFill>
          <a:ln>
            <a:noFill/>
          </a:ln>
          <a:effectLst>
            <a:outerShdw blurRad="254000" sx="102000" sy="102000" algn="ctr" rotWithShape="0">
              <a:prstClr val="black">
                <a:alpha val="20000"/>
              </a:prstClr>
            </a:outerShdw>
          </a:effectLst>
        </c:spPr>
      </c:pivotFmt>
      <c:pivotFmt>
        <c:idx val="1241"/>
        <c:spPr>
          <a:solidFill>
            <a:schemeClr val="accent6"/>
          </a:solidFill>
          <a:ln>
            <a:noFill/>
          </a:ln>
          <a:effectLst>
            <a:outerShdw blurRad="254000" sx="102000" sy="102000" algn="ctr" rotWithShape="0">
              <a:prstClr val="black">
                <a:alpha val="20000"/>
              </a:prstClr>
            </a:outerShdw>
          </a:effectLst>
        </c:spPr>
      </c:pivotFmt>
      <c:pivotFmt>
        <c:idx val="1242"/>
        <c:spPr>
          <a:solidFill>
            <a:schemeClr val="accent6"/>
          </a:solidFill>
          <a:ln>
            <a:noFill/>
          </a:ln>
          <a:effectLst>
            <a:outerShdw blurRad="254000" sx="102000" sy="102000" algn="ctr" rotWithShape="0">
              <a:prstClr val="black">
                <a:alpha val="20000"/>
              </a:prstClr>
            </a:outerShdw>
          </a:effectLst>
        </c:spPr>
      </c:pivotFmt>
      <c:pivotFmt>
        <c:idx val="1243"/>
        <c:spPr>
          <a:solidFill>
            <a:schemeClr val="accent6"/>
          </a:solidFill>
          <a:ln>
            <a:noFill/>
          </a:ln>
          <a:effectLst>
            <a:outerShdw blurRad="254000" sx="102000" sy="102000" algn="ctr" rotWithShape="0">
              <a:prstClr val="black">
                <a:alpha val="20000"/>
              </a:prstClr>
            </a:outerShdw>
          </a:effectLst>
        </c:spPr>
      </c:pivotFmt>
      <c:pivotFmt>
        <c:idx val="1244"/>
        <c:spPr>
          <a:solidFill>
            <a:schemeClr val="accent6"/>
          </a:solidFill>
          <a:ln>
            <a:noFill/>
          </a:ln>
          <a:effectLst>
            <a:outerShdw blurRad="254000" sx="102000" sy="102000" algn="ctr" rotWithShape="0">
              <a:prstClr val="black">
                <a:alpha val="20000"/>
              </a:prstClr>
            </a:outerShdw>
          </a:effectLst>
        </c:spPr>
      </c:pivotFmt>
      <c:pivotFmt>
        <c:idx val="1245"/>
        <c:spPr>
          <a:solidFill>
            <a:schemeClr val="accent6"/>
          </a:solidFill>
          <a:ln>
            <a:noFill/>
          </a:ln>
          <a:effectLst>
            <a:outerShdw blurRad="254000" sx="102000" sy="102000" algn="ctr" rotWithShape="0">
              <a:prstClr val="black">
                <a:alpha val="20000"/>
              </a:prstClr>
            </a:outerShdw>
          </a:effectLst>
        </c:spPr>
      </c:pivotFmt>
      <c:pivotFmt>
        <c:idx val="1246"/>
        <c:spPr>
          <a:solidFill>
            <a:schemeClr val="accent6"/>
          </a:solidFill>
          <a:ln>
            <a:noFill/>
          </a:ln>
          <a:effectLst>
            <a:outerShdw blurRad="254000" sx="102000" sy="102000" algn="ctr" rotWithShape="0">
              <a:prstClr val="black">
                <a:alpha val="20000"/>
              </a:prstClr>
            </a:outerShdw>
          </a:effectLst>
        </c:spPr>
      </c:pivotFmt>
      <c:pivotFmt>
        <c:idx val="1247"/>
        <c:spPr>
          <a:solidFill>
            <a:schemeClr val="accent6"/>
          </a:solidFill>
          <a:ln>
            <a:noFill/>
          </a:ln>
          <a:effectLst>
            <a:outerShdw blurRad="254000" sx="102000" sy="102000" algn="ctr" rotWithShape="0">
              <a:prstClr val="black">
                <a:alpha val="20000"/>
              </a:prstClr>
            </a:outerShdw>
          </a:effectLst>
        </c:spPr>
      </c:pivotFmt>
      <c:pivotFmt>
        <c:idx val="1248"/>
        <c:spPr>
          <a:solidFill>
            <a:schemeClr val="accent6"/>
          </a:solidFill>
          <a:ln>
            <a:noFill/>
          </a:ln>
          <a:effectLst>
            <a:outerShdw blurRad="254000" sx="102000" sy="102000" algn="ctr" rotWithShape="0">
              <a:prstClr val="black">
                <a:alpha val="20000"/>
              </a:prstClr>
            </a:outerShdw>
          </a:effectLst>
        </c:spPr>
      </c:pivotFmt>
      <c:pivotFmt>
        <c:idx val="1249"/>
        <c:spPr>
          <a:solidFill>
            <a:schemeClr val="accent6"/>
          </a:solidFill>
          <a:ln>
            <a:noFill/>
          </a:ln>
          <a:effectLst>
            <a:outerShdw blurRad="254000" sx="102000" sy="102000" algn="ctr" rotWithShape="0">
              <a:prstClr val="black">
                <a:alpha val="20000"/>
              </a:prstClr>
            </a:outerShdw>
          </a:effectLst>
        </c:spPr>
      </c:pivotFmt>
      <c:pivotFmt>
        <c:idx val="1250"/>
        <c:spPr>
          <a:solidFill>
            <a:schemeClr val="accent6"/>
          </a:solidFill>
          <a:ln>
            <a:noFill/>
          </a:ln>
          <a:effectLst>
            <a:outerShdw blurRad="254000" sx="102000" sy="102000" algn="ctr" rotWithShape="0">
              <a:prstClr val="black">
                <a:alpha val="20000"/>
              </a:prstClr>
            </a:outerShdw>
          </a:effectLst>
        </c:spPr>
      </c:pivotFmt>
      <c:pivotFmt>
        <c:idx val="1251"/>
        <c:spPr>
          <a:solidFill>
            <a:schemeClr val="accent6"/>
          </a:solidFill>
          <a:ln>
            <a:noFill/>
          </a:ln>
          <a:effectLst>
            <a:outerShdw blurRad="254000" sx="102000" sy="102000" algn="ctr" rotWithShape="0">
              <a:prstClr val="black">
                <a:alpha val="20000"/>
              </a:prstClr>
            </a:outerShdw>
          </a:effectLst>
        </c:spPr>
      </c:pivotFmt>
      <c:pivotFmt>
        <c:idx val="1252"/>
        <c:spPr>
          <a:solidFill>
            <a:schemeClr val="accent6"/>
          </a:solidFill>
          <a:ln>
            <a:noFill/>
          </a:ln>
          <a:effectLst>
            <a:outerShdw blurRad="254000" sx="102000" sy="102000" algn="ctr" rotWithShape="0">
              <a:prstClr val="black">
                <a:alpha val="20000"/>
              </a:prstClr>
            </a:outerShdw>
          </a:effectLst>
        </c:spPr>
      </c:pivotFmt>
      <c:pivotFmt>
        <c:idx val="1253"/>
        <c:spPr>
          <a:solidFill>
            <a:schemeClr val="accent6"/>
          </a:solidFill>
          <a:ln>
            <a:noFill/>
          </a:ln>
          <a:effectLst>
            <a:outerShdw blurRad="254000" sx="102000" sy="102000" algn="ctr" rotWithShape="0">
              <a:prstClr val="black">
                <a:alpha val="20000"/>
              </a:prstClr>
            </a:outerShdw>
          </a:effectLst>
        </c:spPr>
      </c:pivotFmt>
      <c:pivotFmt>
        <c:idx val="1254"/>
        <c:spPr>
          <a:solidFill>
            <a:schemeClr val="accent6"/>
          </a:solidFill>
          <a:ln>
            <a:noFill/>
          </a:ln>
          <a:effectLst>
            <a:outerShdw blurRad="254000" sx="102000" sy="102000" algn="ctr" rotWithShape="0">
              <a:prstClr val="black">
                <a:alpha val="20000"/>
              </a:prstClr>
            </a:outerShdw>
          </a:effectLst>
        </c:spPr>
      </c:pivotFmt>
      <c:pivotFmt>
        <c:idx val="1255"/>
        <c:spPr>
          <a:solidFill>
            <a:schemeClr val="accent6"/>
          </a:solidFill>
          <a:ln>
            <a:noFill/>
          </a:ln>
          <a:effectLst>
            <a:outerShdw blurRad="254000" sx="102000" sy="102000" algn="ctr" rotWithShape="0">
              <a:prstClr val="black">
                <a:alpha val="20000"/>
              </a:prstClr>
            </a:outerShdw>
          </a:effectLst>
        </c:spPr>
      </c:pivotFmt>
      <c:pivotFmt>
        <c:idx val="1256"/>
        <c:spPr>
          <a:solidFill>
            <a:schemeClr val="accent6"/>
          </a:solidFill>
          <a:ln>
            <a:noFill/>
          </a:ln>
          <a:effectLst>
            <a:outerShdw blurRad="254000" sx="102000" sy="102000" algn="ctr" rotWithShape="0">
              <a:prstClr val="black">
                <a:alpha val="20000"/>
              </a:prstClr>
            </a:outerShdw>
          </a:effectLst>
        </c:spPr>
      </c:pivotFmt>
      <c:pivotFmt>
        <c:idx val="1257"/>
        <c:spPr>
          <a:solidFill>
            <a:schemeClr val="accent6"/>
          </a:solidFill>
          <a:ln>
            <a:noFill/>
          </a:ln>
          <a:effectLst>
            <a:outerShdw blurRad="254000" sx="102000" sy="102000" algn="ctr" rotWithShape="0">
              <a:prstClr val="black">
                <a:alpha val="20000"/>
              </a:prstClr>
            </a:outerShdw>
          </a:effectLst>
        </c:spPr>
      </c:pivotFmt>
      <c:pivotFmt>
        <c:idx val="1258"/>
        <c:spPr>
          <a:solidFill>
            <a:schemeClr val="accent6"/>
          </a:solidFill>
          <a:ln>
            <a:noFill/>
          </a:ln>
          <a:effectLst>
            <a:outerShdw blurRad="254000" sx="102000" sy="102000" algn="ctr" rotWithShape="0">
              <a:prstClr val="black">
                <a:alpha val="20000"/>
              </a:prstClr>
            </a:outerShdw>
          </a:effectLst>
        </c:spPr>
      </c:pivotFmt>
      <c:pivotFmt>
        <c:idx val="1259"/>
        <c:spPr>
          <a:solidFill>
            <a:schemeClr val="accent6"/>
          </a:solidFill>
          <a:ln>
            <a:noFill/>
          </a:ln>
          <a:effectLst>
            <a:outerShdw blurRad="254000" sx="102000" sy="102000" algn="ctr" rotWithShape="0">
              <a:prstClr val="black">
                <a:alpha val="20000"/>
              </a:prstClr>
            </a:outerShdw>
          </a:effectLst>
        </c:spPr>
      </c:pivotFmt>
      <c:pivotFmt>
        <c:idx val="1260"/>
        <c:spPr>
          <a:solidFill>
            <a:schemeClr val="accent6"/>
          </a:solidFill>
          <a:ln>
            <a:noFill/>
          </a:ln>
          <a:effectLst>
            <a:outerShdw blurRad="254000" sx="102000" sy="102000" algn="ctr" rotWithShape="0">
              <a:prstClr val="black">
                <a:alpha val="20000"/>
              </a:prstClr>
            </a:outerShdw>
          </a:effectLst>
        </c:spPr>
      </c:pivotFmt>
      <c:pivotFmt>
        <c:idx val="1261"/>
        <c:spPr>
          <a:solidFill>
            <a:schemeClr val="accent6"/>
          </a:solidFill>
          <a:ln>
            <a:noFill/>
          </a:ln>
          <a:effectLst>
            <a:outerShdw blurRad="254000" sx="102000" sy="102000" algn="ctr" rotWithShape="0">
              <a:prstClr val="black">
                <a:alpha val="20000"/>
              </a:prstClr>
            </a:outerShdw>
          </a:effectLst>
        </c:spPr>
      </c:pivotFmt>
      <c:pivotFmt>
        <c:idx val="1262"/>
        <c:spPr>
          <a:solidFill>
            <a:schemeClr val="accent6"/>
          </a:solidFill>
          <a:ln>
            <a:noFill/>
          </a:ln>
          <a:effectLst>
            <a:outerShdw blurRad="254000" sx="102000" sy="102000" algn="ctr" rotWithShape="0">
              <a:prstClr val="black">
                <a:alpha val="20000"/>
              </a:prstClr>
            </a:outerShdw>
          </a:effectLst>
        </c:spPr>
      </c:pivotFmt>
      <c:pivotFmt>
        <c:idx val="1263"/>
        <c:spPr>
          <a:solidFill>
            <a:schemeClr val="accent6"/>
          </a:solidFill>
          <a:ln>
            <a:noFill/>
          </a:ln>
          <a:effectLst>
            <a:outerShdw blurRad="254000" sx="102000" sy="102000" algn="ctr" rotWithShape="0">
              <a:prstClr val="black">
                <a:alpha val="20000"/>
              </a:prstClr>
            </a:outerShdw>
          </a:effectLst>
        </c:spPr>
      </c:pivotFmt>
      <c:pivotFmt>
        <c:idx val="1264"/>
        <c:spPr>
          <a:solidFill>
            <a:schemeClr val="accent6"/>
          </a:solidFill>
          <a:ln>
            <a:noFill/>
          </a:ln>
          <a:effectLst>
            <a:outerShdw blurRad="254000" sx="102000" sy="102000" algn="ctr" rotWithShape="0">
              <a:prstClr val="black">
                <a:alpha val="20000"/>
              </a:prstClr>
            </a:outerShdw>
          </a:effectLst>
        </c:spPr>
      </c:pivotFmt>
      <c:pivotFmt>
        <c:idx val="1265"/>
        <c:spPr>
          <a:solidFill>
            <a:schemeClr val="accent6"/>
          </a:solidFill>
          <a:ln>
            <a:noFill/>
          </a:ln>
          <a:effectLst>
            <a:outerShdw blurRad="254000" sx="102000" sy="102000" algn="ctr" rotWithShape="0">
              <a:prstClr val="black">
                <a:alpha val="20000"/>
              </a:prstClr>
            </a:outerShdw>
          </a:effectLst>
        </c:spPr>
      </c:pivotFmt>
      <c:pivotFmt>
        <c:idx val="1266"/>
        <c:spPr>
          <a:solidFill>
            <a:schemeClr val="accent6"/>
          </a:solidFill>
          <a:ln>
            <a:noFill/>
          </a:ln>
          <a:effectLst>
            <a:outerShdw blurRad="254000" sx="102000" sy="102000" algn="ctr" rotWithShape="0">
              <a:prstClr val="black">
                <a:alpha val="20000"/>
              </a:prstClr>
            </a:outerShdw>
          </a:effectLst>
        </c:spPr>
      </c:pivotFmt>
      <c:pivotFmt>
        <c:idx val="1267"/>
        <c:spPr>
          <a:solidFill>
            <a:schemeClr val="accent6"/>
          </a:solidFill>
          <a:ln>
            <a:noFill/>
          </a:ln>
          <a:effectLst>
            <a:outerShdw blurRad="254000" sx="102000" sy="102000" algn="ctr" rotWithShape="0">
              <a:prstClr val="black">
                <a:alpha val="20000"/>
              </a:prstClr>
            </a:outerShdw>
          </a:effectLst>
        </c:spPr>
      </c:pivotFmt>
      <c:pivotFmt>
        <c:idx val="1268"/>
        <c:spPr>
          <a:solidFill>
            <a:schemeClr val="accent6"/>
          </a:solidFill>
          <a:ln>
            <a:noFill/>
          </a:ln>
          <a:effectLst>
            <a:outerShdw blurRad="254000" sx="102000" sy="102000" algn="ctr" rotWithShape="0">
              <a:prstClr val="black">
                <a:alpha val="20000"/>
              </a:prstClr>
            </a:outerShdw>
          </a:effectLst>
        </c:spPr>
      </c:pivotFmt>
      <c:pivotFmt>
        <c:idx val="1269"/>
        <c:spPr>
          <a:solidFill>
            <a:schemeClr val="accent6"/>
          </a:solidFill>
          <a:ln>
            <a:noFill/>
          </a:ln>
          <a:effectLst>
            <a:outerShdw blurRad="254000" sx="102000" sy="102000" algn="ctr" rotWithShape="0">
              <a:prstClr val="black">
                <a:alpha val="20000"/>
              </a:prstClr>
            </a:outerShdw>
          </a:effectLst>
        </c:spPr>
      </c:pivotFmt>
      <c:pivotFmt>
        <c:idx val="1270"/>
        <c:spPr>
          <a:solidFill>
            <a:schemeClr val="accent6"/>
          </a:solidFill>
          <a:ln>
            <a:noFill/>
          </a:ln>
          <a:effectLst>
            <a:outerShdw blurRad="254000" sx="102000" sy="102000" algn="ctr" rotWithShape="0">
              <a:prstClr val="black">
                <a:alpha val="20000"/>
              </a:prstClr>
            </a:outerShdw>
          </a:effectLst>
        </c:spPr>
      </c:pivotFmt>
      <c:pivotFmt>
        <c:idx val="1271"/>
        <c:spPr>
          <a:solidFill>
            <a:schemeClr val="accent6"/>
          </a:solidFill>
          <a:ln>
            <a:noFill/>
          </a:ln>
          <a:effectLst>
            <a:outerShdw blurRad="254000" sx="102000" sy="102000" algn="ctr" rotWithShape="0">
              <a:prstClr val="black">
                <a:alpha val="20000"/>
              </a:prstClr>
            </a:outerShdw>
          </a:effectLst>
        </c:spPr>
      </c:pivotFmt>
      <c:pivotFmt>
        <c:idx val="1272"/>
        <c:spPr>
          <a:solidFill>
            <a:schemeClr val="accent6"/>
          </a:solidFill>
          <a:ln>
            <a:noFill/>
          </a:ln>
          <a:effectLst>
            <a:outerShdw blurRad="254000" sx="102000" sy="102000" algn="ctr" rotWithShape="0">
              <a:prstClr val="black">
                <a:alpha val="20000"/>
              </a:prstClr>
            </a:outerShdw>
          </a:effectLst>
        </c:spPr>
      </c:pivotFmt>
      <c:pivotFmt>
        <c:idx val="1273"/>
        <c:spPr>
          <a:solidFill>
            <a:schemeClr val="accent6"/>
          </a:solidFill>
          <a:ln>
            <a:noFill/>
          </a:ln>
          <a:effectLst>
            <a:outerShdw blurRad="254000" sx="102000" sy="102000" algn="ctr" rotWithShape="0">
              <a:prstClr val="black">
                <a:alpha val="20000"/>
              </a:prstClr>
            </a:outerShdw>
          </a:effectLst>
        </c:spPr>
      </c:pivotFmt>
      <c:pivotFmt>
        <c:idx val="1274"/>
        <c:spPr>
          <a:solidFill>
            <a:schemeClr val="accent6"/>
          </a:solidFill>
          <a:ln>
            <a:noFill/>
          </a:ln>
          <a:effectLst>
            <a:outerShdw blurRad="254000" sx="102000" sy="102000" algn="ctr" rotWithShape="0">
              <a:prstClr val="black">
                <a:alpha val="20000"/>
              </a:prstClr>
            </a:outerShdw>
          </a:effectLst>
        </c:spPr>
      </c:pivotFmt>
      <c:pivotFmt>
        <c:idx val="1275"/>
        <c:spPr>
          <a:solidFill>
            <a:schemeClr val="accent6"/>
          </a:solidFill>
          <a:ln>
            <a:noFill/>
          </a:ln>
          <a:effectLst>
            <a:outerShdw blurRad="254000" sx="102000" sy="102000" algn="ctr" rotWithShape="0">
              <a:prstClr val="black">
                <a:alpha val="20000"/>
              </a:prstClr>
            </a:outerShdw>
          </a:effectLst>
        </c:spPr>
      </c:pivotFmt>
      <c:pivotFmt>
        <c:idx val="1276"/>
        <c:spPr>
          <a:solidFill>
            <a:schemeClr val="accent6"/>
          </a:solidFill>
          <a:ln>
            <a:noFill/>
          </a:ln>
          <a:effectLst>
            <a:outerShdw blurRad="254000" sx="102000" sy="102000" algn="ctr" rotWithShape="0">
              <a:prstClr val="black">
                <a:alpha val="20000"/>
              </a:prstClr>
            </a:outerShdw>
          </a:effectLst>
        </c:spPr>
      </c:pivotFmt>
      <c:pivotFmt>
        <c:idx val="1277"/>
        <c:spPr>
          <a:solidFill>
            <a:schemeClr val="accent6"/>
          </a:solidFill>
          <a:ln>
            <a:noFill/>
          </a:ln>
          <a:effectLst>
            <a:outerShdw blurRad="254000" sx="102000" sy="102000" algn="ctr" rotWithShape="0">
              <a:prstClr val="black">
                <a:alpha val="20000"/>
              </a:prstClr>
            </a:outerShdw>
          </a:effectLst>
        </c:spPr>
      </c:pivotFmt>
      <c:pivotFmt>
        <c:idx val="1278"/>
        <c:spPr>
          <a:solidFill>
            <a:schemeClr val="accent6"/>
          </a:solidFill>
          <a:ln>
            <a:noFill/>
          </a:ln>
          <a:effectLst>
            <a:outerShdw blurRad="254000" sx="102000" sy="102000" algn="ctr" rotWithShape="0">
              <a:prstClr val="black">
                <a:alpha val="20000"/>
              </a:prstClr>
            </a:outerShdw>
          </a:effectLst>
        </c:spPr>
      </c:pivotFmt>
      <c:pivotFmt>
        <c:idx val="1279"/>
        <c:spPr>
          <a:solidFill>
            <a:schemeClr val="accent6"/>
          </a:solidFill>
          <a:ln>
            <a:noFill/>
          </a:ln>
          <a:effectLst>
            <a:outerShdw blurRad="254000" sx="102000" sy="102000" algn="ctr" rotWithShape="0">
              <a:prstClr val="black">
                <a:alpha val="20000"/>
              </a:prstClr>
            </a:outerShdw>
          </a:effectLst>
        </c:spPr>
      </c:pivotFmt>
      <c:pivotFmt>
        <c:idx val="1280"/>
        <c:spPr>
          <a:solidFill>
            <a:schemeClr val="accent6"/>
          </a:solidFill>
          <a:ln>
            <a:noFill/>
          </a:ln>
          <a:effectLst>
            <a:outerShdw blurRad="254000" sx="102000" sy="102000" algn="ctr" rotWithShape="0">
              <a:prstClr val="black">
                <a:alpha val="20000"/>
              </a:prstClr>
            </a:outerShdw>
          </a:effectLst>
        </c:spPr>
      </c:pivotFmt>
      <c:pivotFmt>
        <c:idx val="1281"/>
        <c:spPr>
          <a:solidFill>
            <a:schemeClr val="accent6"/>
          </a:solidFill>
          <a:ln>
            <a:noFill/>
          </a:ln>
          <a:effectLst>
            <a:outerShdw blurRad="254000" sx="102000" sy="102000" algn="ctr" rotWithShape="0">
              <a:prstClr val="black">
                <a:alpha val="20000"/>
              </a:prstClr>
            </a:outerShdw>
          </a:effectLst>
        </c:spPr>
      </c:pivotFmt>
      <c:pivotFmt>
        <c:idx val="1282"/>
        <c:spPr>
          <a:solidFill>
            <a:schemeClr val="accent6"/>
          </a:solidFill>
          <a:ln>
            <a:noFill/>
          </a:ln>
          <a:effectLst>
            <a:outerShdw blurRad="254000" sx="102000" sy="102000" algn="ctr" rotWithShape="0">
              <a:prstClr val="black">
                <a:alpha val="20000"/>
              </a:prstClr>
            </a:outerShdw>
          </a:effectLst>
        </c:spPr>
      </c:pivotFmt>
      <c:pivotFmt>
        <c:idx val="1283"/>
        <c:spPr>
          <a:solidFill>
            <a:schemeClr val="accent6"/>
          </a:solidFill>
          <a:ln>
            <a:noFill/>
          </a:ln>
          <a:effectLst>
            <a:outerShdw blurRad="254000" sx="102000" sy="102000" algn="ctr" rotWithShape="0">
              <a:prstClr val="black">
                <a:alpha val="20000"/>
              </a:prstClr>
            </a:outerShdw>
          </a:effectLst>
        </c:spPr>
      </c:pivotFmt>
      <c:pivotFmt>
        <c:idx val="1284"/>
        <c:spPr>
          <a:solidFill>
            <a:schemeClr val="accent6"/>
          </a:solidFill>
          <a:ln>
            <a:noFill/>
          </a:ln>
          <a:effectLst>
            <a:outerShdw blurRad="254000" sx="102000" sy="102000" algn="ctr" rotWithShape="0">
              <a:prstClr val="black">
                <a:alpha val="20000"/>
              </a:prstClr>
            </a:outerShdw>
          </a:effectLst>
        </c:spPr>
      </c:pivotFmt>
      <c:pivotFmt>
        <c:idx val="1285"/>
        <c:spPr>
          <a:solidFill>
            <a:schemeClr val="accent6"/>
          </a:solidFill>
          <a:ln>
            <a:noFill/>
          </a:ln>
          <a:effectLst>
            <a:outerShdw blurRad="254000" sx="102000" sy="102000" algn="ctr" rotWithShape="0">
              <a:prstClr val="black">
                <a:alpha val="20000"/>
              </a:prstClr>
            </a:outerShdw>
          </a:effectLst>
        </c:spPr>
      </c:pivotFmt>
      <c:pivotFmt>
        <c:idx val="1286"/>
        <c:spPr>
          <a:solidFill>
            <a:schemeClr val="accent6"/>
          </a:solidFill>
          <a:ln>
            <a:noFill/>
          </a:ln>
          <a:effectLst>
            <a:outerShdw blurRad="254000" sx="102000" sy="102000" algn="ctr" rotWithShape="0">
              <a:prstClr val="black">
                <a:alpha val="20000"/>
              </a:prstClr>
            </a:outerShdw>
          </a:effectLst>
        </c:spPr>
      </c:pivotFmt>
      <c:pivotFmt>
        <c:idx val="1287"/>
        <c:spPr>
          <a:solidFill>
            <a:schemeClr val="accent6"/>
          </a:solidFill>
          <a:ln>
            <a:noFill/>
          </a:ln>
          <a:effectLst>
            <a:outerShdw blurRad="254000" sx="102000" sy="102000" algn="ctr" rotWithShape="0">
              <a:prstClr val="black">
                <a:alpha val="20000"/>
              </a:prstClr>
            </a:outerShdw>
          </a:effectLst>
        </c:spPr>
      </c:pivotFmt>
      <c:pivotFmt>
        <c:idx val="1288"/>
        <c:spPr>
          <a:solidFill>
            <a:schemeClr val="accent6"/>
          </a:solidFill>
          <a:ln>
            <a:noFill/>
          </a:ln>
          <a:effectLst>
            <a:outerShdw blurRad="254000" sx="102000" sy="102000" algn="ctr" rotWithShape="0">
              <a:prstClr val="black">
                <a:alpha val="20000"/>
              </a:prstClr>
            </a:outerShdw>
          </a:effectLst>
        </c:spPr>
      </c:pivotFmt>
      <c:pivotFmt>
        <c:idx val="1289"/>
        <c:spPr>
          <a:solidFill>
            <a:schemeClr val="accent6"/>
          </a:solidFill>
          <a:ln>
            <a:noFill/>
          </a:ln>
          <a:effectLst>
            <a:outerShdw blurRad="254000" sx="102000" sy="102000" algn="ctr" rotWithShape="0">
              <a:prstClr val="black">
                <a:alpha val="20000"/>
              </a:prstClr>
            </a:outerShdw>
          </a:effectLst>
        </c:spPr>
      </c:pivotFmt>
      <c:pivotFmt>
        <c:idx val="1290"/>
        <c:spPr>
          <a:solidFill>
            <a:schemeClr val="accent6"/>
          </a:solidFill>
          <a:ln>
            <a:noFill/>
          </a:ln>
          <a:effectLst>
            <a:outerShdw blurRad="254000" sx="102000" sy="102000" algn="ctr" rotWithShape="0">
              <a:prstClr val="black">
                <a:alpha val="20000"/>
              </a:prstClr>
            </a:outerShdw>
          </a:effectLst>
        </c:spPr>
      </c:pivotFmt>
      <c:pivotFmt>
        <c:idx val="1291"/>
        <c:spPr>
          <a:solidFill>
            <a:schemeClr val="accent6"/>
          </a:solidFill>
          <a:ln>
            <a:noFill/>
          </a:ln>
          <a:effectLst>
            <a:outerShdw blurRad="254000" sx="102000" sy="102000" algn="ctr" rotWithShape="0">
              <a:prstClr val="black">
                <a:alpha val="20000"/>
              </a:prstClr>
            </a:outerShdw>
          </a:effectLst>
        </c:spPr>
      </c:pivotFmt>
      <c:pivotFmt>
        <c:idx val="1292"/>
        <c:spPr>
          <a:solidFill>
            <a:schemeClr val="accent6"/>
          </a:solidFill>
          <a:ln>
            <a:noFill/>
          </a:ln>
          <a:effectLst>
            <a:outerShdw blurRad="254000" sx="102000" sy="102000" algn="ctr" rotWithShape="0">
              <a:prstClr val="black">
                <a:alpha val="20000"/>
              </a:prstClr>
            </a:outerShdw>
          </a:effectLst>
        </c:spPr>
      </c:pivotFmt>
      <c:pivotFmt>
        <c:idx val="1293"/>
        <c:spPr>
          <a:solidFill>
            <a:schemeClr val="accent6"/>
          </a:solidFill>
          <a:ln>
            <a:noFill/>
          </a:ln>
          <a:effectLst>
            <a:outerShdw blurRad="254000" sx="102000" sy="102000" algn="ctr" rotWithShape="0">
              <a:prstClr val="black">
                <a:alpha val="20000"/>
              </a:prstClr>
            </a:outerShdw>
          </a:effectLst>
        </c:spPr>
      </c:pivotFmt>
      <c:pivotFmt>
        <c:idx val="1294"/>
        <c:spPr>
          <a:solidFill>
            <a:schemeClr val="accent6"/>
          </a:solidFill>
          <a:ln>
            <a:noFill/>
          </a:ln>
          <a:effectLst>
            <a:outerShdw blurRad="254000" sx="102000" sy="102000" algn="ctr" rotWithShape="0">
              <a:prstClr val="black">
                <a:alpha val="20000"/>
              </a:prstClr>
            </a:outerShdw>
          </a:effectLst>
        </c:spPr>
      </c:pivotFmt>
      <c:pivotFmt>
        <c:idx val="1295"/>
        <c:spPr>
          <a:solidFill>
            <a:schemeClr val="accent6"/>
          </a:solidFill>
          <a:ln>
            <a:noFill/>
          </a:ln>
          <a:effectLst>
            <a:outerShdw blurRad="254000" sx="102000" sy="102000" algn="ctr" rotWithShape="0">
              <a:prstClr val="black">
                <a:alpha val="20000"/>
              </a:prstClr>
            </a:outerShdw>
          </a:effectLst>
        </c:spPr>
      </c:pivotFmt>
      <c:pivotFmt>
        <c:idx val="1296"/>
        <c:spPr>
          <a:solidFill>
            <a:schemeClr val="accent6"/>
          </a:solidFill>
          <a:ln>
            <a:noFill/>
          </a:ln>
          <a:effectLst>
            <a:outerShdw blurRad="254000" sx="102000" sy="102000" algn="ctr" rotWithShape="0">
              <a:prstClr val="black">
                <a:alpha val="20000"/>
              </a:prstClr>
            </a:outerShdw>
          </a:effectLst>
        </c:spPr>
      </c:pivotFmt>
      <c:pivotFmt>
        <c:idx val="1297"/>
        <c:spPr>
          <a:solidFill>
            <a:schemeClr val="accent6"/>
          </a:solidFill>
          <a:ln>
            <a:noFill/>
          </a:ln>
          <a:effectLst>
            <a:outerShdw blurRad="254000" sx="102000" sy="102000" algn="ctr" rotWithShape="0">
              <a:prstClr val="black">
                <a:alpha val="20000"/>
              </a:prstClr>
            </a:outerShdw>
          </a:effectLst>
        </c:spPr>
      </c:pivotFmt>
      <c:pivotFmt>
        <c:idx val="1298"/>
        <c:spPr>
          <a:solidFill>
            <a:schemeClr val="accent6"/>
          </a:solidFill>
          <a:ln>
            <a:noFill/>
          </a:ln>
          <a:effectLst>
            <a:outerShdw blurRad="254000" sx="102000" sy="102000" algn="ctr" rotWithShape="0">
              <a:prstClr val="black">
                <a:alpha val="20000"/>
              </a:prstClr>
            </a:outerShdw>
          </a:effectLst>
        </c:spPr>
      </c:pivotFmt>
      <c:pivotFmt>
        <c:idx val="129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0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0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0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0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0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0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0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08"/>
        <c:spPr>
          <a:solidFill>
            <a:schemeClr val="accent6"/>
          </a:solidFill>
          <a:ln>
            <a:noFill/>
          </a:ln>
          <a:effectLst>
            <a:outerShdw blurRad="254000" sx="102000" sy="102000" algn="ctr" rotWithShape="0">
              <a:prstClr val="black">
                <a:alpha val="20000"/>
              </a:prstClr>
            </a:outerShdw>
          </a:effectLst>
        </c:spPr>
      </c:pivotFmt>
      <c:pivotFmt>
        <c:idx val="1309"/>
        <c:spPr>
          <a:solidFill>
            <a:schemeClr val="accent6"/>
          </a:solidFill>
          <a:ln>
            <a:noFill/>
          </a:ln>
          <a:effectLst>
            <a:outerShdw blurRad="254000" sx="102000" sy="102000" algn="ctr" rotWithShape="0">
              <a:prstClr val="black">
                <a:alpha val="20000"/>
              </a:prstClr>
            </a:outerShdw>
          </a:effectLst>
        </c:spPr>
      </c:pivotFmt>
      <c:pivotFmt>
        <c:idx val="1310"/>
        <c:spPr>
          <a:solidFill>
            <a:schemeClr val="accent6"/>
          </a:solidFill>
          <a:ln>
            <a:noFill/>
          </a:ln>
          <a:effectLst>
            <a:outerShdw blurRad="254000" sx="102000" sy="102000" algn="ctr" rotWithShape="0">
              <a:prstClr val="black">
                <a:alpha val="20000"/>
              </a:prstClr>
            </a:outerShdw>
          </a:effectLst>
        </c:spPr>
      </c:pivotFmt>
      <c:pivotFmt>
        <c:idx val="1311"/>
        <c:spPr>
          <a:solidFill>
            <a:schemeClr val="accent6"/>
          </a:solidFill>
          <a:ln>
            <a:noFill/>
          </a:ln>
          <a:effectLst>
            <a:outerShdw blurRad="254000" sx="102000" sy="102000" algn="ctr" rotWithShape="0">
              <a:prstClr val="black">
                <a:alpha val="20000"/>
              </a:prstClr>
            </a:outerShdw>
          </a:effectLst>
        </c:spPr>
      </c:pivotFmt>
      <c:pivotFmt>
        <c:idx val="1312"/>
        <c:spPr>
          <a:solidFill>
            <a:schemeClr val="accent6"/>
          </a:solidFill>
          <a:ln>
            <a:noFill/>
          </a:ln>
          <a:effectLst>
            <a:outerShdw blurRad="254000" sx="102000" sy="102000" algn="ctr" rotWithShape="0">
              <a:prstClr val="black">
                <a:alpha val="20000"/>
              </a:prstClr>
            </a:outerShdw>
          </a:effectLst>
        </c:spPr>
      </c:pivotFmt>
      <c:pivotFmt>
        <c:idx val="1313"/>
        <c:spPr>
          <a:solidFill>
            <a:schemeClr val="accent6"/>
          </a:solidFill>
          <a:ln>
            <a:noFill/>
          </a:ln>
          <a:effectLst>
            <a:outerShdw blurRad="254000" sx="102000" sy="102000" algn="ctr" rotWithShape="0">
              <a:prstClr val="black">
                <a:alpha val="20000"/>
              </a:prstClr>
            </a:outerShdw>
          </a:effectLst>
        </c:spPr>
      </c:pivotFmt>
      <c:pivotFmt>
        <c:idx val="1314"/>
        <c:spPr>
          <a:solidFill>
            <a:schemeClr val="accent6"/>
          </a:solidFill>
          <a:ln>
            <a:noFill/>
          </a:ln>
          <a:effectLst>
            <a:outerShdw blurRad="254000" sx="102000" sy="102000" algn="ctr" rotWithShape="0">
              <a:prstClr val="black">
                <a:alpha val="20000"/>
              </a:prstClr>
            </a:outerShdw>
          </a:effectLst>
        </c:spPr>
      </c:pivotFmt>
      <c:pivotFmt>
        <c:idx val="1315"/>
        <c:spPr>
          <a:solidFill>
            <a:schemeClr val="accent6"/>
          </a:solidFill>
          <a:ln>
            <a:noFill/>
          </a:ln>
          <a:effectLst>
            <a:outerShdw blurRad="254000" sx="102000" sy="102000" algn="ctr" rotWithShape="0">
              <a:prstClr val="black">
                <a:alpha val="20000"/>
              </a:prstClr>
            </a:outerShdw>
          </a:effectLst>
        </c:spPr>
      </c:pivotFmt>
      <c:pivotFmt>
        <c:idx val="1316"/>
        <c:spPr>
          <a:solidFill>
            <a:schemeClr val="accent6"/>
          </a:solidFill>
          <a:ln>
            <a:noFill/>
          </a:ln>
          <a:effectLst>
            <a:outerShdw blurRad="254000" sx="102000" sy="102000" algn="ctr" rotWithShape="0">
              <a:prstClr val="black">
                <a:alpha val="20000"/>
              </a:prstClr>
            </a:outerShdw>
          </a:effectLst>
        </c:spPr>
      </c:pivotFmt>
      <c:pivotFmt>
        <c:idx val="1317"/>
        <c:spPr>
          <a:solidFill>
            <a:schemeClr val="accent6"/>
          </a:solidFill>
          <a:ln>
            <a:noFill/>
          </a:ln>
          <a:effectLst>
            <a:outerShdw blurRad="254000" sx="102000" sy="102000" algn="ctr" rotWithShape="0">
              <a:prstClr val="black">
                <a:alpha val="20000"/>
              </a:prstClr>
            </a:outerShdw>
          </a:effectLst>
        </c:spPr>
      </c:pivotFmt>
      <c:pivotFmt>
        <c:idx val="1318"/>
        <c:spPr>
          <a:solidFill>
            <a:schemeClr val="accent6"/>
          </a:solidFill>
          <a:ln>
            <a:noFill/>
          </a:ln>
          <a:effectLst>
            <a:outerShdw blurRad="254000" sx="102000" sy="102000" algn="ctr" rotWithShape="0">
              <a:prstClr val="black">
                <a:alpha val="20000"/>
              </a:prstClr>
            </a:outerShdw>
          </a:effectLst>
        </c:spPr>
      </c:pivotFmt>
      <c:pivotFmt>
        <c:idx val="1319"/>
        <c:spPr>
          <a:solidFill>
            <a:schemeClr val="accent6"/>
          </a:solidFill>
          <a:ln>
            <a:noFill/>
          </a:ln>
          <a:effectLst>
            <a:outerShdw blurRad="254000" sx="102000" sy="102000" algn="ctr" rotWithShape="0">
              <a:prstClr val="black">
                <a:alpha val="20000"/>
              </a:prstClr>
            </a:outerShdw>
          </a:effectLst>
        </c:spPr>
      </c:pivotFmt>
      <c:pivotFmt>
        <c:idx val="1320"/>
        <c:spPr>
          <a:solidFill>
            <a:schemeClr val="accent6"/>
          </a:solidFill>
          <a:ln>
            <a:noFill/>
          </a:ln>
          <a:effectLst>
            <a:outerShdw blurRad="254000" sx="102000" sy="102000" algn="ctr" rotWithShape="0">
              <a:prstClr val="black">
                <a:alpha val="20000"/>
              </a:prstClr>
            </a:outerShdw>
          </a:effectLst>
        </c:spPr>
      </c:pivotFmt>
      <c:pivotFmt>
        <c:idx val="1321"/>
        <c:spPr>
          <a:solidFill>
            <a:schemeClr val="accent6"/>
          </a:solidFill>
          <a:ln>
            <a:noFill/>
          </a:ln>
          <a:effectLst>
            <a:outerShdw blurRad="254000" sx="102000" sy="102000" algn="ctr" rotWithShape="0">
              <a:prstClr val="black">
                <a:alpha val="20000"/>
              </a:prstClr>
            </a:outerShdw>
          </a:effectLst>
        </c:spPr>
      </c:pivotFmt>
      <c:pivotFmt>
        <c:idx val="1322"/>
        <c:spPr>
          <a:solidFill>
            <a:schemeClr val="accent6"/>
          </a:solidFill>
          <a:ln>
            <a:noFill/>
          </a:ln>
          <a:effectLst>
            <a:outerShdw blurRad="254000" sx="102000" sy="102000" algn="ctr" rotWithShape="0">
              <a:prstClr val="black">
                <a:alpha val="20000"/>
              </a:prstClr>
            </a:outerShdw>
          </a:effectLst>
        </c:spPr>
      </c:pivotFmt>
      <c:pivotFmt>
        <c:idx val="1323"/>
        <c:spPr>
          <a:solidFill>
            <a:schemeClr val="accent6"/>
          </a:solidFill>
          <a:ln>
            <a:noFill/>
          </a:ln>
          <a:effectLst>
            <a:outerShdw blurRad="254000" sx="102000" sy="102000" algn="ctr" rotWithShape="0">
              <a:prstClr val="black">
                <a:alpha val="20000"/>
              </a:prstClr>
            </a:outerShdw>
          </a:effectLst>
        </c:spPr>
      </c:pivotFmt>
      <c:pivotFmt>
        <c:idx val="1324"/>
        <c:spPr>
          <a:solidFill>
            <a:schemeClr val="accent6"/>
          </a:solidFill>
          <a:ln>
            <a:noFill/>
          </a:ln>
          <a:effectLst>
            <a:outerShdw blurRad="254000" sx="102000" sy="102000" algn="ctr" rotWithShape="0">
              <a:prstClr val="black">
                <a:alpha val="20000"/>
              </a:prstClr>
            </a:outerShdw>
          </a:effectLst>
        </c:spPr>
      </c:pivotFmt>
      <c:pivotFmt>
        <c:idx val="1325"/>
        <c:spPr>
          <a:solidFill>
            <a:schemeClr val="accent6"/>
          </a:solidFill>
          <a:ln>
            <a:noFill/>
          </a:ln>
          <a:effectLst>
            <a:outerShdw blurRad="254000" sx="102000" sy="102000" algn="ctr" rotWithShape="0">
              <a:prstClr val="black">
                <a:alpha val="20000"/>
              </a:prstClr>
            </a:outerShdw>
          </a:effectLst>
        </c:spPr>
      </c:pivotFmt>
      <c:pivotFmt>
        <c:idx val="1326"/>
      </c:pivotFmt>
      <c:pivotFmt>
        <c:idx val="1327"/>
      </c:pivotFmt>
      <c:pivotFmt>
        <c:idx val="1328"/>
      </c:pivotFmt>
      <c:pivotFmt>
        <c:idx val="1329"/>
      </c:pivotFmt>
      <c:pivotFmt>
        <c:idx val="1330"/>
      </c:pivotFmt>
      <c:pivotFmt>
        <c:idx val="1331"/>
      </c:pivotFmt>
      <c:pivotFmt>
        <c:idx val="1332"/>
      </c:pivotFmt>
      <c:pivotFmt>
        <c:idx val="1333"/>
      </c:pivotFmt>
      <c:pivotFmt>
        <c:idx val="1334"/>
      </c:pivotFmt>
      <c:pivotFmt>
        <c:idx val="1335"/>
        <c:spPr>
          <a:solidFill>
            <a:schemeClr val="accent6"/>
          </a:solidFill>
          <a:ln>
            <a:noFill/>
          </a:ln>
          <a:effectLst>
            <a:outerShdw blurRad="254000" sx="102000" sy="102000" algn="ctr" rotWithShape="0">
              <a:prstClr val="black">
                <a:alpha val="20000"/>
              </a:prstClr>
            </a:outerShdw>
          </a:effectLst>
        </c:spPr>
      </c:pivotFmt>
      <c:pivotFmt>
        <c:idx val="1336"/>
        <c:spPr>
          <a:solidFill>
            <a:schemeClr val="accent6"/>
          </a:solidFill>
          <a:ln>
            <a:noFill/>
          </a:ln>
          <a:effectLst>
            <a:outerShdw blurRad="254000" sx="102000" sy="102000" algn="ctr" rotWithShape="0">
              <a:prstClr val="black">
                <a:alpha val="20000"/>
              </a:prstClr>
            </a:outerShdw>
          </a:effectLst>
        </c:spPr>
      </c:pivotFmt>
      <c:pivotFmt>
        <c:idx val="1337"/>
        <c:spPr>
          <a:solidFill>
            <a:schemeClr val="accent6"/>
          </a:solidFill>
          <a:ln>
            <a:noFill/>
          </a:ln>
          <a:effectLst>
            <a:outerShdw blurRad="254000" sx="102000" sy="102000" algn="ctr" rotWithShape="0">
              <a:prstClr val="black">
                <a:alpha val="20000"/>
              </a:prstClr>
            </a:outerShdw>
          </a:effectLst>
        </c:spPr>
      </c:pivotFmt>
      <c:pivotFmt>
        <c:idx val="1338"/>
        <c:spPr>
          <a:solidFill>
            <a:schemeClr val="accent6"/>
          </a:solidFill>
          <a:ln>
            <a:noFill/>
          </a:ln>
          <a:effectLst>
            <a:outerShdw blurRad="254000" sx="102000" sy="102000" algn="ctr" rotWithShape="0">
              <a:prstClr val="black">
                <a:alpha val="20000"/>
              </a:prstClr>
            </a:outerShdw>
          </a:effectLst>
        </c:spPr>
      </c:pivotFmt>
      <c:pivotFmt>
        <c:idx val="1339"/>
        <c:spPr>
          <a:solidFill>
            <a:schemeClr val="accent6"/>
          </a:solidFill>
          <a:ln>
            <a:noFill/>
          </a:ln>
          <a:effectLst>
            <a:outerShdw blurRad="254000" sx="102000" sy="102000" algn="ctr" rotWithShape="0">
              <a:prstClr val="black">
                <a:alpha val="20000"/>
              </a:prstClr>
            </a:outerShdw>
          </a:effectLst>
        </c:spPr>
      </c:pivotFmt>
      <c:pivotFmt>
        <c:idx val="1340"/>
        <c:spPr>
          <a:solidFill>
            <a:schemeClr val="accent6"/>
          </a:solidFill>
          <a:ln>
            <a:noFill/>
          </a:ln>
          <a:effectLst>
            <a:outerShdw blurRad="254000" sx="102000" sy="102000" algn="ctr" rotWithShape="0">
              <a:prstClr val="black">
                <a:alpha val="20000"/>
              </a:prstClr>
            </a:outerShdw>
          </a:effectLst>
        </c:spPr>
      </c:pivotFmt>
      <c:pivotFmt>
        <c:idx val="1341"/>
        <c:spPr>
          <a:solidFill>
            <a:schemeClr val="accent6"/>
          </a:solidFill>
          <a:ln>
            <a:noFill/>
          </a:ln>
          <a:effectLst>
            <a:outerShdw blurRad="254000" sx="102000" sy="102000" algn="ctr" rotWithShape="0">
              <a:prstClr val="black">
                <a:alpha val="20000"/>
              </a:prstClr>
            </a:outerShdw>
          </a:effectLst>
        </c:spPr>
      </c:pivotFmt>
      <c:pivotFmt>
        <c:idx val="1342"/>
        <c:spPr>
          <a:solidFill>
            <a:schemeClr val="accent6"/>
          </a:solidFill>
          <a:ln>
            <a:noFill/>
          </a:ln>
          <a:effectLst>
            <a:outerShdw blurRad="254000" sx="102000" sy="102000" algn="ctr" rotWithShape="0">
              <a:prstClr val="black">
                <a:alpha val="20000"/>
              </a:prstClr>
            </a:outerShdw>
          </a:effectLst>
        </c:spPr>
      </c:pivotFmt>
      <c:pivotFmt>
        <c:idx val="1343"/>
        <c:spPr>
          <a:solidFill>
            <a:schemeClr val="accent6"/>
          </a:solidFill>
          <a:ln>
            <a:noFill/>
          </a:ln>
          <a:effectLst>
            <a:outerShdw blurRad="254000" sx="102000" sy="102000" algn="ctr" rotWithShape="0">
              <a:prstClr val="black">
                <a:alpha val="20000"/>
              </a:prstClr>
            </a:outerShdw>
          </a:effectLst>
        </c:spPr>
      </c:pivotFmt>
      <c:pivotFmt>
        <c:idx val="1344"/>
        <c:spPr>
          <a:solidFill>
            <a:schemeClr val="accent6"/>
          </a:solidFill>
          <a:ln>
            <a:noFill/>
          </a:ln>
          <a:effectLst>
            <a:outerShdw blurRad="254000" sx="102000" sy="102000" algn="ctr" rotWithShape="0">
              <a:prstClr val="black">
                <a:alpha val="20000"/>
              </a:prstClr>
            </a:outerShdw>
          </a:effectLst>
        </c:spPr>
      </c:pivotFmt>
      <c:pivotFmt>
        <c:idx val="1345"/>
        <c:spPr>
          <a:solidFill>
            <a:schemeClr val="accent6"/>
          </a:solidFill>
          <a:ln>
            <a:noFill/>
          </a:ln>
          <a:effectLst>
            <a:outerShdw blurRad="254000" sx="102000" sy="102000" algn="ctr" rotWithShape="0">
              <a:prstClr val="black">
                <a:alpha val="20000"/>
              </a:prstClr>
            </a:outerShdw>
          </a:effectLst>
        </c:spPr>
      </c:pivotFmt>
      <c:pivotFmt>
        <c:idx val="1346"/>
        <c:spPr>
          <a:solidFill>
            <a:schemeClr val="accent6"/>
          </a:solidFill>
          <a:ln>
            <a:noFill/>
          </a:ln>
          <a:effectLst>
            <a:outerShdw blurRad="254000" sx="102000" sy="102000" algn="ctr" rotWithShape="0">
              <a:prstClr val="black">
                <a:alpha val="20000"/>
              </a:prstClr>
            </a:outerShdw>
          </a:effectLst>
        </c:spPr>
      </c:pivotFmt>
      <c:pivotFmt>
        <c:idx val="1347"/>
        <c:spPr>
          <a:solidFill>
            <a:schemeClr val="accent6"/>
          </a:solidFill>
          <a:ln>
            <a:noFill/>
          </a:ln>
          <a:effectLst>
            <a:outerShdw blurRad="254000" sx="102000" sy="102000" algn="ctr" rotWithShape="0">
              <a:prstClr val="black">
                <a:alpha val="20000"/>
              </a:prstClr>
            </a:outerShdw>
          </a:effectLst>
        </c:spPr>
      </c:pivotFmt>
      <c:pivotFmt>
        <c:idx val="1348"/>
        <c:spPr>
          <a:solidFill>
            <a:schemeClr val="accent6"/>
          </a:solidFill>
          <a:ln>
            <a:noFill/>
          </a:ln>
          <a:effectLst>
            <a:outerShdw blurRad="254000" sx="102000" sy="102000" algn="ctr" rotWithShape="0">
              <a:prstClr val="black">
                <a:alpha val="20000"/>
              </a:prstClr>
            </a:outerShdw>
          </a:effectLst>
        </c:spPr>
      </c:pivotFmt>
      <c:pivotFmt>
        <c:idx val="1349"/>
        <c:spPr>
          <a:solidFill>
            <a:schemeClr val="accent6"/>
          </a:solidFill>
          <a:ln>
            <a:noFill/>
          </a:ln>
          <a:effectLst>
            <a:outerShdw blurRad="254000" sx="102000" sy="102000" algn="ctr" rotWithShape="0">
              <a:prstClr val="black">
                <a:alpha val="20000"/>
              </a:prstClr>
            </a:outerShdw>
          </a:effectLst>
        </c:spPr>
      </c:pivotFmt>
      <c:pivotFmt>
        <c:idx val="1350"/>
        <c:spPr>
          <a:solidFill>
            <a:schemeClr val="accent6"/>
          </a:solidFill>
          <a:ln>
            <a:noFill/>
          </a:ln>
          <a:effectLst>
            <a:outerShdw blurRad="254000" sx="102000" sy="102000" algn="ctr" rotWithShape="0">
              <a:prstClr val="black">
                <a:alpha val="20000"/>
              </a:prstClr>
            </a:outerShdw>
          </a:effectLst>
        </c:spPr>
      </c:pivotFmt>
      <c:pivotFmt>
        <c:idx val="1351"/>
        <c:spPr>
          <a:solidFill>
            <a:schemeClr val="accent6"/>
          </a:solidFill>
          <a:ln>
            <a:noFill/>
          </a:ln>
          <a:effectLst>
            <a:outerShdw blurRad="254000" sx="102000" sy="102000" algn="ctr" rotWithShape="0">
              <a:prstClr val="black">
                <a:alpha val="20000"/>
              </a:prstClr>
            </a:outerShdw>
          </a:effectLst>
        </c:spPr>
      </c:pivotFmt>
      <c:pivotFmt>
        <c:idx val="1352"/>
        <c:spPr>
          <a:solidFill>
            <a:schemeClr val="accent6"/>
          </a:solidFill>
          <a:ln>
            <a:noFill/>
          </a:ln>
          <a:effectLst>
            <a:outerShdw blurRad="254000" sx="102000" sy="102000" algn="ctr" rotWithShape="0">
              <a:prstClr val="black">
                <a:alpha val="20000"/>
              </a:prstClr>
            </a:outerShdw>
          </a:effectLst>
        </c:spPr>
      </c:pivotFmt>
      <c:pivotFmt>
        <c:idx val="1353"/>
        <c:spPr>
          <a:solidFill>
            <a:schemeClr val="accent6"/>
          </a:solidFill>
          <a:ln>
            <a:noFill/>
          </a:ln>
          <a:effectLst>
            <a:outerShdw blurRad="254000" sx="102000" sy="102000" algn="ctr" rotWithShape="0">
              <a:prstClr val="black">
                <a:alpha val="20000"/>
              </a:prstClr>
            </a:outerShdw>
          </a:effectLst>
        </c:spPr>
      </c:pivotFmt>
      <c:pivotFmt>
        <c:idx val="1354"/>
        <c:spPr>
          <a:solidFill>
            <a:schemeClr val="accent6"/>
          </a:solidFill>
          <a:ln>
            <a:noFill/>
          </a:ln>
          <a:effectLst>
            <a:outerShdw blurRad="254000" sx="102000" sy="102000" algn="ctr" rotWithShape="0">
              <a:prstClr val="black">
                <a:alpha val="20000"/>
              </a:prstClr>
            </a:outerShdw>
          </a:effectLst>
        </c:spPr>
      </c:pivotFmt>
      <c:pivotFmt>
        <c:idx val="1355"/>
        <c:spPr>
          <a:solidFill>
            <a:schemeClr val="accent6"/>
          </a:solidFill>
          <a:ln>
            <a:noFill/>
          </a:ln>
          <a:effectLst>
            <a:outerShdw blurRad="254000" sx="102000" sy="102000" algn="ctr" rotWithShape="0">
              <a:prstClr val="black">
                <a:alpha val="20000"/>
              </a:prstClr>
            </a:outerShdw>
          </a:effectLst>
        </c:spPr>
      </c:pivotFmt>
      <c:pivotFmt>
        <c:idx val="1356"/>
        <c:spPr>
          <a:solidFill>
            <a:schemeClr val="accent6"/>
          </a:solidFill>
          <a:ln>
            <a:noFill/>
          </a:ln>
          <a:effectLst>
            <a:outerShdw blurRad="254000" sx="102000" sy="102000" algn="ctr" rotWithShape="0">
              <a:prstClr val="black">
                <a:alpha val="20000"/>
              </a:prstClr>
            </a:outerShdw>
          </a:effectLst>
        </c:spPr>
      </c:pivotFmt>
      <c:pivotFmt>
        <c:idx val="1357"/>
        <c:spPr>
          <a:solidFill>
            <a:schemeClr val="accent6"/>
          </a:solidFill>
          <a:ln>
            <a:noFill/>
          </a:ln>
          <a:effectLst>
            <a:outerShdw blurRad="254000" sx="102000" sy="102000" algn="ctr" rotWithShape="0">
              <a:prstClr val="black">
                <a:alpha val="20000"/>
              </a:prstClr>
            </a:outerShdw>
          </a:effectLst>
        </c:spPr>
      </c:pivotFmt>
      <c:pivotFmt>
        <c:idx val="1358"/>
        <c:spPr>
          <a:solidFill>
            <a:schemeClr val="accent6"/>
          </a:solidFill>
          <a:ln>
            <a:noFill/>
          </a:ln>
          <a:effectLst>
            <a:outerShdw blurRad="254000" sx="102000" sy="102000" algn="ctr" rotWithShape="0">
              <a:prstClr val="black">
                <a:alpha val="20000"/>
              </a:prstClr>
            </a:outerShdw>
          </a:effectLst>
        </c:spPr>
      </c:pivotFmt>
      <c:pivotFmt>
        <c:idx val="1359"/>
        <c:spPr>
          <a:solidFill>
            <a:schemeClr val="accent6"/>
          </a:solidFill>
          <a:ln>
            <a:noFill/>
          </a:ln>
          <a:effectLst>
            <a:outerShdw blurRad="254000" sx="102000" sy="102000" algn="ctr" rotWithShape="0">
              <a:prstClr val="black">
                <a:alpha val="20000"/>
              </a:prstClr>
            </a:outerShdw>
          </a:effectLst>
        </c:spPr>
      </c:pivotFmt>
      <c:pivotFmt>
        <c:idx val="1360"/>
        <c:spPr>
          <a:solidFill>
            <a:schemeClr val="accent6"/>
          </a:solidFill>
          <a:ln>
            <a:noFill/>
          </a:ln>
          <a:effectLst>
            <a:outerShdw blurRad="254000" sx="102000" sy="102000" algn="ctr" rotWithShape="0">
              <a:prstClr val="black">
                <a:alpha val="20000"/>
              </a:prstClr>
            </a:outerShdw>
          </a:effectLst>
        </c:spPr>
      </c:pivotFmt>
      <c:pivotFmt>
        <c:idx val="1361"/>
        <c:spPr>
          <a:solidFill>
            <a:schemeClr val="accent6"/>
          </a:solidFill>
          <a:ln>
            <a:noFill/>
          </a:ln>
          <a:effectLst>
            <a:outerShdw blurRad="254000" sx="102000" sy="102000" algn="ctr" rotWithShape="0">
              <a:prstClr val="black">
                <a:alpha val="20000"/>
              </a:prstClr>
            </a:outerShdw>
          </a:effectLst>
        </c:spPr>
      </c:pivotFmt>
      <c:pivotFmt>
        <c:idx val="1362"/>
        <c:spPr>
          <a:solidFill>
            <a:schemeClr val="accent6"/>
          </a:solidFill>
          <a:ln>
            <a:noFill/>
          </a:ln>
          <a:effectLst>
            <a:outerShdw blurRad="254000" sx="102000" sy="102000" algn="ctr" rotWithShape="0">
              <a:prstClr val="black">
                <a:alpha val="20000"/>
              </a:prstClr>
            </a:outerShdw>
          </a:effectLst>
        </c:spPr>
      </c:pivotFmt>
      <c:pivotFmt>
        <c:idx val="1363"/>
        <c:spPr>
          <a:solidFill>
            <a:schemeClr val="accent6"/>
          </a:solidFill>
          <a:ln>
            <a:noFill/>
          </a:ln>
          <a:effectLst>
            <a:outerShdw blurRad="254000" sx="102000" sy="102000" algn="ctr" rotWithShape="0">
              <a:prstClr val="black">
                <a:alpha val="20000"/>
              </a:prstClr>
            </a:outerShdw>
          </a:effectLst>
        </c:spPr>
      </c:pivotFmt>
      <c:pivotFmt>
        <c:idx val="1364"/>
        <c:spPr>
          <a:solidFill>
            <a:schemeClr val="accent6"/>
          </a:solidFill>
          <a:ln>
            <a:noFill/>
          </a:ln>
          <a:effectLst>
            <a:outerShdw blurRad="254000" sx="102000" sy="102000" algn="ctr" rotWithShape="0">
              <a:prstClr val="black">
                <a:alpha val="20000"/>
              </a:prstClr>
            </a:outerShdw>
          </a:effectLst>
        </c:spPr>
      </c:pivotFmt>
      <c:pivotFmt>
        <c:idx val="1365"/>
        <c:spPr>
          <a:solidFill>
            <a:schemeClr val="accent6"/>
          </a:solidFill>
          <a:ln>
            <a:noFill/>
          </a:ln>
          <a:effectLst>
            <a:outerShdw blurRad="254000" sx="102000" sy="102000" algn="ctr" rotWithShape="0">
              <a:prstClr val="black">
                <a:alpha val="20000"/>
              </a:prstClr>
            </a:outerShdw>
          </a:effectLst>
        </c:spPr>
      </c:pivotFmt>
      <c:pivotFmt>
        <c:idx val="1366"/>
        <c:spPr>
          <a:solidFill>
            <a:schemeClr val="accent6"/>
          </a:solidFill>
          <a:ln>
            <a:noFill/>
          </a:ln>
          <a:effectLst>
            <a:outerShdw blurRad="254000" sx="102000" sy="102000" algn="ctr" rotWithShape="0">
              <a:prstClr val="black">
                <a:alpha val="20000"/>
              </a:prstClr>
            </a:outerShdw>
          </a:effectLst>
        </c:spPr>
      </c:pivotFmt>
      <c:pivotFmt>
        <c:idx val="1367"/>
        <c:spPr>
          <a:solidFill>
            <a:schemeClr val="accent6"/>
          </a:solidFill>
          <a:ln>
            <a:noFill/>
          </a:ln>
          <a:effectLst>
            <a:outerShdw blurRad="254000" sx="102000" sy="102000" algn="ctr" rotWithShape="0">
              <a:prstClr val="black">
                <a:alpha val="20000"/>
              </a:prstClr>
            </a:outerShdw>
          </a:effectLst>
        </c:spPr>
      </c:pivotFmt>
      <c:pivotFmt>
        <c:idx val="1368"/>
        <c:spPr>
          <a:solidFill>
            <a:schemeClr val="accent6"/>
          </a:solidFill>
          <a:ln>
            <a:noFill/>
          </a:ln>
          <a:effectLst>
            <a:outerShdw blurRad="254000" sx="102000" sy="102000" algn="ctr" rotWithShape="0">
              <a:prstClr val="black">
                <a:alpha val="20000"/>
              </a:prstClr>
            </a:outerShdw>
          </a:effectLst>
        </c:spPr>
      </c:pivotFmt>
      <c:pivotFmt>
        <c:idx val="1369"/>
        <c:spPr>
          <a:solidFill>
            <a:schemeClr val="accent6"/>
          </a:solidFill>
          <a:ln>
            <a:noFill/>
          </a:ln>
          <a:effectLst>
            <a:outerShdw blurRad="254000" sx="102000" sy="102000" algn="ctr" rotWithShape="0">
              <a:prstClr val="black">
                <a:alpha val="20000"/>
              </a:prstClr>
            </a:outerShdw>
          </a:effectLst>
        </c:spPr>
      </c:pivotFmt>
      <c:pivotFmt>
        <c:idx val="1370"/>
        <c:spPr>
          <a:solidFill>
            <a:schemeClr val="accent6"/>
          </a:solidFill>
          <a:ln>
            <a:noFill/>
          </a:ln>
          <a:effectLst>
            <a:outerShdw blurRad="254000" sx="102000" sy="102000" algn="ctr" rotWithShape="0">
              <a:prstClr val="black">
                <a:alpha val="20000"/>
              </a:prstClr>
            </a:outerShdw>
          </a:effectLst>
        </c:spPr>
      </c:pivotFmt>
      <c:pivotFmt>
        <c:idx val="1371"/>
        <c:spPr>
          <a:solidFill>
            <a:schemeClr val="accent6"/>
          </a:solidFill>
          <a:ln>
            <a:noFill/>
          </a:ln>
          <a:effectLst>
            <a:outerShdw blurRad="254000" sx="102000" sy="102000" algn="ctr" rotWithShape="0">
              <a:prstClr val="black">
                <a:alpha val="20000"/>
              </a:prstClr>
            </a:outerShdw>
          </a:effectLst>
        </c:spPr>
      </c:pivotFmt>
      <c:pivotFmt>
        <c:idx val="1372"/>
        <c:spPr>
          <a:solidFill>
            <a:schemeClr val="accent6"/>
          </a:solidFill>
          <a:ln>
            <a:noFill/>
          </a:ln>
          <a:effectLst>
            <a:outerShdw blurRad="254000" sx="102000" sy="102000" algn="ctr" rotWithShape="0">
              <a:prstClr val="black">
                <a:alpha val="20000"/>
              </a:prstClr>
            </a:outerShdw>
          </a:effectLst>
        </c:spPr>
      </c:pivotFmt>
      <c:pivotFmt>
        <c:idx val="1373"/>
        <c:spPr>
          <a:solidFill>
            <a:schemeClr val="accent6"/>
          </a:solidFill>
          <a:ln>
            <a:noFill/>
          </a:ln>
          <a:effectLst>
            <a:outerShdw blurRad="254000" sx="102000" sy="102000" algn="ctr" rotWithShape="0">
              <a:prstClr val="black">
                <a:alpha val="20000"/>
              </a:prstClr>
            </a:outerShdw>
          </a:effectLst>
        </c:spPr>
      </c:pivotFmt>
      <c:pivotFmt>
        <c:idx val="1374"/>
        <c:spPr>
          <a:solidFill>
            <a:schemeClr val="accent6"/>
          </a:solidFill>
          <a:ln>
            <a:noFill/>
          </a:ln>
          <a:effectLst>
            <a:outerShdw blurRad="254000" sx="102000" sy="102000" algn="ctr" rotWithShape="0">
              <a:prstClr val="black">
                <a:alpha val="20000"/>
              </a:prstClr>
            </a:outerShdw>
          </a:effectLst>
        </c:spPr>
      </c:pivotFmt>
      <c:pivotFmt>
        <c:idx val="1375"/>
        <c:spPr>
          <a:solidFill>
            <a:schemeClr val="accent6"/>
          </a:solidFill>
          <a:ln>
            <a:noFill/>
          </a:ln>
          <a:effectLst>
            <a:outerShdw blurRad="254000" sx="102000" sy="102000" algn="ctr" rotWithShape="0">
              <a:prstClr val="black">
                <a:alpha val="20000"/>
              </a:prstClr>
            </a:outerShdw>
          </a:effectLst>
        </c:spPr>
      </c:pivotFmt>
      <c:pivotFmt>
        <c:idx val="1376"/>
        <c:spPr>
          <a:solidFill>
            <a:schemeClr val="accent6"/>
          </a:solidFill>
          <a:ln>
            <a:noFill/>
          </a:ln>
          <a:effectLst>
            <a:outerShdw blurRad="254000" sx="102000" sy="102000" algn="ctr" rotWithShape="0">
              <a:prstClr val="black">
                <a:alpha val="20000"/>
              </a:prstClr>
            </a:outerShdw>
          </a:effectLst>
        </c:spPr>
      </c:pivotFmt>
      <c:pivotFmt>
        <c:idx val="1377"/>
        <c:spPr>
          <a:solidFill>
            <a:schemeClr val="accent6"/>
          </a:solidFill>
          <a:ln>
            <a:noFill/>
          </a:ln>
          <a:effectLst>
            <a:outerShdw blurRad="254000" sx="102000" sy="102000" algn="ctr" rotWithShape="0">
              <a:prstClr val="black">
                <a:alpha val="20000"/>
              </a:prstClr>
            </a:outerShdw>
          </a:effectLst>
        </c:spPr>
      </c:pivotFmt>
      <c:pivotFmt>
        <c:idx val="1378"/>
        <c:spPr>
          <a:solidFill>
            <a:schemeClr val="accent6"/>
          </a:solidFill>
          <a:ln>
            <a:noFill/>
          </a:ln>
          <a:effectLst>
            <a:outerShdw blurRad="254000" sx="102000" sy="102000" algn="ctr" rotWithShape="0">
              <a:prstClr val="black">
                <a:alpha val="20000"/>
              </a:prstClr>
            </a:outerShdw>
          </a:effectLst>
        </c:spPr>
      </c:pivotFmt>
      <c:pivotFmt>
        <c:idx val="1379"/>
        <c:spPr>
          <a:solidFill>
            <a:schemeClr val="accent6"/>
          </a:solidFill>
          <a:ln>
            <a:noFill/>
          </a:ln>
          <a:effectLst>
            <a:outerShdw blurRad="254000" sx="102000" sy="102000" algn="ctr" rotWithShape="0">
              <a:prstClr val="black">
                <a:alpha val="20000"/>
              </a:prstClr>
            </a:outerShdw>
          </a:effectLst>
        </c:spPr>
      </c:pivotFmt>
      <c:pivotFmt>
        <c:idx val="1380"/>
        <c:spPr>
          <a:solidFill>
            <a:schemeClr val="accent6"/>
          </a:solidFill>
          <a:ln>
            <a:noFill/>
          </a:ln>
          <a:effectLst>
            <a:outerShdw blurRad="254000" sx="102000" sy="102000" algn="ctr" rotWithShape="0">
              <a:prstClr val="black">
                <a:alpha val="20000"/>
              </a:prstClr>
            </a:outerShdw>
          </a:effectLst>
        </c:spPr>
      </c:pivotFmt>
      <c:pivotFmt>
        <c:idx val="1381"/>
        <c:spPr>
          <a:solidFill>
            <a:schemeClr val="accent6"/>
          </a:solidFill>
          <a:ln>
            <a:noFill/>
          </a:ln>
          <a:effectLst>
            <a:outerShdw blurRad="254000" sx="102000" sy="102000" algn="ctr" rotWithShape="0">
              <a:prstClr val="black">
                <a:alpha val="20000"/>
              </a:prstClr>
            </a:outerShdw>
          </a:effectLst>
        </c:spPr>
      </c:pivotFmt>
      <c:pivotFmt>
        <c:idx val="1382"/>
        <c:spPr>
          <a:solidFill>
            <a:schemeClr val="accent6"/>
          </a:solidFill>
          <a:ln>
            <a:noFill/>
          </a:ln>
          <a:effectLst>
            <a:outerShdw blurRad="254000" sx="102000" sy="102000" algn="ctr" rotWithShape="0">
              <a:prstClr val="black">
                <a:alpha val="20000"/>
              </a:prstClr>
            </a:outerShdw>
          </a:effectLst>
        </c:spPr>
      </c:pivotFmt>
      <c:pivotFmt>
        <c:idx val="1383"/>
        <c:spPr>
          <a:solidFill>
            <a:schemeClr val="accent6"/>
          </a:solidFill>
          <a:ln>
            <a:noFill/>
          </a:ln>
          <a:effectLst>
            <a:outerShdw blurRad="254000" sx="102000" sy="102000" algn="ctr" rotWithShape="0">
              <a:prstClr val="black">
                <a:alpha val="20000"/>
              </a:prstClr>
            </a:outerShdw>
          </a:effectLst>
        </c:spPr>
      </c:pivotFmt>
      <c:pivotFmt>
        <c:idx val="1384"/>
        <c:spPr>
          <a:solidFill>
            <a:schemeClr val="accent6"/>
          </a:solidFill>
          <a:ln>
            <a:noFill/>
          </a:ln>
          <a:effectLst>
            <a:outerShdw blurRad="254000" sx="102000" sy="102000" algn="ctr" rotWithShape="0">
              <a:prstClr val="black">
                <a:alpha val="20000"/>
              </a:prstClr>
            </a:outerShdw>
          </a:effectLst>
        </c:spPr>
      </c:pivotFmt>
      <c:pivotFmt>
        <c:idx val="1385"/>
        <c:spPr>
          <a:solidFill>
            <a:schemeClr val="accent6"/>
          </a:solidFill>
          <a:ln>
            <a:noFill/>
          </a:ln>
          <a:effectLst>
            <a:outerShdw blurRad="254000" sx="102000" sy="102000" algn="ctr" rotWithShape="0">
              <a:prstClr val="black">
                <a:alpha val="20000"/>
              </a:prstClr>
            </a:outerShdw>
          </a:effectLst>
        </c:spPr>
      </c:pivotFmt>
      <c:pivotFmt>
        <c:idx val="1386"/>
        <c:spPr>
          <a:solidFill>
            <a:schemeClr val="accent6"/>
          </a:solidFill>
          <a:ln>
            <a:noFill/>
          </a:ln>
          <a:effectLst>
            <a:outerShdw blurRad="254000" sx="102000" sy="102000" algn="ctr" rotWithShape="0">
              <a:prstClr val="black">
                <a:alpha val="20000"/>
              </a:prstClr>
            </a:outerShdw>
          </a:effectLst>
        </c:spPr>
      </c:pivotFmt>
      <c:pivotFmt>
        <c:idx val="1387"/>
        <c:spPr>
          <a:solidFill>
            <a:schemeClr val="accent6"/>
          </a:solidFill>
          <a:ln>
            <a:noFill/>
          </a:ln>
          <a:effectLst>
            <a:outerShdw blurRad="254000" sx="102000" sy="102000" algn="ctr" rotWithShape="0">
              <a:prstClr val="black">
                <a:alpha val="20000"/>
              </a:prstClr>
            </a:outerShdw>
          </a:effectLst>
        </c:spPr>
      </c:pivotFmt>
      <c:pivotFmt>
        <c:idx val="1388"/>
        <c:spPr>
          <a:solidFill>
            <a:schemeClr val="accent6"/>
          </a:solidFill>
          <a:ln>
            <a:noFill/>
          </a:ln>
          <a:effectLst>
            <a:outerShdw blurRad="254000" sx="102000" sy="102000" algn="ctr" rotWithShape="0">
              <a:prstClr val="black">
                <a:alpha val="20000"/>
              </a:prstClr>
            </a:outerShdw>
          </a:effectLst>
        </c:spPr>
      </c:pivotFmt>
      <c:pivotFmt>
        <c:idx val="138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90"/>
        <c:spPr>
          <a:solidFill>
            <a:schemeClr val="accent6"/>
          </a:solidFill>
          <a:ln>
            <a:noFill/>
          </a:ln>
          <a:effectLst>
            <a:outerShdw blurRad="254000" sx="102000" sy="102000" algn="ctr" rotWithShape="0">
              <a:prstClr val="black">
                <a:alpha val="20000"/>
              </a:prstClr>
            </a:outerShdw>
          </a:effectLst>
        </c:spPr>
      </c:pivotFmt>
      <c:pivotFmt>
        <c:idx val="1391"/>
        <c:spPr>
          <a:solidFill>
            <a:schemeClr val="accent6"/>
          </a:solidFill>
          <a:ln>
            <a:noFill/>
          </a:ln>
          <a:effectLst>
            <a:outerShdw blurRad="254000" sx="102000" sy="102000" algn="ctr" rotWithShape="0">
              <a:prstClr val="black">
                <a:alpha val="20000"/>
              </a:prstClr>
            </a:outerShdw>
          </a:effectLst>
        </c:spPr>
      </c:pivotFmt>
      <c:pivotFmt>
        <c:idx val="1392"/>
        <c:spPr>
          <a:solidFill>
            <a:schemeClr val="accent6"/>
          </a:solidFill>
          <a:ln>
            <a:noFill/>
          </a:ln>
          <a:effectLst>
            <a:outerShdw blurRad="254000" sx="102000" sy="102000" algn="ctr" rotWithShape="0">
              <a:prstClr val="black">
                <a:alpha val="20000"/>
              </a:prstClr>
            </a:outerShdw>
          </a:effectLst>
        </c:spPr>
      </c:pivotFmt>
      <c:pivotFmt>
        <c:idx val="1393"/>
        <c:spPr>
          <a:solidFill>
            <a:schemeClr val="accent6"/>
          </a:solidFill>
          <a:ln>
            <a:noFill/>
          </a:ln>
          <a:effectLst>
            <a:outerShdw blurRad="254000" sx="102000" sy="102000" algn="ctr" rotWithShape="0">
              <a:prstClr val="black">
                <a:alpha val="20000"/>
              </a:prstClr>
            </a:outerShdw>
          </a:effectLst>
        </c:spPr>
      </c:pivotFmt>
      <c:pivotFmt>
        <c:idx val="1394"/>
        <c:spPr>
          <a:solidFill>
            <a:schemeClr val="accent6"/>
          </a:solidFill>
          <a:ln>
            <a:noFill/>
          </a:ln>
          <a:effectLst>
            <a:outerShdw blurRad="254000" sx="102000" sy="102000" algn="ctr" rotWithShape="0">
              <a:prstClr val="black">
                <a:alpha val="20000"/>
              </a:prstClr>
            </a:outerShdw>
          </a:effectLst>
        </c:spPr>
      </c:pivotFmt>
      <c:pivotFmt>
        <c:idx val="1395"/>
        <c:spPr>
          <a:solidFill>
            <a:schemeClr val="accent6"/>
          </a:solidFill>
          <a:ln>
            <a:noFill/>
          </a:ln>
          <a:effectLst>
            <a:outerShdw blurRad="254000" sx="102000" sy="102000" algn="ctr" rotWithShape="0">
              <a:prstClr val="black">
                <a:alpha val="20000"/>
              </a:prstClr>
            </a:outerShdw>
          </a:effectLst>
        </c:spPr>
      </c:pivotFmt>
      <c:pivotFmt>
        <c:idx val="1396"/>
        <c:spPr>
          <a:solidFill>
            <a:schemeClr val="accent6"/>
          </a:solidFill>
          <a:ln>
            <a:noFill/>
          </a:ln>
          <a:effectLst>
            <a:outerShdw blurRad="254000" sx="102000" sy="102000" algn="ctr" rotWithShape="0">
              <a:prstClr val="black">
                <a:alpha val="20000"/>
              </a:prstClr>
            </a:outerShdw>
          </a:effectLst>
        </c:spPr>
      </c:pivotFmt>
      <c:pivotFmt>
        <c:idx val="1397"/>
        <c:spPr>
          <a:solidFill>
            <a:schemeClr val="accent6"/>
          </a:solidFill>
          <a:ln>
            <a:noFill/>
          </a:ln>
          <a:effectLst>
            <a:outerShdw blurRad="254000" sx="102000" sy="102000" algn="ctr" rotWithShape="0">
              <a:prstClr val="black">
                <a:alpha val="20000"/>
              </a:prstClr>
            </a:outerShdw>
          </a:effectLst>
        </c:spPr>
      </c:pivotFmt>
      <c:pivotFmt>
        <c:idx val="1398"/>
        <c:spPr>
          <a:solidFill>
            <a:schemeClr val="accent6"/>
          </a:solidFill>
          <a:ln>
            <a:noFill/>
          </a:ln>
          <a:effectLst>
            <a:outerShdw blurRad="254000" sx="102000" sy="102000" algn="ctr" rotWithShape="0">
              <a:prstClr val="black">
                <a:alpha val="20000"/>
              </a:prstClr>
            </a:outerShdw>
          </a:effectLst>
        </c:spPr>
      </c:pivotFmt>
      <c:pivotFmt>
        <c:idx val="139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0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0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0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0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0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0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06"/>
        <c:spPr>
          <a:solidFill>
            <a:schemeClr val="accent6"/>
          </a:solidFill>
          <a:ln>
            <a:noFill/>
          </a:ln>
          <a:effectLst>
            <a:outerShdw blurRad="254000" sx="102000" sy="102000" algn="ctr" rotWithShape="0">
              <a:prstClr val="black">
                <a:alpha val="20000"/>
              </a:prstClr>
            </a:outerShdw>
          </a:effectLst>
        </c:spPr>
      </c:pivotFmt>
      <c:pivotFmt>
        <c:idx val="1407"/>
        <c:spPr>
          <a:solidFill>
            <a:schemeClr val="accent6"/>
          </a:solidFill>
          <a:ln>
            <a:noFill/>
          </a:ln>
          <a:effectLst>
            <a:outerShdw blurRad="254000" sx="102000" sy="102000" algn="ctr" rotWithShape="0">
              <a:prstClr val="black">
                <a:alpha val="20000"/>
              </a:prstClr>
            </a:outerShdw>
          </a:effectLst>
        </c:spPr>
      </c:pivotFmt>
      <c:pivotFmt>
        <c:idx val="1408"/>
        <c:spPr>
          <a:solidFill>
            <a:schemeClr val="accent6"/>
          </a:solidFill>
          <a:ln>
            <a:noFill/>
          </a:ln>
          <a:effectLst>
            <a:outerShdw blurRad="254000" sx="102000" sy="102000" algn="ctr" rotWithShape="0">
              <a:prstClr val="black">
                <a:alpha val="20000"/>
              </a:prstClr>
            </a:outerShdw>
          </a:effectLst>
        </c:spPr>
      </c:pivotFmt>
      <c:pivotFmt>
        <c:idx val="1409"/>
        <c:spPr>
          <a:solidFill>
            <a:schemeClr val="accent6"/>
          </a:solidFill>
          <a:ln>
            <a:noFill/>
          </a:ln>
          <a:effectLst>
            <a:outerShdw blurRad="254000" sx="102000" sy="102000" algn="ctr" rotWithShape="0">
              <a:prstClr val="black">
                <a:alpha val="20000"/>
              </a:prstClr>
            </a:outerShdw>
          </a:effectLst>
        </c:spPr>
      </c:pivotFmt>
      <c:pivotFmt>
        <c:idx val="1410"/>
        <c:spPr>
          <a:solidFill>
            <a:schemeClr val="accent6"/>
          </a:solidFill>
          <a:ln>
            <a:noFill/>
          </a:ln>
          <a:effectLst>
            <a:outerShdw blurRad="254000" sx="102000" sy="102000" algn="ctr" rotWithShape="0">
              <a:prstClr val="black">
                <a:alpha val="20000"/>
              </a:prstClr>
            </a:outerShdw>
          </a:effectLst>
        </c:spPr>
      </c:pivotFmt>
      <c:pivotFmt>
        <c:idx val="1411"/>
        <c:spPr>
          <a:solidFill>
            <a:schemeClr val="accent6"/>
          </a:solidFill>
          <a:ln>
            <a:noFill/>
          </a:ln>
          <a:effectLst>
            <a:outerShdw blurRad="254000" sx="102000" sy="102000" algn="ctr" rotWithShape="0">
              <a:prstClr val="black">
                <a:alpha val="20000"/>
              </a:prstClr>
            </a:outerShdw>
          </a:effectLst>
        </c:spPr>
      </c:pivotFmt>
      <c:pivotFmt>
        <c:idx val="1412"/>
        <c:spPr>
          <a:solidFill>
            <a:schemeClr val="accent6"/>
          </a:solidFill>
          <a:ln>
            <a:noFill/>
          </a:ln>
          <a:effectLst>
            <a:outerShdw blurRad="254000" sx="102000" sy="102000" algn="ctr" rotWithShape="0">
              <a:prstClr val="black">
                <a:alpha val="20000"/>
              </a:prstClr>
            </a:outerShdw>
          </a:effectLst>
        </c:spPr>
      </c:pivotFmt>
      <c:pivotFmt>
        <c:idx val="1413"/>
        <c:spPr>
          <a:solidFill>
            <a:schemeClr val="accent6"/>
          </a:solidFill>
          <a:ln>
            <a:noFill/>
          </a:ln>
          <a:effectLst>
            <a:outerShdw blurRad="254000" sx="102000" sy="102000" algn="ctr" rotWithShape="0">
              <a:prstClr val="black">
                <a:alpha val="20000"/>
              </a:prstClr>
            </a:outerShdw>
          </a:effectLst>
        </c:spPr>
      </c:pivotFmt>
      <c:pivotFmt>
        <c:idx val="1414"/>
        <c:spPr>
          <a:solidFill>
            <a:schemeClr val="accent6"/>
          </a:solidFill>
          <a:ln>
            <a:noFill/>
          </a:ln>
          <a:effectLst>
            <a:outerShdw blurRad="254000" sx="102000" sy="102000" algn="ctr" rotWithShape="0">
              <a:prstClr val="black">
                <a:alpha val="20000"/>
              </a:prstClr>
            </a:outerShdw>
          </a:effectLst>
        </c:spPr>
      </c:pivotFmt>
      <c:pivotFmt>
        <c:idx val="141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16"/>
        <c:spPr>
          <a:solidFill>
            <a:schemeClr val="accent6"/>
          </a:solidFill>
          <a:ln>
            <a:noFill/>
          </a:ln>
          <a:effectLst>
            <a:outerShdw blurRad="254000" sx="102000" sy="102000" algn="ctr" rotWithShape="0">
              <a:prstClr val="black">
                <a:alpha val="20000"/>
              </a:prstClr>
            </a:outerShdw>
          </a:effectLst>
        </c:spPr>
      </c:pivotFmt>
      <c:pivotFmt>
        <c:idx val="1417"/>
        <c:spPr>
          <a:solidFill>
            <a:schemeClr val="accent6"/>
          </a:solidFill>
          <a:ln>
            <a:noFill/>
          </a:ln>
          <a:effectLst>
            <a:outerShdw blurRad="254000" sx="102000" sy="102000" algn="ctr" rotWithShape="0">
              <a:prstClr val="black">
                <a:alpha val="20000"/>
              </a:prstClr>
            </a:outerShdw>
          </a:effectLst>
        </c:spPr>
      </c:pivotFmt>
      <c:pivotFmt>
        <c:idx val="1418"/>
        <c:spPr>
          <a:solidFill>
            <a:schemeClr val="accent6"/>
          </a:solidFill>
          <a:ln>
            <a:noFill/>
          </a:ln>
          <a:effectLst>
            <a:outerShdw blurRad="254000" sx="102000" sy="102000" algn="ctr" rotWithShape="0">
              <a:prstClr val="black">
                <a:alpha val="20000"/>
              </a:prstClr>
            </a:outerShdw>
          </a:effectLst>
        </c:spPr>
      </c:pivotFmt>
      <c:pivotFmt>
        <c:idx val="1419"/>
        <c:spPr>
          <a:solidFill>
            <a:schemeClr val="accent6"/>
          </a:solidFill>
          <a:ln>
            <a:noFill/>
          </a:ln>
          <a:effectLst>
            <a:outerShdw blurRad="254000" sx="102000" sy="102000" algn="ctr" rotWithShape="0">
              <a:prstClr val="black">
                <a:alpha val="20000"/>
              </a:prstClr>
            </a:outerShdw>
          </a:effectLst>
        </c:spPr>
      </c:pivotFmt>
      <c:pivotFmt>
        <c:idx val="1420"/>
        <c:spPr>
          <a:solidFill>
            <a:schemeClr val="accent6"/>
          </a:solidFill>
          <a:ln>
            <a:noFill/>
          </a:ln>
          <a:effectLst>
            <a:outerShdw blurRad="254000" sx="102000" sy="102000" algn="ctr" rotWithShape="0">
              <a:prstClr val="black">
                <a:alpha val="20000"/>
              </a:prstClr>
            </a:outerShdw>
          </a:effectLst>
        </c:spPr>
      </c:pivotFmt>
      <c:pivotFmt>
        <c:idx val="1421"/>
        <c:spPr>
          <a:solidFill>
            <a:schemeClr val="accent6"/>
          </a:solidFill>
          <a:ln>
            <a:noFill/>
          </a:ln>
          <a:effectLst>
            <a:outerShdw blurRad="254000" sx="102000" sy="102000" algn="ctr" rotWithShape="0">
              <a:prstClr val="black">
                <a:alpha val="20000"/>
              </a:prstClr>
            </a:outerShdw>
          </a:effectLst>
        </c:spPr>
      </c:pivotFmt>
      <c:pivotFmt>
        <c:idx val="1422"/>
        <c:spPr>
          <a:solidFill>
            <a:schemeClr val="accent6"/>
          </a:solidFill>
          <a:ln>
            <a:noFill/>
          </a:ln>
          <a:effectLst>
            <a:outerShdw blurRad="254000" sx="102000" sy="102000" algn="ctr" rotWithShape="0">
              <a:prstClr val="black">
                <a:alpha val="20000"/>
              </a:prstClr>
            </a:outerShdw>
          </a:effectLst>
        </c:spPr>
      </c:pivotFmt>
      <c:pivotFmt>
        <c:idx val="1423"/>
        <c:spPr>
          <a:solidFill>
            <a:schemeClr val="accent6"/>
          </a:solidFill>
          <a:ln>
            <a:noFill/>
          </a:ln>
          <a:effectLst>
            <a:outerShdw blurRad="254000" sx="102000" sy="102000" algn="ctr" rotWithShape="0">
              <a:prstClr val="black">
                <a:alpha val="20000"/>
              </a:prstClr>
            </a:outerShdw>
          </a:effectLst>
        </c:spPr>
      </c:pivotFmt>
      <c:pivotFmt>
        <c:idx val="1424"/>
        <c:spPr>
          <a:solidFill>
            <a:schemeClr val="accent6"/>
          </a:solidFill>
          <a:ln>
            <a:noFill/>
          </a:ln>
          <a:effectLst>
            <a:outerShdw blurRad="254000" sx="102000" sy="102000" algn="ctr" rotWithShape="0">
              <a:prstClr val="black">
                <a:alpha val="20000"/>
              </a:prstClr>
            </a:outerShdw>
          </a:effectLst>
        </c:spPr>
      </c:pivotFmt>
      <c:pivotFmt>
        <c:idx val="142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2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2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2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2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3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3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3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3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3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36"/>
        <c:spPr>
          <a:solidFill>
            <a:schemeClr val="accent6"/>
          </a:solidFill>
          <a:ln>
            <a:noFill/>
          </a:ln>
          <a:effectLst>
            <a:outerShdw blurRad="254000" sx="102000" sy="102000" algn="ctr" rotWithShape="0">
              <a:prstClr val="black">
                <a:alpha val="20000"/>
              </a:prstClr>
            </a:outerShdw>
          </a:effectLst>
        </c:spPr>
      </c:pivotFmt>
      <c:pivotFmt>
        <c:idx val="1437"/>
        <c:spPr>
          <a:solidFill>
            <a:schemeClr val="accent6"/>
          </a:solidFill>
          <a:ln>
            <a:noFill/>
          </a:ln>
          <a:effectLst>
            <a:outerShdw blurRad="254000" sx="102000" sy="102000" algn="ctr" rotWithShape="0">
              <a:prstClr val="black">
                <a:alpha val="20000"/>
              </a:prstClr>
            </a:outerShdw>
          </a:effectLst>
        </c:spPr>
      </c:pivotFmt>
      <c:pivotFmt>
        <c:idx val="1438"/>
        <c:spPr>
          <a:solidFill>
            <a:schemeClr val="accent6"/>
          </a:solidFill>
          <a:ln>
            <a:noFill/>
          </a:ln>
          <a:effectLst>
            <a:outerShdw blurRad="254000" sx="102000" sy="102000" algn="ctr" rotWithShape="0">
              <a:prstClr val="black">
                <a:alpha val="20000"/>
              </a:prstClr>
            </a:outerShdw>
          </a:effectLst>
        </c:spPr>
      </c:pivotFmt>
      <c:pivotFmt>
        <c:idx val="1439"/>
        <c:spPr>
          <a:solidFill>
            <a:schemeClr val="accent6"/>
          </a:solidFill>
          <a:ln>
            <a:noFill/>
          </a:ln>
          <a:effectLst>
            <a:outerShdw blurRad="254000" sx="102000" sy="102000" algn="ctr" rotWithShape="0">
              <a:prstClr val="black">
                <a:alpha val="20000"/>
              </a:prstClr>
            </a:outerShdw>
          </a:effectLst>
        </c:spPr>
      </c:pivotFmt>
      <c:pivotFmt>
        <c:idx val="1440"/>
        <c:spPr>
          <a:solidFill>
            <a:schemeClr val="accent6"/>
          </a:solidFill>
          <a:ln>
            <a:noFill/>
          </a:ln>
          <a:effectLst>
            <a:outerShdw blurRad="254000" sx="102000" sy="102000" algn="ctr" rotWithShape="0">
              <a:prstClr val="black">
                <a:alpha val="20000"/>
              </a:prstClr>
            </a:outerShdw>
          </a:effectLst>
        </c:spPr>
      </c:pivotFmt>
      <c:pivotFmt>
        <c:idx val="1441"/>
        <c:spPr>
          <a:solidFill>
            <a:schemeClr val="accent6"/>
          </a:solidFill>
          <a:ln>
            <a:noFill/>
          </a:ln>
          <a:effectLst>
            <a:outerShdw blurRad="254000" sx="102000" sy="102000" algn="ctr" rotWithShape="0">
              <a:prstClr val="black">
                <a:alpha val="20000"/>
              </a:prstClr>
            </a:outerShdw>
          </a:effectLst>
        </c:spPr>
      </c:pivotFmt>
      <c:pivotFmt>
        <c:idx val="1442"/>
        <c:spPr>
          <a:solidFill>
            <a:schemeClr val="accent6"/>
          </a:solidFill>
          <a:ln>
            <a:noFill/>
          </a:ln>
          <a:effectLst>
            <a:outerShdw blurRad="254000" sx="102000" sy="102000" algn="ctr" rotWithShape="0">
              <a:prstClr val="black">
                <a:alpha val="20000"/>
              </a:prstClr>
            </a:outerShdw>
          </a:effectLst>
        </c:spPr>
      </c:pivotFmt>
      <c:pivotFmt>
        <c:idx val="1443"/>
        <c:spPr>
          <a:solidFill>
            <a:schemeClr val="accent6"/>
          </a:solidFill>
          <a:ln>
            <a:noFill/>
          </a:ln>
          <a:effectLst>
            <a:outerShdw blurRad="254000" sx="102000" sy="102000" algn="ctr" rotWithShape="0">
              <a:prstClr val="black">
                <a:alpha val="20000"/>
              </a:prstClr>
            </a:outerShdw>
          </a:effectLst>
        </c:spPr>
      </c:pivotFmt>
      <c:pivotFmt>
        <c:idx val="1444"/>
        <c:spPr>
          <a:solidFill>
            <a:schemeClr val="accent6"/>
          </a:solidFill>
          <a:ln>
            <a:noFill/>
          </a:ln>
          <a:effectLst>
            <a:outerShdw blurRad="254000" sx="102000" sy="102000" algn="ctr" rotWithShape="0">
              <a:prstClr val="black">
                <a:alpha val="20000"/>
              </a:prstClr>
            </a:outerShdw>
          </a:effectLst>
        </c:spPr>
      </c:pivotFmt>
      <c:pivotFmt>
        <c:idx val="144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4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4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4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4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5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5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53"/>
        <c:spPr>
          <a:solidFill>
            <a:schemeClr val="accent6"/>
          </a:solidFill>
          <a:ln>
            <a:noFill/>
          </a:ln>
          <a:effectLst>
            <a:outerShdw blurRad="254000" sx="102000" sy="102000" algn="ctr" rotWithShape="0">
              <a:prstClr val="black">
                <a:alpha val="20000"/>
              </a:prstClr>
            </a:outerShdw>
          </a:effectLst>
        </c:spPr>
      </c:pivotFmt>
      <c:pivotFmt>
        <c:idx val="1454"/>
        <c:spPr>
          <a:solidFill>
            <a:schemeClr val="accent6"/>
          </a:solidFill>
          <a:ln>
            <a:noFill/>
          </a:ln>
          <a:effectLst>
            <a:outerShdw blurRad="254000" sx="102000" sy="102000" algn="ctr" rotWithShape="0">
              <a:prstClr val="black">
                <a:alpha val="20000"/>
              </a:prstClr>
            </a:outerShdw>
          </a:effectLst>
        </c:spPr>
      </c:pivotFmt>
      <c:pivotFmt>
        <c:idx val="1455"/>
        <c:spPr>
          <a:solidFill>
            <a:schemeClr val="accent6"/>
          </a:solidFill>
          <a:ln>
            <a:noFill/>
          </a:ln>
          <a:effectLst>
            <a:outerShdw blurRad="254000" sx="102000" sy="102000" algn="ctr" rotWithShape="0">
              <a:prstClr val="black">
                <a:alpha val="20000"/>
              </a:prstClr>
            </a:outerShdw>
          </a:effectLst>
        </c:spPr>
      </c:pivotFmt>
      <c:pivotFmt>
        <c:idx val="1456"/>
        <c:spPr>
          <a:solidFill>
            <a:schemeClr val="accent6"/>
          </a:solidFill>
          <a:ln>
            <a:noFill/>
          </a:ln>
          <a:effectLst>
            <a:outerShdw blurRad="254000" sx="102000" sy="102000" algn="ctr" rotWithShape="0">
              <a:prstClr val="black">
                <a:alpha val="20000"/>
              </a:prstClr>
            </a:outerShdw>
          </a:effectLst>
        </c:spPr>
      </c:pivotFmt>
      <c:pivotFmt>
        <c:idx val="1457"/>
        <c:spPr>
          <a:solidFill>
            <a:schemeClr val="accent6"/>
          </a:solidFill>
          <a:ln>
            <a:noFill/>
          </a:ln>
          <a:effectLst>
            <a:outerShdw blurRad="254000" sx="102000" sy="102000" algn="ctr" rotWithShape="0">
              <a:prstClr val="black">
                <a:alpha val="20000"/>
              </a:prstClr>
            </a:outerShdw>
          </a:effectLst>
        </c:spPr>
      </c:pivotFmt>
      <c:pivotFmt>
        <c:idx val="1458"/>
        <c:spPr>
          <a:solidFill>
            <a:schemeClr val="accent6"/>
          </a:solidFill>
          <a:ln>
            <a:noFill/>
          </a:ln>
          <a:effectLst>
            <a:outerShdw blurRad="254000" sx="102000" sy="102000" algn="ctr" rotWithShape="0">
              <a:prstClr val="black">
                <a:alpha val="20000"/>
              </a:prstClr>
            </a:outerShdw>
          </a:effectLst>
        </c:spPr>
      </c:pivotFmt>
      <c:pivotFmt>
        <c:idx val="1459"/>
        <c:spPr>
          <a:solidFill>
            <a:schemeClr val="accent6"/>
          </a:solidFill>
          <a:ln>
            <a:noFill/>
          </a:ln>
          <a:effectLst>
            <a:outerShdw blurRad="254000" sx="102000" sy="102000" algn="ctr" rotWithShape="0">
              <a:prstClr val="black">
                <a:alpha val="20000"/>
              </a:prstClr>
            </a:outerShdw>
          </a:effectLst>
        </c:spPr>
      </c:pivotFmt>
      <c:pivotFmt>
        <c:idx val="1460"/>
        <c:spPr>
          <a:solidFill>
            <a:schemeClr val="accent6"/>
          </a:solidFill>
          <a:ln>
            <a:noFill/>
          </a:ln>
          <a:effectLst>
            <a:outerShdw blurRad="254000" sx="102000" sy="102000" algn="ctr" rotWithShape="0">
              <a:prstClr val="black">
                <a:alpha val="20000"/>
              </a:prstClr>
            </a:outerShdw>
          </a:effectLst>
        </c:spPr>
      </c:pivotFmt>
      <c:pivotFmt>
        <c:idx val="1461"/>
        <c:spPr>
          <a:solidFill>
            <a:schemeClr val="accent6"/>
          </a:solidFill>
          <a:ln>
            <a:noFill/>
          </a:ln>
          <a:effectLst>
            <a:outerShdw blurRad="254000" sx="102000" sy="102000" algn="ctr" rotWithShape="0">
              <a:prstClr val="black">
                <a:alpha val="20000"/>
              </a:prstClr>
            </a:outerShdw>
          </a:effectLst>
        </c:spPr>
      </c:pivotFmt>
      <c:pivotFmt>
        <c:idx val="1462"/>
        <c:spPr>
          <a:solidFill>
            <a:schemeClr val="accent6"/>
          </a:solidFill>
          <a:ln>
            <a:noFill/>
          </a:ln>
          <a:effectLst>
            <a:outerShdw blurRad="254000" sx="102000" sy="102000" algn="ctr" rotWithShape="0">
              <a:prstClr val="black">
                <a:alpha val="20000"/>
              </a:prstClr>
            </a:outerShdw>
          </a:effectLst>
        </c:spPr>
      </c:pivotFmt>
      <c:pivotFmt>
        <c:idx val="1463"/>
        <c:spPr>
          <a:solidFill>
            <a:schemeClr val="accent6"/>
          </a:solidFill>
          <a:ln>
            <a:noFill/>
          </a:ln>
          <a:effectLst>
            <a:outerShdw blurRad="254000" sx="102000" sy="102000" algn="ctr" rotWithShape="0">
              <a:prstClr val="black">
                <a:alpha val="20000"/>
              </a:prstClr>
            </a:outerShdw>
          </a:effectLst>
        </c:spPr>
      </c:pivotFmt>
      <c:pivotFmt>
        <c:idx val="1464"/>
        <c:spPr>
          <a:solidFill>
            <a:schemeClr val="accent6"/>
          </a:solidFill>
          <a:ln>
            <a:noFill/>
          </a:ln>
          <a:effectLst>
            <a:outerShdw blurRad="254000" sx="102000" sy="102000" algn="ctr" rotWithShape="0">
              <a:prstClr val="black">
                <a:alpha val="20000"/>
              </a:prstClr>
            </a:outerShdw>
          </a:effectLst>
        </c:spPr>
      </c:pivotFmt>
      <c:pivotFmt>
        <c:idx val="1465"/>
        <c:spPr>
          <a:solidFill>
            <a:schemeClr val="accent6"/>
          </a:solidFill>
          <a:ln>
            <a:noFill/>
          </a:ln>
          <a:effectLst>
            <a:outerShdw blurRad="254000" sx="102000" sy="102000" algn="ctr" rotWithShape="0">
              <a:prstClr val="black">
                <a:alpha val="20000"/>
              </a:prstClr>
            </a:outerShdw>
          </a:effectLst>
        </c:spPr>
      </c:pivotFmt>
      <c:pivotFmt>
        <c:idx val="1466"/>
        <c:spPr>
          <a:solidFill>
            <a:schemeClr val="accent6"/>
          </a:solidFill>
          <a:ln>
            <a:noFill/>
          </a:ln>
          <a:effectLst>
            <a:outerShdw blurRad="254000" sx="102000" sy="102000" algn="ctr" rotWithShape="0">
              <a:prstClr val="black">
                <a:alpha val="20000"/>
              </a:prstClr>
            </a:outerShdw>
          </a:effectLst>
        </c:spPr>
      </c:pivotFmt>
      <c:pivotFmt>
        <c:idx val="1467"/>
        <c:spPr>
          <a:solidFill>
            <a:schemeClr val="accent6"/>
          </a:solidFill>
          <a:ln>
            <a:noFill/>
          </a:ln>
          <a:effectLst>
            <a:outerShdw blurRad="254000" sx="102000" sy="102000" algn="ctr" rotWithShape="0">
              <a:prstClr val="black">
                <a:alpha val="20000"/>
              </a:prstClr>
            </a:outerShdw>
          </a:effectLst>
        </c:spPr>
      </c:pivotFmt>
      <c:pivotFmt>
        <c:idx val="1468"/>
        <c:spPr>
          <a:solidFill>
            <a:schemeClr val="accent6"/>
          </a:solidFill>
          <a:ln>
            <a:noFill/>
          </a:ln>
          <a:effectLst>
            <a:outerShdw blurRad="254000" sx="102000" sy="102000" algn="ctr" rotWithShape="0">
              <a:prstClr val="black">
                <a:alpha val="20000"/>
              </a:prstClr>
            </a:outerShdw>
          </a:effectLst>
        </c:spPr>
      </c:pivotFmt>
      <c:pivotFmt>
        <c:idx val="1469"/>
        <c:spPr>
          <a:solidFill>
            <a:schemeClr val="accent6"/>
          </a:solidFill>
          <a:ln>
            <a:noFill/>
          </a:ln>
          <a:effectLst>
            <a:outerShdw blurRad="254000" sx="102000" sy="102000" algn="ctr" rotWithShape="0">
              <a:prstClr val="black">
                <a:alpha val="20000"/>
              </a:prstClr>
            </a:outerShdw>
          </a:effectLst>
        </c:spPr>
      </c:pivotFmt>
      <c:pivotFmt>
        <c:idx val="1470"/>
        <c:spPr>
          <a:solidFill>
            <a:schemeClr val="accent6"/>
          </a:solidFill>
          <a:ln>
            <a:noFill/>
          </a:ln>
          <a:effectLst>
            <a:outerShdw blurRad="254000" sx="102000" sy="102000" algn="ctr" rotWithShape="0">
              <a:prstClr val="black">
                <a:alpha val="20000"/>
              </a:prstClr>
            </a:outerShdw>
          </a:effectLst>
        </c:spPr>
      </c:pivotFmt>
      <c:pivotFmt>
        <c:idx val="1471"/>
        <c:spPr>
          <a:solidFill>
            <a:schemeClr val="accent6"/>
          </a:solidFill>
          <a:ln>
            <a:noFill/>
          </a:ln>
          <a:effectLst>
            <a:outerShdw blurRad="254000" sx="102000" sy="102000" algn="ctr" rotWithShape="0">
              <a:prstClr val="black">
                <a:alpha val="20000"/>
              </a:prstClr>
            </a:outerShdw>
          </a:effectLst>
        </c:spPr>
      </c:pivotFmt>
      <c:pivotFmt>
        <c:idx val="1472"/>
        <c:spPr>
          <a:solidFill>
            <a:schemeClr val="accent6"/>
          </a:solidFill>
          <a:ln>
            <a:noFill/>
          </a:ln>
          <a:effectLst>
            <a:outerShdw blurRad="254000" sx="102000" sy="102000" algn="ctr" rotWithShape="0">
              <a:prstClr val="black">
                <a:alpha val="20000"/>
              </a:prstClr>
            </a:outerShdw>
          </a:effectLst>
        </c:spPr>
      </c:pivotFmt>
      <c:pivotFmt>
        <c:idx val="1473"/>
        <c:spPr>
          <a:solidFill>
            <a:schemeClr val="accent6"/>
          </a:solidFill>
          <a:ln>
            <a:noFill/>
          </a:ln>
          <a:effectLst>
            <a:outerShdw blurRad="254000" sx="102000" sy="102000" algn="ctr" rotWithShape="0">
              <a:prstClr val="black">
                <a:alpha val="20000"/>
              </a:prstClr>
            </a:outerShdw>
          </a:effectLst>
        </c:spPr>
      </c:pivotFmt>
      <c:pivotFmt>
        <c:idx val="1474"/>
        <c:spPr>
          <a:solidFill>
            <a:schemeClr val="accent6"/>
          </a:solidFill>
          <a:ln>
            <a:noFill/>
          </a:ln>
          <a:effectLst>
            <a:outerShdw blurRad="254000" sx="102000" sy="102000" algn="ctr" rotWithShape="0">
              <a:prstClr val="black">
                <a:alpha val="20000"/>
              </a:prstClr>
            </a:outerShdw>
          </a:effectLst>
        </c:spPr>
      </c:pivotFmt>
      <c:pivotFmt>
        <c:idx val="1475"/>
        <c:spPr>
          <a:solidFill>
            <a:schemeClr val="accent6"/>
          </a:solidFill>
          <a:ln>
            <a:noFill/>
          </a:ln>
          <a:effectLst>
            <a:outerShdw blurRad="254000" sx="102000" sy="102000" algn="ctr" rotWithShape="0">
              <a:prstClr val="black">
                <a:alpha val="20000"/>
              </a:prstClr>
            </a:outerShdw>
          </a:effectLst>
        </c:spPr>
      </c:pivotFmt>
      <c:pivotFmt>
        <c:idx val="1476"/>
        <c:spPr>
          <a:solidFill>
            <a:schemeClr val="accent6"/>
          </a:solidFill>
          <a:ln>
            <a:noFill/>
          </a:ln>
          <a:effectLst>
            <a:outerShdw blurRad="254000" sx="102000" sy="102000" algn="ctr" rotWithShape="0">
              <a:prstClr val="black">
                <a:alpha val="20000"/>
              </a:prstClr>
            </a:outerShdw>
          </a:effectLst>
        </c:spPr>
      </c:pivotFmt>
      <c:pivotFmt>
        <c:idx val="1477"/>
        <c:spPr>
          <a:solidFill>
            <a:schemeClr val="accent6"/>
          </a:solidFill>
          <a:ln>
            <a:noFill/>
          </a:ln>
          <a:effectLst>
            <a:outerShdw blurRad="254000" sx="102000" sy="102000" algn="ctr" rotWithShape="0">
              <a:prstClr val="black">
                <a:alpha val="20000"/>
              </a:prstClr>
            </a:outerShdw>
          </a:effectLst>
        </c:spPr>
      </c:pivotFmt>
      <c:pivotFmt>
        <c:idx val="1478"/>
        <c:spPr>
          <a:solidFill>
            <a:schemeClr val="accent6"/>
          </a:solidFill>
          <a:ln>
            <a:noFill/>
          </a:ln>
          <a:effectLst>
            <a:outerShdw blurRad="254000" sx="102000" sy="102000" algn="ctr" rotWithShape="0">
              <a:prstClr val="black">
                <a:alpha val="20000"/>
              </a:prstClr>
            </a:outerShdw>
          </a:effectLst>
        </c:spPr>
      </c:pivotFmt>
      <c:pivotFmt>
        <c:idx val="1479"/>
        <c:spPr>
          <a:solidFill>
            <a:schemeClr val="accent6"/>
          </a:solidFill>
          <a:ln>
            <a:noFill/>
          </a:ln>
          <a:effectLst>
            <a:outerShdw blurRad="254000" sx="102000" sy="102000" algn="ctr" rotWithShape="0">
              <a:prstClr val="black">
                <a:alpha val="20000"/>
              </a:prstClr>
            </a:outerShdw>
          </a:effectLst>
        </c:spPr>
      </c:pivotFmt>
      <c:pivotFmt>
        <c:idx val="1480"/>
        <c:spPr>
          <a:solidFill>
            <a:schemeClr val="accent6"/>
          </a:solidFill>
          <a:ln>
            <a:noFill/>
          </a:ln>
          <a:effectLst>
            <a:outerShdw blurRad="254000" sx="102000" sy="102000" algn="ctr" rotWithShape="0">
              <a:prstClr val="black">
                <a:alpha val="20000"/>
              </a:prstClr>
            </a:outerShdw>
          </a:effectLst>
        </c:spPr>
      </c:pivotFmt>
      <c:pivotFmt>
        <c:idx val="1481"/>
        <c:spPr>
          <a:solidFill>
            <a:schemeClr val="accent6"/>
          </a:solidFill>
          <a:ln>
            <a:noFill/>
          </a:ln>
          <a:effectLst>
            <a:outerShdw blurRad="254000" sx="102000" sy="102000" algn="ctr" rotWithShape="0">
              <a:prstClr val="black">
                <a:alpha val="20000"/>
              </a:prstClr>
            </a:outerShdw>
          </a:effectLst>
        </c:spPr>
      </c:pivotFmt>
      <c:pivotFmt>
        <c:idx val="1482"/>
        <c:spPr>
          <a:solidFill>
            <a:schemeClr val="accent6"/>
          </a:solidFill>
          <a:ln>
            <a:noFill/>
          </a:ln>
          <a:effectLst>
            <a:outerShdw blurRad="254000" sx="102000" sy="102000" algn="ctr" rotWithShape="0">
              <a:prstClr val="black">
                <a:alpha val="20000"/>
              </a:prstClr>
            </a:outerShdw>
          </a:effectLst>
        </c:spPr>
      </c:pivotFmt>
      <c:pivotFmt>
        <c:idx val="1483"/>
        <c:spPr>
          <a:solidFill>
            <a:schemeClr val="accent6"/>
          </a:solidFill>
          <a:ln>
            <a:noFill/>
          </a:ln>
          <a:effectLst>
            <a:outerShdw blurRad="254000" sx="102000" sy="102000" algn="ctr" rotWithShape="0">
              <a:prstClr val="black">
                <a:alpha val="20000"/>
              </a:prstClr>
            </a:outerShdw>
          </a:effectLst>
        </c:spPr>
      </c:pivotFmt>
      <c:pivotFmt>
        <c:idx val="1484"/>
        <c:spPr>
          <a:solidFill>
            <a:schemeClr val="accent6"/>
          </a:solidFill>
          <a:ln>
            <a:noFill/>
          </a:ln>
          <a:effectLst>
            <a:outerShdw blurRad="254000" sx="102000" sy="102000" algn="ctr" rotWithShape="0">
              <a:prstClr val="black">
                <a:alpha val="20000"/>
              </a:prstClr>
            </a:outerShdw>
          </a:effectLst>
        </c:spPr>
      </c:pivotFmt>
      <c:pivotFmt>
        <c:idx val="1485"/>
        <c:spPr>
          <a:solidFill>
            <a:schemeClr val="accent6"/>
          </a:solidFill>
          <a:ln>
            <a:noFill/>
          </a:ln>
          <a:effectLst>
            <a:outerShdw blurRad="254000" sx="102000" sy="102000" algn="ctr" rotWithShape="0">
              <a:prstClr val="black">
                <a:alpha val="20000"/>
              </a:prstClr>
            </a:outerShdw>
          </a:effectLst>
        </c:spPr>
      </c:pivotFmt>
      <c:pivotFmt>
        <c:idx val="1486"/>
        <c:spPr>
          <a:solidFill>
            <a:schemeClr val="accent6"/>
          </a:solidFill>
          <a:ln>
            <a:noFill/>
          </a:ln>
          <a:effectLst>
            <a:outerShdw blurRad="254000" sx="102000" sy="102000" algn="ctr" rotWithShape="0">
              <a:prstClr val="black">
                <a:alpha val="20000"/>
              </a:prstClr>
            </a:outerShdw>
          </a:effectLst>
        </c:spPr>
      </c:pivotFmt>
      <c:pivotFmt>
        <c:idx val="1487"/>
        <c:spPr>
          <a:solidFill>
            <a:schemeClr val="accent6"/>
          </a:solidFill>
          <a:ln>
            <a:noFill/>
          </a:ln>
          <a:effectLst>
            <a:outerShdw blurRad="254000" sx="102000" sy="102000" algn="ctr" rotWithShape="0">
              <a:prstClr val="black">
                <a:alpha val="20000"/>
              </a:prstClr>
            </a:outerShdw>
          </a:effectLst>
        </c:spPr>
      </c:pivotFmt>
      <c:pivotFmt>
        <c:idx val="1488"/>
        <c:spPr>
          <a:solidFill>
            <a:schemeClr val="accent6"/>
          </a:solidFill>
          <a:ln>
            <a:noFill/>
          </a:ln>
          <a:effectLst>
            <a:outerShdw blurRad="254000" sx="102000" sy="102000" algn="ctr" rotWithShape="0">
              <a:prstClr val="black">
                <a:alpha val="20000"/>
              </a:prstClr>
            </a:outerShdw>
          </a:effectLst>
        </c:spPr>
      </c:pivotFmt>
      <c:pivotFmt>
        <c:idx val="1489"/>
        <c:spPr>
          <a:solidFill>
            <a:schemeClr val="accent6"/>
          </a:solidFill>
          <a:ln>
            <a:noFill/>
          </a:ln>
          <a:effectLst>
            <a:outerShdw blurRad="254000" sx="102000" sy="102000" algn="ctr" rotWithShape="0">
              <a:prstClr val="black">
                <a:alpha val="20000"/>
              </a:prstClr>
            </a:outerShdw>
          </a:effectLst>
        </c:spPr>
      </c:pivotFmt>
      <c:pivotFmt>
        <c:idx val="1490"/>
        <c:spPr>
          <a:solidFill>
            <a:schemeClr val="accent6"/>
          </a:solidFill>
          <a:ln>
            <a:noFill/>
          </a:ln>
          <a:effectLst>
            <a:outerShdw blurRad="254000" sx="102000" sy="102000" algn="ctr" rotWithShape="0">
              <a:prstClr val="black">
                <a:alpha val="20000"/>
              </a:prstClr>
            </a:outerShdw>
          </a:effectLst>
        </c:spPr>
      </c:pivotFmt>
      <c:pivotFmt>
        <c:idx val="1491"/>
        <c:spPr>
          <a:solidFill>
            <a:schemeClr val="accent6"/>
          </a:solidFill>
          <a:ln>
            <a:noFill/>
          </a:ln>
          <a:effectLst>
            <a:outerShdw blurRad="254000" sx="102000" sy="102000" algn="ctr" rotWithShape="0">
              <a:prstClr val="black">
                <a:alpha val="20000"/>
              </a:prstClr>
            </a:outerShdw>
          </a:effectLst>
        </c:spPr>
      </c:pivotFmt>
      <c:pivotFmt>
        <c:idx val="1492"/>
        <c:spPr>
          <a:solidFill>
            <a:schemeClr val="accent6"/>
          </a:solidFill>
          <a:ln>
            <a:noFill/>
          </a:ln>
          <a:effectLst>
            <a:outerShdw blurRad="254000" sx="102000" sy="102000" algn="ctr" rotWithShape="0">
              <a:prstClr val="black">
                <a:alpha val="20000"/>
              </a:prstClr>
            </a:outerShdw>
          </a:effectLst>
        </c:spPr>
      </c:pivotFmt>
      <c:pivotFmt>
        <c:idx val="1493"/>
        <c:spPr>
          <a:solidFill>
            <a:schemeClr val="accent6"/>
          </a:solidFill>
          <a:ln>
            <a:noFill/>
          </a:ln>
          <a:effectLst>
            <a:outerShdw blurRad="254000" sx="102000" sy="102000" algn="ctr" rotWithShape="0">
              <a:prstClr val="black">
                <a:alpha val="20000"/>
              </a:prstClr>
            </a:outerShdw>
          </a:effectLst>
        </c:spPr>
      </c:pivotFmt>
      <c:pivotFmt>
        <c:idx val="1494"/>
        <c:spPr>
          <a:solidFill>
            <a:schemeClr val="accent6"/>
          </a:solidFill>
          <a:ln>
            <a:noFill/>
          </a:ln>
          <a:effectLst>
            <a:outerShdw blurRad="254000" sx="102000" sy="102000" algn="ctr" rotWithShape="0">
              <a:prstClr val="black">
                <a:alpha val="20000"/>
              </a:prstClr>
            </a:outerShdw>
          </a:effectLst>
        </c:spPr>
      </c:pivotFmt>
      <c:pivotFmt>
        <c:idx val="1495"/>
        <c:spPr>
          <a:solidFill>
            <a:schemeClr val="accent6"/>
          </a:solidFill>
          <a:ln>
            <a:noFill/>
          </a:ln>
          <a:effectLst>
            <a:outerShdw blurRad="254000" sx="102000" sy="102000" algn="ctr" rotWithShape="0">
              <a:prstClr val="black">
                <a:alpha val="20000"/>
              </a:prstClr>
            </a:outerShdw>
          </a:effectLst>
        </c:spPr>
      </c:pivotFmt>
      <c:pivotFmt>
        <c:idx val="1496"/>
        <c:spPr>
          <a:solidFill>
            <a:schemeClr val="accent6"/>
          </a:solidFill>
          <a:ln>
            <a:noFill/>
          </a:ln>
          <a:effectLst>
            <a:outerShdw blurRad="254000" sx="102000" sy="102000" algn="ctr" rotWithShape="0">
              <a:prstClr val="black">
                <a:alpha val="20000"/>
              </a:prstClr>
            </a:outerShdw>
          </a:effectLst>
        </c:spPr>
      </c:pivotFmt>
      <c:pivotFmt>
        <c:idx val="1497"/>
        <c:spPr>
          <a:solidFill>
            <a:schemeClr val="accent6"/>
          </a:solidFill>
          <a:ln>
            <a:noFill/>
          </a:ln>
          <a:effectLst>
            <a:outerShdw blurRad="254000" sx="102000" sy="102000" algn="ctr" rotWithShape="0">
              <a:prstClr val="black">
                <a:alpha val="20000"/>
              </a:prstClr>
            </a:outerShdw>
          </a:effectLst>
        </c:spPr>
      </c:pivotFmt>
      <c:pivotFmt>
        <c:idx val="1498"/>
        <c:spPr>
          <a:solidFill>
            <a:schemeClr val="accent6"/>
          </a:solidFill>
          <a:ln>
            <a:noFill/>
          </a:ln>
          <a:effectLst>
            <a:outerShdw blurRad="254000" sx="102000" sy="102000" algn="ctr" rotWithShape="0">
              <a:prstClr val="black">
                <a:alpha val="20000"/>
              </a:prstClr>
            </a:outerShdw>
          </a:effectLst>
        </c:spPr>
      </c:pivotFmt>
      <c:pivotFmt>
        <c:idx val="1499"/>
        <c:spPr>
          <a:solidFill>
            <a:schemeClr val="accent6"/>
          </a:solidFill>
          <a:ln>
            <a:noFill/>
          </a:ln>
          <a:effectLst>
            <a:outerShdw blurRad="254000" sx="102000" sy="102000" algn="ctr" rotWithShape="0">
              <a:prstClr val="black">
                <a:alpha val="20000"/>
              </a:prstClr>
            </a:outerShdw>
          </a:effectLst>
        </c:spPr>
      </c:pivotFmt>
      <c:pivotFmt>
        <c:idx val="1500"/>
        <c:spPr>
          <a:solidFill>
            <a:schemeClr val="accent6"/>
          </a:solidFill>
          <a:ln>
            <a:noFill/>
          </a:ln>
          <a:effectLst>
            <a:outerShdw blurRad="254000" sx="102000" sy="102000" algn="ctr" rotWithShape="0">
              <a:prstClr val="black">
                <a:alpha val="20000"/>
              </a:prstClr>
            </a:outerShdw>
          </a:effectLst>
        </c:spPr>
      </c:pivotFmt>
      <c:pivotFmt>
        <c:idx val="1501"/>
        <c:spPr>
          <a:solidFill>
            <a:schemeClr val="accent6"/>
          </a:solidFill>
          <a:ln>
            <a:noFill/>
          </a:ln>
          <a:effectLst>
            <a:outerShdw blurRad="254000" sx="102000" sy="102000" algn="ctr" rotWithShape="0">
              <a:prstClr val="black">
                <a:alpha val="20000"/>
              </a:prstClr>
            </a:outerShdw>
          </a:effectLst>
        </c:spPr>
      </c:pivotFmt>
      <c:pivotFmt>
        <c:idx val="1502"/>
        <c:spPr>
          <a:solidFill>
            <a:schemeClr val="accent6"/>
          </a:solidFill>
          <a:ln>
            <a:noFill/>
          </a:ln>
          <a:effectLst>
            <a:outerShdw blurRad="254000" sx="102000" sy="102000" algn="ctr" rotWithShape="0">
              <a:prstClr val="black">
                <a:alpha val="20000"/>
              </a:prstClr>
            </a:outerShdw>
          </a:effectLst>
        </c:spPr>
      </c:pivotFmt>
      <c:pivotFmt>
        <c:idx val="1503"/>
        <c:spPr>
          <a:solidFill>
            <a:schemeClr val="accent6"/>
          </a:solidFill>
          <a:ln>
            <a:noFill/>
          </a:ln>
          <a:effectLst>
            <a:outerShdw blurRad="254000" sx="102000" sy="102000" algn="ctr" rotWithShape="0">
              <a:prstClr val="black">
                <a:alpha val="20000"/>
              </a:prstClr>
            </a:outerShdw>
          </a:effectLst>
        </c:spPr>
      </c:pivotFmt>
      <c:pivotFmt>
        <c:idx val="1504"/>
        <c:spPr>
          <a:solidFill>
            <a:schemeClr val="accent6"/>
          </a:solidFill>
          <a:ln>
            <a:noFill/>
          </a:ln>
          <a:effectLst>
            <a:outerShdw blurRad="254000" sx="102000" sy="102000" algn="ctr" rotWithShape="0">
              <a:prstClr val="black">
                <a:alpha val="20000"/>
              </a:prstClr>
            </a:outerShdw>
          </a:effectLst>
        </c:spPr>
      </c:pivotFmt>
      <c:pivotFmt>
        <c:idx val="1505"/>
        <c:spPr>
          <a:solidFill>
            <a:schemeClr val="accent6"/>
          </a:solidFill>
          <a:ln>
            <a:noFill/>
          </a:ln>
          <a:effectLst>
            <a:outerShdw blurRad="254000" sx="102000" sy="102000" algn="ctr" rotWithShape="0">
              <a:prstClr val="black">
                <a:alpha val="20000"/>
              </a:prstClr>
            </a:outerShdw>
          </a:effectLst>
        </c:spPr>
      </c:pivotFmt>
      <c:pivotFmt>
        <c:idx val="1506"/>
        <c:spPr>
          <a:solidFill>
            <a:schemeClr val="accent6"/>
          </a:solidFill>
          <a:ln>
            <a:noFill/>
          </a:ln>
          <a:effectLst>
            <a:outerShdw blurRad="254000" sx="102000" sy="102000" algn="ctr" rotWithShape="0">
              <a:prstClr val="black">
                <a:alpha val="20000"/>
              </a:prstClr>
            </a:outerShdw>
          </a:effectLst>
        </c:spPr>
      </c:pivotFmt>
      <c:pivotFmt>
        <c:idx val="1507"/>
        <c:spPr>
          <a:solidFill>
            <a:schemeClr val="accent6"/>
          </a:solidFill>
          <a:ln>
            <a:noFill/>
          </a:ln>
          <a:effectLst>
            <a:outerShdw blurRad="254000" sx="102000" sy="102000" algn="ctr" rotWithShape="0">
              <a:prstClr val="black">
                <a:alpha val="20000"/>
              </a:prstClr>
            </a:outerShdw>
          </a:effectLst>
        </c:spPr>
      </c:pivotFmt>
      <c:pivotFmt>
        <c:idx val="1508"/>
        <c:spPr>
          <a:solidFill>
            <a:schemeClr val="accent6"/>
          </a:solidFill>
          <a:ln>
            <a:noFill/>
          </a:ln>
          <a:effectLst>
            <a:outerShdw blurRad="254000" sx="102000" sy="102000" algn="ctr" rotWithShape="0">
              <a:prstClr val="black">
                <a:alpha val="20000"/>
              </a:prstClr>
            </a:outerShdw>
          </a:effectLst>
        </c:spPr>
      </c:pivotFmt>
      <c:pivotFmt>
        <c:idx val="1509"/>
        <c:spPr>
          <a:solidFill>
            <a:schemeClr val="accent6"/>
          </a:solidFill>
          <a:ln>
            <a:noFill/>
          </a:ln>
          <a:effectLst>
            <a:outerShdw blurRad="254000" sx="102000" sy="102000" algn="ctr" rotWithShape="0">
              <a:prstClr val="black">
                <a:alpha val="20000"/>
              </a:prstClr>
            </a:outerShdw>
          </a:effectLst>
        </c:spPr>
      </c:pivotFmt>
      <c:pivotFmt>
        <c:idx val="1510"/>
        <c:spPr>
          <a:solidFill>
            <a:schemeClr val="accent6"/>
          </a:solidFill>
          <a:ln>
            <a:noFill/>
          </a:ln>
          <a:effectLst>
            <a:outerShdw blurRad="254000" sx="102000" sy="102000" algn="ctr" rotWithShape="0">
              <a:prstClr val="black">
                <a:alpha val="20000"/>
              </a:prstClr>
            </a:outerShdw>
          </a:effectLst>
        </c:spPr>
      </c:pivotFmt>
      <c:pivotFmt>
        <c:idx val="1511"/>
        <c:spPr>
          <a:solidFill>
            <a:schemeClr val="accent6"/>
          </a:solidFill>
          <a:ln>
            <a:noFill/>
          </a:ln>
          <a:effectLst>
            <a:outerShdw blurRad="254000" sx="102000" sy="102000" algn="ctr" rotWithShape="0">
              <a:prstClr val="black">
                <a:alpha val="20000"/>
              </a:prstClr>
            </a:outerShdw>
          </a:effectLst>
        </c:spPr>
      </c:pivotFmt>
      <c:pivotFmt>
        <c:idx val="1512"/>
        <c:spPr>
          <a:solidFill>
            <a:schemeClr val="accent6"/>
          </a:solidFill>
          <a:ln>
            <a:noFill/>
          </a:ln>
          <a:effectLst>
            <a:outerShdw blurRad="254000" sx="102000" sy="102000" algn="ctr" rotWithShape="0">
              <a:prstClr val="black">
                <a:alpha val="20000"/>
              </a:prstClr>
            </a:outerShdw>
          </a:effectLst>
        </c:spPr>
      </c:pivotFmt>
      <c:pivotFmt>
        <c:idx val="1513"/>
        <c:spPr>
          <a:solidFill>
            <a:schemeClr val="accent6"/>
          </a:solidFill>
          <a:ln>
            <a:noFill/>
          </a:ln>
          <a:effectLst>
            <a:outerShdw blurRad="254000" sx="102000" sy="102000" algn="ctr" rotWithShape="0">
              <a:prstClr val="black">
                <a:alpha val="20000"/>
              </a:prstClr>
            </a:outerShdw>
          </a:effectLst>
        </c:spPr>
      </c:pivotFmt>
      <c:pivotFmt>
        <c:idx val="1514"/>
        <c:spPr>
          <a:solidFill>
            <a:schemeClr val="accent6"/>
          </a:solidFill>
          <a:ln>
            <a:noFill/>
          </a:ln>
          <a:effectLst>
            <a:outerShdw blurRad="254000" sx="102000" sy="102000" algn="ctr" rotWithShape="0">
              <a:prstClr val="black">
                <a:alpha val="20000"/>
              </a:prstClr>
            </a:outerShdw>
          </a:effectLst>
        </c:spPr>
      </c:pivotFmt>
      <c:pivotFmt>
        <c:idx val="1515"/>
        <c:spPr>
          <a:solidFill>
            <a:schemeClr val="accent6"/>
          </a:solidFill>
          <a:ln>
            <a:noFill/>
          </a:ln>
          <a:effectLst>
            <a:outerShdw blurRad="254000" sx="102000" sy="102000" algn="ctr" rotWithShape="0">
              <a:prstClr val="black">
                <a:alpha val="20000"/>
              </a:prstClr>
            </a:outerShdw>
          </a:effectLst>
        </c:spPr>
      </c:pivotFmt>
      <c:pivotFmt>
        <c:idx val="1516"/>
        <c:spPr>
          <a:solidFill>
            <a:schemeClr val="accent6"/>
          </a:solidFill>
          <a:ln>
            <a:noFill/>
          </a:ln>
          <a:effectLst>
            <a:outerShdw blurRad="254000" sx="102000" sy="102000" algn="ctr" rotWithShape="0">
              <a:prstClr val="black">
                <a:alpha val="20000"/>
              </a:prstClr>
            </a:outerShdw>
          </a:effectLst>
        </c:spPr>
      </c:pivotFmt>
      <c:pivotFmt>
        <c:idx val="1517"/>
        <c:spPr>
          <a:solidFill>
            <a:schemeClr val="accent6"/>
          </a:solidFill>
          <a:ln>
            <a:noFill/>
          </a:ln>
          <a:effectLst>
            <a:outerShdw blurRad="254000" sx="102000" sy="102000" algn="ctr" rotWithShape="0">
              <a:prstClr val="black">
                <a:alpha val="20000"/>
              </a:prstClr>
            </a:outerShdw>
          </a:effectLst>
        </c:spPr>
      </c:pivotFmt>
      <c:pivotFmt>
        <c:idx val="1518"/>
        <c:spPr>
          <a:solidFill>
            <a:schemeClr val="accent6"/>
          </a:solidFill>
          <a:ln>
            <a:noFill/>
          </a:ln>
          <a:effectLst>
            <a:outerShdw blurRad="254000" sx="102000" sy="102000" algn="ctr" rotWithShape="0">
              <a:prstClr val="black">
                <a:alpha val="20000"/>
              </a:prstClr>
            </a:outerShdw>
          </a:effectLst>
        </c:spPr>
      </c:pivotFmt>
      <c:pivotFmt>
        <c:idx val="1519"/>
        <c:spPr>
          <a:solidFill>
            <a:schemeClr val="accent6"/>
          </a:solidFill>
          <a:ln>
            <a:noFill/>
          </a:ln>
          <a:effectLst>
            <a:outerShdw blurRad="254000" sx="102000" sy="102000" algn="ctr" rotWithShape="0">
              <a:prstClr val="black">
                <a:alpha val="20000"/>
              </a:prstClr>
            </a:outerShdw>
          </a:effectLst>
        </c:spPr>
      </c:pivotFmt>
      <c:pivotFmt>
        <c:idx val="1520"/>
        <c:spPr>
          <a:solidFill>
            <a:schemeClr val="accent6"/>
          </a:solidFill>
          <a:ln>
            <a:noFill/>
          </a:ln>
          <a:effectLst>
            <a:outerShdw blurRad="254000" sx="102000" sy="102000" algn="ctr" rotWithShape="0">
              <a:prstClr val="black">
                <a:alpha val="20000"/>
              </a:prstClr>
            </a:outerShdw>
          </a:effectLst>
        </c:spPr>
      </c:pivotFmt>
      <c:pivotFmt>
        <c:idx val="1521"/>
        <c:spPr>
          <a:solidFill>
            <a:schemeClr val="accent6"/>
          </a:solidFill>
          <a:ln>
            <a:noFill/>
          </a:ln>
          <a:effectLst>
            <a:outerShdw blurRad="254000" sx="102000" sy="102000" algn="ctr" rotWithShape="0">
              <a:prstClr val="black">
                <a:alpha val="20000"/>
              </a:prstClr>
            </a:outerShdw>
          </a:effectLst>
        </c:spPr>
      </c:pivotFmt>
      <c:pivotFmt>
        <c:idx val="1522"/>
        <c:spPr>
          <a:solidFill>
            <a:schemeClr val="accent6"/>
          </a:solidFill>
          <a:ln>
            <a:noFill/>
          </a:ln>
          <a:effectLst>
            <a:outerShdw blurRad="254000" sx="102000" sy="102000" algn="ctr" rotWithShape="0">
              <a:prstClr val="black">
                <a:alpha val="20000"/>
              </a:prstClr>
            </a:outerShdw>
          </a:effectLst>
        </c:spPr>
      </c:pivotFmt>
      <c:pivotFmt>
        <c:idx val="1523"/>
        <c:spPr>
          <a:solidFill>
            <a:schemeClr val="accent6"/>
          </a:solidFill>
          <a:ln>
            <a:noFill/>
          </a:ln>
          <a:effectLst>
            <a:outerShdw blurRad="254000" sx="102000" sy="102000" algn="ctr" rotWithShape="0">
              <a:prstClr val="black">
                <a:alpha val="20000"/>
              </a:prstClr>
            </a:outerShdw>
          </a:effectLst>
        </c:spPr>
      </c:pivotFmt>
      <c:pivotFmt>
        <c:idx val="1524"/>
        <c:spPr>
          <a:solidFill>
            <a:schemeClr val="accent6"/>
          </a:solidFill>
          <a:ln>
            <a:noFill/>
          </a:ln>
          <a:effectLst>
            <a:outerShdw blurRad="254000" sx="102000" sy="102000" algn="ctr" rotWithShape="0">
              <a:prstClr val="black">
                <a:alpha val="20000"/>
              </a:prstClr>
            </a:outerShdw>
          </a:effectLst>
        </c:spPr>
      </c:pivotFmt>
      <c:pivotFmt>
        <c:idx val="152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26"/>
        <c:spPr>
          <a:solidFill>
            <a:schemeClr val="accent6"/>
          </a:solidFill>
          <a:ln>
            <a:noFill/>
          </a:ln>
          <a:effectLst>
            <a:outerShdw blurRad="254000" sx="102000" sy="102000" algn="ctr" rotWithShape="0">
              <a:prstClr val="black">
                <a:alpha val="20000"/>
              </a:prstClr>
            </a:outerShdw>
          </a:effectLst>
        </c:spPr>
      </c:pivotFmt>
      <c:pivotFmt>
        <c:idx val="1527"/>
        <c:spPr>
          <a:solidFill>
            <a:schemeClr val="accent6"/>
          </a:solidFill>
          <a:ln>
            <a:noFill/>
          </a:ln>
          <a:effectLst>
            <a:outerShdw blurRad="254000" sx="102000" sy="102000" algn="ctr" rotWithShape="0">
              <a:prstClr val="black">
                <a:alpha val="20000"/>
              </a:prstClr>
            </a:outerShdw>
          </a:effectLst>
        </c:spPr>
      </c:pivotFmt>
      <c:pivotFmt>
        <c:idx val="1528"/>
        <c:spPr>
          <a:solidFill>
            <a:schemeClr val="accent6"/>
          </a:solidFill>
          <a:ln>
            <a:noFill/>
          </a:ln>
          <a:effectLst>
            <a:outerShdw blurRad="254000" sx="102000" sy="102000" algn="ctr" rotWithShape="0">
              <a:prstClr val="black">
                <a:alpha val="20000"/>
              </a:prstClr>
            </a:outerShdw>
          </a:effectLst>
        </c:spPr>
      </c:pivotFmt>
      <c:pivotFmt>
        <c:idx val="1529"/>
        <c:spPr>
          <a:solidFill>
            <a:schemeClr val="accent6"/>
          </a:solidFill>
          <a:ln>
            <a:noFill/>
          </a:ln>
          <a:effectLst>
            <a:outerShdw blurRad="254000" sx="102000" sy="102000" algn="ctr" rotWithShape="0">
              <a:prstClr val="black">
                <a:alpha val="20000"/>
              </a:prstClr>
            </a:outerShdw>
          </a:effectLst>
        </c:spPr>
      </c:pivotFmt>
      <c:pivotFmt>
        <c:idx val="1530"/>
        <c:spPr>
          <a:solidFill>
            <a:schemeClr val="accent6"/>
          </a:solidFill>
          <a:ln>
            <a:noFill/>
          </a:ln>
          <a:effectLst>
            <a:outerShdw blurRad="254000" sx="102000" sy="102000" algn="ctr" rotWithShape="0">
              <a:prstClr val="black">
                <a:alpha val="20000"/>
              </a:prstClr>
            </a:outerShdw>
          </a:effectLst>
        </c:spPr>
      </c:pivotFmt>
      <c:pivotFmt>
        <c:idx val="1531"/>
        <c:spPr>
          <a:solidFill>
            <a:schemeClr val="accent6"/>
          </a:solidFill>
          <a:ln>
            <a:noFill/>
          </a:ln>
          <a:effectLst>
            <a:outerShdw blurRad="254000" sx="102000" sy="102000" algn="ctr" rotWithShape="0">
              <a:prstClr val="black">
                <a:alpha val="20000"/>
              </a:prstClr>
            </a:outerShdw>
          </a:effectLst>
        </c:spPr>
      </c:pivotFmt>
      <c:pivotFmt>
        <c:idx val="1532"/>
        <c:spPr>
          <a:solidFill>
            <a:schemeClr val="accent6"/>
          </a:solidFill>
          <a:ln>
            <a:noFill/>
          </a:ln>
          <a:effectLst>
            <a:outerShdw blurRad="254000" sx="102000" sy="102000" algn="ctr" rotWithShape="0">
              <a:prstClr val="black">
                <a:alpha val="20000"/>
              </a:prstClr>
            </a:outerShdw>
          </a:effectLst>
        </c:spPr>
      </c:pivotFmt>
      <c:pivotFmt>
        <c:idx val="1533"/>
        <c:spPr>
          <a:solidFill>
            <a:schemeClr val="accent6"/>
          </a:solidFill>
          <a:ln>
            <a:noFill/>
          </a:ln>
          <a:effectLst>
            <a:outerShdw blurRad="254000" sx="102000" sy="102000" algn="ctr" rotWithShape="0">
              <a:prstClr val="black">
                <a:alpha val="20000"/>
              </a:prstClr>
            </a:outerShdw>
          </a:effectLst>
        </c:spPr>
      </c:pivotFmt>
      <c:pivotFmt>
        <c:idx val="1534"/>
        <c:spPr>
          <a:solidFill>
            <a:schemeClr val="accent6"/>
          </a:solidFill>
          <a:ln>
            <a:noFill/>
          </a:ln>
          <a:effectLst>
            <a:outerShdw blurRad="254000" sx="102000" sy="102000" algn="ctr" rotWithShape="0">
              <a:prstClr val="black">
                <a:alpha val="20000"/>
              </a:prstClr>
            </a:outerShdw>
          </a:effectLst>
        </c:spPr>
      </c:pivotFmt>
      <c:pivotFmt>
        <c:idx val="1535"/>
        <c:spPr>
          <a:solidFill>
            <a:schemeClr val="accent6"/>
          </a:solidFill>
          <a:ln>
            <a:noFill/>
          </a:ln>
          <a:effectLst>
            <a:outerShdw blurRad="254000" sx="102000" sy="102000" algn="ctr" rotWithShape="0">
              <a:prstClr val="black">
                <a:alpha val="20000"/>
              </a:prstClr>
            </a:outerShdw>
          </a:effectLst>
        </c:spPr>
      </c:pivotFmt>
      <c:pivotFmt>
        <c:idx val="1536"/>
        <c:spPr>
          <a:solidFill>
            <a:schemeClr val="accent6"/>
          </a:solidFill>
          <a:ln>
            <a:noFill/>
          </a:ln>
          <a:effectLst>
            <a:outerShdw blurRad="254000" sx="102000" sy="102000" algn="ctr" rotWithShape="0">
              <a:prstClr val="black">
                <a:alpha val="20000"/>
              </a:prstClr>
            </a:outerShdw>
          </a:effectLst>
        </c:spPr>
      </c:pivotFmt>
      <c:pivotFmt>
        <c:idx val="1537"/>
        <c:spPr>
          <a:solidFill>
            <a:schemeClr val="accent6"/>
          </a:solidFill>
          <a:ln>
            <a:noFill/>
          </a:ln>
          <a:effectLst>
            <a:outerShdw blurRad="254000" sx="102000" sy="102000" algn="ctr" rotWithShape="0">
              <a:prstClr val="black">
                <a:alpha val="20000"/>
              </a:prstClr>
            </a:outerShdw>
          </a:effectLst>
        </c:spPr>
      </c:pivotFmt>
      <c:pivotFmt>
        <c:idx val="1538"/>
        <c:spPr>
          <a:solidFill>
            <a:schemeClr val="accent6"/>
          </a:solidFill>
          <a:ln>
            <a:noFill/>
          </a:ln>
          <a:effectLst>
            <a:outerShdw blurRad="254000" sx="102000" sy="102000" algn="ctr" rotWithShape="0">
              <a:prstClr val="black">
                <a:alpha val="20000"/>
              </a:prstClr>
            </a:outerShdw>
          </a:effectLst>
        </c:spPr>
      </c:pivotFmt>
      <c:pivotFmt>
        <c:idx val="1539"/>
        <c:spPr>
          <a:solidFill>
            <a:schemeClr val="accent6"/>
          </a:solidFill>
          <a:ln>
            <a:noFill/>
          </a:ln>
          <a:effectLst>
            <a:outerShdw blurRad="254000" sx="102000" sy="102000" algn="ctr" rotWithShape="0">
              <a:prstClr val="black">
                <a:alpha val="20000"/>
              </a:prstClr>
            </a:outerShdw>
          </a:effectLst>
        </c:spPr>
      </c:pivotFmt>
      <c:pivotFmt>
        <c:idx val="1540"/>
        <c:spPr>
          <a:solidFill>
            <a:schemeClr val="accent6"/>
          </a:solidFill>
          <a:ln>
            <a:noFill/>
          </a:ln>
          <a:effectLst>
            <a:outerShdw blurRad="254000" sx="102000" sy="102000" algn="ctr" rotWithShape="0">
              <a:prstClr val="black">
                <a:alpha val="20000"/>
              </a:prstClr>
            </a:outerShdw>
          </a:effectLst>
        </c:spPr>
      </c:pivotFmt>
      <c:pivotFmt>
        <c:idx val="1541"/>
        <c:spPr>
          <a:solidFill>
            <a:schemeClr val="accent6"/>
          </a:solidFill>
          <a:ln>
            <a:noFill/>
          </a:ln>
          <a:effectLst>
            <a:outerShdw blurRad="254000" sx="102000" sy="102000" algn="ctr" rotWithShape="0">
              <a:prstClr val="black">
                <a:alpha val="20000"/>
              </a:prstClr>
            </a:outerShdw>
          </a:effectLst>
        </c:spPr>
      </c:pivotFmt>
      <c:pivotFmt>
        <c:idx val="1542"/>
        <c:spPr>
          <a:solidFill>
            <a:schemeClr val="accent6"/>
          </a:solidFill>
          <a:ln>
            <a:noFill/>
          </a:ln>
          <a:effectLst>
            <a:outerShdw blurRad="254000" sx="102000" sy="102000" algn="ctr" rotWithShape="0">
              <a:prstClr val="black">
                <a:alpha val="20000"/>
              </a:prstClr>
            </a:outerShdw>
          </a:effectLst>
        </c:spPr>
      </c:pivotFmt>
      <c:pivotFmt>
        <c:idx val="1543"/>
        <c:spPr>
          <a:solidFill>
            <a:schemeClr val="accent6"/>
          </a:solidFill>
          <a:ln>
            <a:noFill/>
          </a:ln>
          <a:effectLst>
            <a:outerShdw blurRad="254000" sx="102000" sy="102000" algn="ctr" rotWithShape="0">
              <a:prstClr val="black">
                <a:alpha val="20000"/>
              </a:prstClr>
            </a:outerShdw>
          </a:effectLst>
        </c:spPr>
      </c:pivotFmt>
      <c:pivotFmt>
        <c:idx val="1544"/>
        <c:spPr>
          <a:solidFill>
            <a:schemeClr val="accent6"/>
          </a:solidFill>
          <a:ln>
            <a:noFill/>
          </a:ln>
          <a:effectLst>
            <a:outerShdw blurRad="254000" sx="102000" sy="102000" algn="ctr" rotWithShape="0">
              <a:prstClr val="black">
                <a:alpha val="20000"/>
              </a:prstClr>
            </a:outerShdw>
          </a:effectLst>
        </c:spPr>
      </c:pivotFmt>
      <c:pivotFmt>
        <c:idx val="1545"/>
        <c:spPr>
          <a:solidFill>
            <a:schemeClr val="accent6"/>
          </a:solidFill>
          <a:ln>
            <a:noFill/>
          </a:ln>
          <a:effectLst>
            <a:outerShdw blurRad="254000" sx="102000" sy="102000" algn="ctr" rotWithShape="0">
              <a:prstClr val="black">
                <a:alpha val="20000"/>
              </a:prstClr>
            </a:outerShdw>
          </a:effectLst>
        </c:spPr>
      </c:pivotFmt>
      <c:pivotFmt>
        <c:idx val="1546"/>
        <c:spPr>
          <a:solidFill>
            <a:schemeClr val="accent6"/>
          </a:solidFill>
          <a:ln>
            <a:noFill/>
          </a:ln>
          <a:effectLst>
            <a:outerShdw blurRad="254000" sx="102000" sy="102000" algn="ctr" rotWithShape="0">
              <a:prstClr val="black">
                <a:alpha val="20000"/>
              </a:prstClr>
            </a:outerShdw>
          </a:effectLst>
        </c:spPr>
      </c:pivotFmt>
      <c:pivotFmt>
        <c:idx val="1547"/>
        <c:spPr>
          <a:solidFill>
            <a:schemeClr val="accent6"/>
          </a:solidFill>
          <a:ln>
            <a:noFill/>
          </a:ln>
          <a:effectLst>
            <a:outerShdw blurRad="254000" sx="102000" sy="102000" algn="ctr" rotWithShape="0">
              <a:prstClr val="black">
                <a:alpha val="20000"/>
              </a:prstClr>
            </a:outerShdw>
          </a:effectLst>
        </c:spPr>
      </c:pivotFmt>
      <c:pivotFmt>
        <c:idx val="1548"/>
        <c:spPr>
          <a:solidFill>
            <a:schemeClr val="accent6"/>
          </a:solidFill>
          <a:ln>
            <a:noFill/>
          </a:ln>
          <a:effectLst>
            <a:outerShdw blurRad="254000" sx="102000" sy="102000" algn="ctr" rotWithShape="0">
              <a:prstClr val="black">
                <a:alpha val="20000"/>
              </a:prstClr>
            </a:outerShdw>
          </a:effectLst>
        </c:spPr>
      </c:pivotFmt>
      <c:pivotFmt>
        <c:idx val="1549"/>
        <c:spPr>
          <a:solidFill>
            <a:schemeClr val="accent6"/>
          </a:solidFill>
          <a:ln>
            <a:noFill/>
          </a:ln>
          <a:effectLst>
            <a:outerShdw blurRad="254000" sx="102000" sy="102000" algn="ctr" rotWithShape="0">
              <a:prstClr val="black">
                <a:alpha val="20000"/>
              </a:prstClr>
            </a:outerShdw>
          </a:effectLst>
        </c:spPr>
      </c:pivotFmt>
      <c:pivotFmt>
        <c:idx val="1550"/>
        <c:spPr>
          <a:solidFill>
            <a:schemeClr val="accent6"/>
          </a:solidFill>
          <a:ln>
            <a:noFill/>
          </a:ln>
          <a:effectLst>
            <a:outerShdw blurRad="254000" sx="102000" sy="102000" algn="ctr" rotWithShape="0">
              <a:prstClr val="black">
                <a:alpha val="20000"/>
              </a:prstClr>
            </a:outerShdw>
          </a:effectLst>
        </c:spPr>
      </c:pivotFmt>
      <c:pivotFmt>
        <c:idx val="1551"/>
        <c:spPr>
          <a:solidFill>
            <a:schemeClr val="accent6"/>
          </a:solidFill>
          <a:ln>
            <a:noFill/>
          </a:ln>
          <a:effectLst>
            <a:outerShdw blurRad="254000" sx="102000" sy="102000" algn="ctr" rotWithShape="0">
              <a:prstClr val="black">
                <a:alpha val="20000"/>
              </a:prstClr>
            </a:outerShdw>
          </a:effectLst>
        </c:spPr>
      </c:pivotFmt>
      <c:pivotFmt>
        <c:idx val="1552"/>
        <c:spPr>
          <a:solidFill>
            <a:schemeClr val="accent6"/>
          </a:solidFill>
          <a:ln>
            <a:noFill/>
          </a:ln>
          <a:effectLst>
            <a:outerShdw blurRad="254000" sx="102000" sy="102000" algn="ctr" rotWithShape="0">
              <a:prstClr val="black">
                <a:alpha val="20000"/>
              </a:prstClr>
            </a:outerShdw>
          </a:effectLst>
        </c:spPr>
      </c:pivotFmt>
      <c:pivotFmt>
        <c:idx val="1553"/>
        <c:spPr>
          <a:solidFill>
            <a:schemeClr val="accent6"/>
          </a:solidFill>
          <a:ln>
            <a:noFill/>
          </a:ln>
          <a:effectLst>
            <a:outerShdw blurRad="254000" sx="102000" sy="102000" algn="ctr" rotWithShape="0">
              <a:prstClr val="black">
                <a:alpha val="20000"/>
              </a:prstClr>
            </a:outerShdw>
          </a:effectLst>
        </c:spPr>
      </c:pivotFmt>
      <c:pivotFmt>
        <c:idx val="1554"/>
        <c:spPr>
          <a:solidFill>
            <a:schemeClr val="accent6"/>
          </a:solidFill>
          <a:ln>
            <a:noFill/>
          </a:ln>
          <a:effectLst>
            <a:outerShdw blurRad="254000" sx="102000" sy="102000" algn="ctr" rotWithShape="0">
              <a:prstClr val="black">
                <a:alpha val="20000"/>
              </a:prstClr>
            </a:outerShdw>
          </a:effectLst>
        </c:spPr>
      </c:pivotFmt>
      <c:pivotFmt>
        <c:idx val="1555"/>
        <c:spPr>
          <a:solidFill>
            <a:schemeClr val="accent6"/>
          </a:solidFill>
          <a:ln>
            <a:noFill/>
          </a:ln>
          <a:effectLst>
            <a:outerShdw blurRad="254000" sx="102000" sy="102000" algn="ctr" rotWithShape="0">
              <a:prstClr val="black">
                <a:alpha val="20000"/>
              </a:prstClr>
            </a:outerShdw>
          </a:effectLst>
        </c:spPr>
      </c:pivotFmt>
      <c:pivotFmt>
        <c:idx val="1556"/>
        <c:spPr>
          <a:solidFill>
            <a:schemeClr val="accent6"/>
          </a:solidFill>
          <a:ln>
            <a:noFill/>
          </a:ln>
          <a:effectLst>
            <a:outerShdw blurRad="254000" sx="102000" sy="102000" algn="ctr" rotWithShape="0">
              <a:prstClr val="black">
                <a:alpha val="20000"/>
              </a:prstClr>
            </a:outerShdw>
          </a:effectLst>
        </c:spPr>
      </c:pivotFmt>
      <c:pivotFmt>
        <c:idx val="1557"/>
        <c:spPr>
          <a:solidFill>
            <a:schemeClr val="accent6"/>
          </a:solidFill>
          <a:ln>
            <a:noFill/>
          </a:ln>
          <a:effectLst>
            <a:outerShdw blurRad="254000" sx="102000" sy="102000" algn="ctr" rotWithShape="0">
              <a:prstClr val="black">
                <a:alpha val="20000"/>
              </a:prstClr>
            </a:outerShdw>
          </a:effectLst>
        </c:spPr>
      </c:pivotFmt>
      <c:pivotFmt>
        <c:idx val="1558"/>
        <c:spPr>
          <a:solidFill>
            <a:schemeClr val="accent6"/>
          </a:solidFill>
          <a:ln>
            <a:noFill/>
          </a:ln>
          <a:effectLst>
            <a:outerShdw blurRad="254000" sx="102000" sy="102000" algn="ctr" rotWithShape="0">
              <a:prstClr val="black">
                <a:alpha val="20000"/>
              </a:prstClr>
            </a:outerShdw>
          </a:effectLst>
        </c:spPr>
      </c:pivotFmt>
      <c:pivotFmt>
        <c:idx val="1559"/>
        <c:spPr>
          <a:solidFill>
            <a:schemeClr val="accent6"/>
          </a:solidFill>
          <a:ln>
            <a:noFill/>
          </a:ln>
          <a:effectLst>
            <a:outerShdw blurRad="254000" sx="102000" sy="102000" algn="ctr" rotWithShape="0">
              <a:prstClr val="black">
                <a:alpha val="20000"/>
              </a:prstClr>
            </a:outerShdw>
          </a:effectLst>
        </c:spPr>
      </c:pivotFmt>
      <c:pivotFmt>
        <c:idx val="1560"/>
        <c:spPr>
          <a:solidFill>
            <a:schemeClr val="accent6"/>
          </a:solidFill>
          <a:ln>
            <a:noFill/>
          </a:ln>
          <a:effectLst>
            <a:outerShdw blurRad="254000" sx="102000" sy="102000" algn="ctr" rotWithShape="0">
              <a:prstClr val="black">
                <a:alpha val="20000"/>
              </a:prstClr>
            </a:outerShdw>
          </a:effectLst>
        </c:spPr>
      </c:pivotFmt>
      <c:pivotFmt>
        <c:idx val="1561"/>
        <c:spPr>
          <a:solidFill>
            <a:schemeClr val="accent6"/>
          </a:solidFill>
          <a:ln>
            <a:noFill/>
          </a:ln>
          <a:effectLst>
            <a:outerShdw blurRad="254000" sx="102000" sy="102000" algn="ctr" rotWithShape="0">
              <a:prstClr val="black">
                <a:alpha val="20000"/>
              </a:prstClr>
            </a:outerShdw>
          </a:effectLst>
        </c:spPr>
      </c:pivotFmt>
      <c:pivotFmt>
        <c:idx val="1562"/>
        <c:spPr>
          <a:solidFill>
            <a:schemeClr val="accent6"/>
          </a:solidFill>
          <a:ln>
            <a:noFill/>
          </a:ln>
          <a:effectLst>
            <a:outerShdw blurRad="254000" sx="102000" sy="102000" algn="ctr" rotWithShape="0">
              <a:prstClr val="black">
                <a:alpha val="20000"/>
              </a:prstClr>
            </a:outerShdw>
          </a:effectLst>
        </c:spPr>
      </c:pivotFmt>
      <c:pivotFmt>
        <c:idx val="1563"/>
        <c:spPr>
          <a:solidFill>
            <a:schemeClr val="accent6"/>
          </a:solidFill>
          <a:ln>
            <a:noFill/>
          </a:ln>
          <a:effectLst>
            <a:outerShdw blurRad="254000" sx="102000" sy="102000" algn="ctr" rotWithShape="0">
              <a:prstClr val="black">
                <a:alpha val="20000"/>
              </a:prstClr>
            </a:outerShdw>
          </a:effectLst>
        </c:spPr>
      </c:pivotFmt>
      <c:pivotFmt>
        <c:idx val="1564"/>
        <c:spPr>
          <a:solidFill>
            <a:schemeClr val="accent6"/>
          </a:solidFill>
          <a:ln>
            <a:noFill/>
          </a:ln>
          <a:effectLst>
            <a:outerShdw blurRad="254000" sx="102000" sy="102000" algn="ctr" rotWithShape="0">
              <a:prstClr val="black">
                <a:alpha val="20000"/>
              </a:prstClr>
            </a:outerShdw>
          </a:effectLst>
        </c:spPr>
      </c:pivotFmt>
      <c:pivotFmt>
        <c:idx val="1565"/>
        <c:spPr>
          <a:solidFill>
            <a:schemeClr val="accent6"/>
          </a:solidFill>
          <a:ln>
            <a:noFill/>
          </a:ln>
          <a:effectLst>
            <a:outerShdw blurRad="254000" sx="102000" sy="102000" algn="ctr" rotWithShape="0">
              <a:prstClr val="black">
                <a:alpha val="20000"/>
              </a:prstClr>
            </a:outerShdw>
          </a:effectLst>
        </c:spPr>
      </c:pivotFmt>
      <c:pivotFmt>
        <c:idx val="1566"/>
        <c:spPr>
          <a:solidFill>
            <a:schemeClr val="accent6"/>
          </a:solidFill>
          <a:ln>
            <a:noFill/>
          </a:ln>
          <a:effectLst>
            <a:outerShdw blurRad="254000" sx="102000" sy="102000" algn="ctr" rotWithShape="0">
              <a:prstClr val="black">
                <a:alpha val="20000"/>
              </a:prstClr>
            </a:outerShdw>
          </a:effectLst>
        </c:spPr>
      </c:pivotFmt>
      <c:pivotFmt>
        <c:idx val="1567"/>
        <c:spPr>
          <a:solidFill>
            <a:schemeClr val="accent6"/>
          </a:solidFill>
          <a:ln>
            <a:noFill/>
          </a:ln>
          <a:effectLst>
            <a:outerShdw blurRad="254000" sx="102000" sy="102000" algn="ctr" rotWithShape="0">
              <a:prstClr val="black">
                <a:alpha val="20000"/>
              </a:prstClr>
            </a:outerShdw>
          </a:effectLst>
        </c:spPr>
      </c:pivotFmt>
      <c:pivotFmt>
        <c:idx val="1568"/>
        <c:spPr>
          <a:solidFill>
            <a:schemeClr val="accent6"/>
          </a:solidFill>
          <a:ln>
            <a:noFill/>
          </a:ln>
          <a:effectLst>
            <a:outerShdw blurRad="254000" sx="102000" sy="102000" algn="ctr" rotWithShape="0">
              <a:prstClr val="black">
                <a:alpha val="20000"/>
              </a:prstClr>
            </a:outerShdw>
          </a:effectLst>
        </c:spPr>
      </c:pivotFmt>
      <c:pivotFmt>
        <c:idx val="1569"/>
        <c:spPr>
          <a:solidFill>
            <a:schemeClr val="accent6"/>
          </a:solidFill>
          <a:ln>
            <a:noFill/>
          </a:ln>
          <a:effectLst>
            <a:outerShdw blurRad="254000" sx="102000" sy="102000" algn="ctr" rotWithShape="0">
              <a:prstClr val="black">
                <a:alpha val="20000"/>
              </a:prstClr>
            </a:outerShdw>
          </a:effectLst>
        </c:spPr>
      </c:pivotFmt>
      <c:pivotFmt>
        <c:idx val="1570"/>
        <c:spPr>
          <a:solidFill>
            <a:schemeClr val="accent6"/>
          </a:solidFill>
          <a:ln>
            <a:noFill/>
          </a:ln>
          <a:effectLst>
            <a:outerShdw blurRad="254000" sx="102000" sy="102000" algn="ctr" rotWithShape="0">
              <a:prstClr val="black">
                <a:alpha val="20000"/>
              </a:prstClr>
            </a:outerShdw>
          </a:effectLst>
        </c:spPr>
      </c:pivotFmt>
      <c:pivotFmt>
        <c:idx val="1571"/>
        <c:spPr>
          <a:solidFill>
            <a:schemeClr val="accent6"/>
          </a:solidFill>
          <a:ln>
            <a:noFill/>
          </a:ln>
          <a:effectLst>
            <a:outerShdw blurRad="254000" sx="102000" sy="102000" algn="ctr" rotWithShape="0">
              <a:prstClr val="black">
                <a:alpha val="20000"/>
              </a:prstClr>
            </a:outerShdw>
          </a:effectLst>
        </c:spPr>
      </c:pivotFmt>
      <c:pivotFmt>
        <c:idx val="1572"/>
        <c:spPr>
          <a:solidFill>
            <a:schemeClr val="accent6"/>
          </a:solidFill>
          <a:ln>
            <a:noFill/>
          </a:ln>
          <a:effectLst>
            <a:outerShdw blurRad="254000" sx="102000" sy="102000" algn="ctr" rotWithShape="0">
              <a:prstClr val="black">
                <a:alpha val="20000"/>
              </a:prstClr>
            </a:outerShdw>
          </a:effectLst>
        </c:spPr>
      </c:pivotFmt>
      <c:pivotFmt>
        <c:idx val="1573"/>
        <c:spPr>
          <a:solidFill>
            <a:schemeClr val="accent6"/>
          </a:solidFill>
          <a:ln>
            <a:noFill/>
          </a:ln>
          <a:effectLst>
            <a:outerShdw blurRad="254000" sx="102000" sy="102000" algn="ctr" rotWithShape="0">
              <a:prstClr val="black">
                <a:alpha val="20000"/>
              </a:prstClr>
            </a:outerShdw>
          </a:effectLst>
        </c:spPr>
      </c:pivotFmt>
      <c:pivotFmt>
        <c:idx val="1574"/>
        <c:spPr>
          <a:solidFill>
            <a:schemeClr val="accent6"/>
          </a:solidFill>
          <a:ln>
            <a:noFill/>
          </a:ln>
          <a:effectLst>
            <a:outerShdw blurRad="254000" sx="102000" sy="102000" algn="ctr" rotWithShape="0">
              <a:prstClr val="black">
                <a:alpha val="20000"/>
              </a:prstClr>
            </a:outerShdw>
          </a:effectLst>
        </c:spPr>
      </c:pivotFmt>
      <c:pivotFmt>
        <c:idx val="1575"/>
        <c:spPr>
          <a:solidFill>
            <a:schemeClr val="accent6"/>
          </a:solidFill>
          <a:ln>
            <a:noFill/>
          </a:ln>
          <a:effectLst>
            <a:outerShdw blurRad="254000" sx="102000" sy="102000" algn="ctr" rotWithShape="0">
              <a:prstClr val="black">
                <a:alpha val="20000"/>
              </a:prstClr>
            </a:outerShdw>
          </a:effectLst>
        </c:spPr>
      </c:pivotFmt>
      <c:pivotFmt>
        <c:idx val="1576"/>
        <c:spPr>
          <a:solidFill>
            <a:schemeClr val="accent6"/>
          </a:solidFill>
          <a:ln>
            <a:noFill/>
          </a:ln>
          <a:effectLst>
            <a:outerShdw blurRad="254000" sx="102000" sy="102000" algn="ctr" rotWithShape="0">
              <a:prstClr val="black">
                <a:alpha val="20000"/>
              </a:prstClr>
            </a:outerShdw>
          </a:effectLst>
        </c:spPr>
      </c:pivotFmt>
      <c:pivotFmt>
        <c:idx val="1577"/>
        <c:spPr>
          <a:solidFill>
            <a:schemeClr val="accent6"/>
          </a:solidFill>
          <a:ln>
            <a:noFill/>
          </a:ln>
          <a:effectLst>
            <a:outerShdw blurRad="254000" sx="102000" sy="102000" algn="ctr" rotWithShape="0">
              <a:prstClr val="black">
                <a:alpha val="20000"/>
              </a:prstClr>
            </a:outerShdw>
          </a:effectLst>
        </c:spPr>
      </c:pivotFmt>
      <c:pivotFmt>
        <c:idx val="1578"/>
        <c:spPr>
          <a:solidFill>
            <a:schemeClr val="accent6"/>
          </a:solidFill>
          <a:ln>
            <a:noFill/>
          </a:ln>
          <a:effectLst>
            <a:outerShdw blurRad="254000" sx="102000" sy="102000" algn="ctr" rotWithShape="0">
              <a:prstClr val="black">
                <a:alpha val="20000"/>
              </a:prstClr>
            </a:outerShdw>
          </a:effectLst>
        </c:spPr>
      </c:pivotFmt>
      <c:pivotFmt>
        <c:idx val="1579"/>
        <c:spPr>
          <a:solidFill>
            <a:schemeClr val="accent6"/>
          </a:solidFill>
          <a:ln>
            <a:noFill/>
          </a:ln>
          <a:effectLst>
            <a:outerShdw blurRad="254000" sx="102000" sy="102000" algn="ctr" rotWithShape="0">
              <a:prstClr val="black">
                <a:alpha val="20000"/>
              </a:prstClr>
            </a:outerShdw>
          </a:effectLst>
        </c:spPr>
      </c:pivotFmt>
      <c:pivotFmt>
        <c:idx val="1580"/>
        <c:spPr>
          <a:solidFill>
            <a:schemeClr val="accent6"/>
          </a:solidFill>
          <a:ln>
            <a:noFill/>
          </a:ln>
          <a:effectLst>
            <a:outerShdw blurRad="254000" sx="102000" sy="102000" algn="ctr" rotWithShape="0">
              <a:prstClr val="black">
                <a:alpha val="20000"/>
              </a:prstClr>
            </a:outerShdw>
          </a:effectLst>
        </c:spPr>
      </c:pivotFmt>
      <c:pivotFmt>
        <c:idx val="1581"/>
        <c:spPr>
          <a:solidFill>
            <a:schemeClr val="accent6"/>
          </a:solidFill>
          <a:ln>
            <a:noFill/>
          </a:ln>
          <a:effectLst>
            <a:outerShdw blurRad="254000" sx="102000" sy="102000" algn="ctr" rotWithShape="0">
              <a:prstClr val="black">
                <a:alpha val="20000"/>
              </a:prstClr>
            </a:outerShdw>
          </a:effectLst>
        </c:spPr>
      </c:pivotFmt>
      <c:pivotFmt>
        <c:idx val="1582"/>
        <c:spPr>
          <a:solidFill>
            <a:schemeClr val="accent6"/>
          </a:solidFill>
          <a:ln>
            <a:noFill/>
          </a:ln>
          <a:effectLst>
            <a:outerShdw blurRad="254000" sx="102000" sy="102000" algn="ctr" rotWithShape="0">
              <a:prstClr val="black">
                <a:alpha val="20000"/>
              </a:prstClr>
            </a:outerShdw>
          </a:effectLst>
        </c:spPr>
      </c:pivotFmt>
      <c:pivotFmt>
        <c:idx val="1583"/>
        <c:spPr>
          <a:solidFill>
            <a:schemeClr val="accent6"/>
          </a:solidFill>
          <a:ln>
            <a:noFill/>
          </a:ln>
          <a:effectLst>
            <a:outerShdw blurRad="254000" sx="102000" sy="102000" algn="ctr" rotWithShape="0">
              <a:prstClr val="black">
                <a:alpha val="20000"/>
              </a:prstClr>
            </a:outerShdw>
          </a:effectLst>
        </c:spPr>
      </c:pivotFmt>
      <c:pivotFmt>
        <c:idx val="1584"/>
        <c:spPr>
          <a:solidFill>
            <a:schemeClr val="accent6"/>
          </a:solidFill>
          <a:ln>
            <a:noFill/>
          </a:ln>
          <a:effectLst>
            <a:outerShdw blurRad="254000" sx="102000" sy="102000" algn="ctr" rotWithShape="0">
              <a:prstClr val="black">
                <a:alpha val="20000"/>
              </a:prstClr>
            </a:outerShdw>
          </a:effectLst>
        </c:spPr>
      </c:pivotFmt>
      <c:pivotFmt>
        <c:idx val="1585"/>
        <c:spPr>
          <a:solidFill>
            <a:schemeClr val="accent6"/>
          </a:solidFill>
          <a:ln>
            <a:noFill/>
          </a:ln>
          <a:effectLst>
            <a:outerShdw blurRad="254000" sx="102000" sy="102000" algn="ctr" rotWithShape="0">
              <a:prstClr val="black">
                <a:alpha val="20000"/>
              </a:prstClr>
            </a:outerShdw>
          </a:effectLst>
        </c:spPr>
      </c:pivotFmt>
      <c:pivotFmt>
        <c:idx val="1586"/>
        <c:spPr>
          <a:solidFill>
            <a:schemeClr val="accent6"/>
          </a:solidFill>
          <a:ln>
            <a:noFill/>
          </a:ln>
          <a:effectLst>
            <a:outerShdw blurRad="254000" sx="102000" sy="102000" algn="ctr" rotWithShape="0">
              <a:prstClr val="black">
                <a:alpha val="20000"/>
              </a:prstClr>
            </a:outerShdw>
          </a:effectLst>
        </c:spPr>
      </c:pivotFmt>
      <c:pivotFmt>
        <c:idx val="1587"/>
        <c:spPr>
          <a:solidFill>
            <a:schemeClr val="accent6"/>
          </a:solidFill>
          <a:ln>
            <a:noFill/>
          </a:ln>
          <a:effectLst>
            <a:outerShdw blurRad="254000" sx="102000" sy="102000" algn="ctr" rotWithShape="0">
              <a:prstClr val="black">
                <a:alpha val="20000"/>
              </a:prstClr>
            </a:outerShdw>
          </a:effectLst>
        </c:spPr>
      </c:pivotFmt>
      <c:pivotFmt>
        <c:idx val="1588"/>
        <c:spPr>
          <a:solidFill>
            <a:schemeClr val="accent6"/>
          </a:solidFill>
          <a:ln>
            <a:noFill/>
          </a:ln>
          <a:effectLst>
            <a:outerShdw blurRad="254000" sx="102000" sy="102000" algn="ctr" rotWithShape="0">
              <a:prstClr val="black">
                <a:alpha val="20000"/>
              </a:prstClr>
            </a:outerShdw>
          </a:effectLst>
        </c:spPr>
      </c:pivotFmt>
      <c:pivotFmt>
        <c:idx val="1589"/>
        <c:spPr>
          <a:solidFill>
            <a:schemeClr val="accent6"/>
          </a:solidFill>
          <a:ln>
            <a:noFill/>
          </a:ln>
          <a:effectLst>
            <a:outerShdw blurRad="254000" sx="102000" sy="102000" algn="ctr" rotWithShape="0">
              <a:prstClr val="black">
                <a:alpha val="20000"/>
              </a:prstClr>
            </a:outerShdw>
          </a:effectLst>
        </c:spPr>
      </c:pivotFmt>
      <c:pivotFmt>
        <c:idx val="1590"/>
        <c:spPr>
          <a:solidFill>
            <a:schemeClr val="accent6"/>
          </a:solidFill>
          <a:ln>
            <a:noFill/>
          </a:ln>
          <a:effectLst>
            <a:outerShdw blurRad="254000" sx="102000" sy="102000" algn="ctr" rotWithShape="0">
              <a:prstClr val="black">
                <a:alpha val="20000"/>
              </a:prstClr>
            </a:outerShdw>
          </a:effectLst>
        </c:spPr>
      </c:pivotFmt>
      <c:pivotFmt>
        <c:idx val="1591"/>
        <c:spPr>
          <a:solidFill>
            <a:schemeClr val="accent6"/>
          </a:solidFill>
          <a:ln>
            <a:noFill/>
          </a:ln>
          <a:effectLst>
            <a:outerShdw blurRad="254000" sx="102000" sy="102000" algn="ctr" rotWithShape="0">
              <a:prstClr val="black">
                <a:alpha val="20000"/>
              </a:prstClr>
            </a:outerShdw>
          </a:effectLst>
        </c:spPr>
      </c:pivotFmt>
      <c:pivotFmt>
        <c:idx val="1592"/>
        <c:spPr>
          <a:solidFill>
            <a:schemeClr val="accent6"/>
          </a:solidFill>
          <a:ln>
            <a:noFill/>
          </a:ln>
          <a:effectLst>
            <a:outerShdw blurRad="254000" sx="102000" sy="102000" algn="ctr" rotWithShape="0">
              <a:prstClr val="black">
                <a:alpha val="20000"/>
              </a:prstClr>
            </a:outerShdw>
          </a:effectLst>
        </c:spPr>
      </c:pivotFmt>
      <c:pivotFmt>
        <c:idx val="1593"/>
        <c:spPr>
          <a:solidFill>
            <a:schemeClr val="accent6"/>
          </a:solidFill>
          <a:ln>
            <a:noFill/>
          </a:ln>
          <a:effectLst>
            <a:outerShdw blurRad="254000" sx="102000" sy="102000" algn="ctr" rotWithShape="0">
              <a:prstClr val="black">
                <a:alpha val="20000"/>
              </a:prstClr>
            </a:outerShdw>
          </a:effectLst>
        </c:spPr>
      </c:pivotFmt>
      <c:pivotFmt>
        <c:idx val="1594"/>
        <c:spPr>
          <a:solidFill>
            <a:schemeClr val="accent6"/>
          </a:solidFill>
          <a:ln>
            <a:noFill/>
          </a:ln>
          <a:effectLst>
            <a:outerShdw blurRad="254000" sx="102000" sy="102000" algn="ctr" rotWithShape="0">
              <a:prstClr val="black">
                <a:alpha val="20000"/>
              </a:prstClr>
            </a:outerShdw>
          </a:effectLst>
        </c:spPr>
      </c:pivotFmt>
      <c:pivotFmt>
        <c:idx val="1595"/>
        <c:spPr>
          <a:solidFill>
            <a:schemeClr val="accent6"/>
          </a:solidFill>
          <a:ln>
            <a:noFill/>
          </a:ln>
          <a:effectLst>
            <a:outerShdw blurRad="254000" sx="102000" sy="102000" algn="ctr" rotWithShape="0">
              <a:prstClr val="black">
                <a:alpha val="20000"/>
              </a:prstClr>
            </a:outerShdw>
          </a:effectLst>
        </c:spPr>
      </c:pivotFmt>
      <c:pivotFmt>
        <c:idx val="1596"/>
        <c:spPr>
          <a:solidFill>
            <a:schemeClr val="accent6"/>
          </a:solidFill>
          <a:ln>
            <a:noFill/>
          </a:ln>
          <a:effectLst>
            <a:outerShdw blurRad="254000" sx="102000" sy="102000" algn="ctr" rotWithShape="0">
              <a:prstClr val="black">
                <a:alpha val="20000"/>
              </a:prstClr>
            </a:outerShdw>
          </a:effectLst>
        </c:spPr>
      </c:pivotFmt>
      <c:pivotFmt>
        <c:idx val="1597"/>
        <c:spPr>
          <a:solidFill>
            <a:schemeClr val="accent6"/>
          </a:solidFill>
          <a:ln>
            <a:noFill/>
          </a:ln>
          <a:effectLst>
            <a:outerShdw blurRad="254000" sx="102000" sy="102000" algn="ctr" rotWithShape="0">
              <a:prstClr val="black">
                <a:alpha val="20000"/>
              </a:prstClr>
            </a:outerShdw>
          </a:effectLst>
        </c:spPr>
      </c:pivotFmt>
      <c:pivotFmt>
        <c:idx val="159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99"/>
        <c:spPr>
          <a:solidFill>
            <a:schemeClr val="accent6"/>
          </a:solidFill>
          <a:ln>
            <a:noFill/>
          </a:ln>
          <a:effectLst>
            <a:outerShdw blurRad="254000" sx="102000" sy="102000" algn="ctr" rotWithShape="0">
              <a:prstClr val="black">
                <a:alpha val="20000"/>
              </a:prstClr>
            </a:outerShdw>
          </a:effectLst>
        </c:spPr>
      </c:pivotFmt>
      <c:pivotFmt>
        <c:idx val="1600"/>
        <c:spPr>
          <a:solidFill>
            <a:schemeClr val="accent6"/>
          </a:solidFill>
          <a:ln>
            <a:noFill/>
          </a:ln>
          <a:effectLst>
            <a:outerShdw blurRad="254000" sx="102000" sy="102000" algn="ctr" rotWithShape="0">
              <a:prstClr val="black">
                <a:alpha val="20000"/>
              </a:prstClr>
            </a:outerShdw>
          </a:effectLst>
        </c:spPr>
      </c:pivotFmt>
      <c:pivotFmt>
        <c:idx val="1601"/>
        <c:spPr>
          <a:solidFill>
            <a:schemeClr val="accent6"/>
          </a:solidFill>
          <a:ln>
            <a:noFill/>
          </a:ln>
          <a:effectLst>
            <a:outerShdw blurRad="254000" sx="102000" sy="102000" algn="ctr" rotWithShape="0">
              <a:prstClr val="black">
                <a:alpha val="20000"/>
              </a:prstClr>
            </a:outerShdw>
          </a:effectLst>
        </c:spPr>
      </c:pivotFmt>
      <c:pivotFmt>
        <c:idx val="1602"/>
        <c:spPr>
          <a:solidFill>
            <a:schemeClr val="accent6"/>
          </a:solidFill>
          <a:ln>
            <a:noFill/>
          </a:ln>
          <a:effectLst>
            <a:outerShdw blurRad="254000" sx="102000" sy="102000" algn="ctr" rotWithShape="0">
              <a:prstClr val="black">
                <a:alpha val="20000"/>
              </a:prstClr>
            </a:outerShdw>
          </a:effectLst>
        </c:spPr>
      </c:pivotFmt>
      <c:pivotFmt>
        <c:idx val="1603"/>
        <c:spPr>
          <a:solidFill>
            <a:schemeClr val="accent6"/>
          </a:solidFill>
          <a:ln>
            <a:noFill/>
          </a:ln>
          <a:effectLst>
            <a:outerShdw blurRad="254000" sx="102000" sy="102000" algn="ctr" rotWithShape="0">
              <a:prstClr val="black">
                <a:alpha val="20000"/>
              </a:prstClr>
            </a:outerShdw>
          </a:effectLst>
        </c:spPr>
      </c:pivotFmt>
      <c:pivotFmt>
        <c:idx val="1604"/>
        <c:spPr>
          <a:solidFill>
            <a:schemeClr val="accent6"/>
          </a:solidFill>
          <a:ln>
            <a:noFill/>
          </a:ln>
          <a:effectLst>
            <a:outerShdw blurRad="254000" sx="102000" sy="102000" algn="ctr" rotWithShape="0">
              <a:prstClr val="black">
                <a:alpha val="20000"/>
              </a:prstClr>
            </a:outerShdw>
          </a:effectLst>
        </c:spPr>
      </c:pivotFmt>
      <c:pivotFmt>
        <c:idx val="1605"/>
        <c:spPr>
          <a:solidFill>
            <a:schemeClr val="accent6"/>
          </a:solidFill>
          <a:ln>
            <a:noFill/>
          </a:ln>
          <a:effectLst>
            <a:outerShdw blurRad="254000" sx="102000" sy="102000" algn="ctr" rotWithShape="0">
              <a:prstClr val="black">
                <a:alpha val="20000"/>
              </a:prstClr>
            </a:outerShdw>
          </a:effectLst>
        </c:spPr>
      </c:pivotFmt>
      <c:pivotFmt>
        <c:idx val="1606"/>
        <c:spPr>
          <a:solidFill>
            <a:schemeClr val="accent6"/>
          </a:solidFill>
          <a:ln>
            <a:noFill/>
          </a:ln>
          <a:effectLst>
            <a:outerShdw blurRad="254000" sx="102000" sy="102000" algn="ctr" rotWithShape="0">
              <a:prstClr val="black">
                <a:alpha val="20000"/>
              </a:prstClr>
            </a:outerShdw>
          </a:effectLst>
        </c:spPr>
      </c:pivotFmt>
      <c:pivotFmt>
        <c:idx val="1607"/>
        <c:spPr>
          <a:solidFill>
            <a:schemeClr val="accent6"/>
          </a:solidFill>
          <a:ln>
            <a:noFill/>
          </a:ln>
          <a:effectLst>
            <a:outerShdw blurRad="254000" sx="102000" sy="102000" algn="ctr" rotWithShape="0">
              <a:prstClr val="black">
                <a:alpha val="20000"/>
              </a:prstClr>
            </a:outerShdw>
          </a:effectLst>
        </c:spPr>
      </c:pivotFmt>
      <c:pivotFmt>
        <c:idx val="160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0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1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1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1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1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1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1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1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1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1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1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2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2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2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2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2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2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26"/>
        <c:spPr>
          <a:solidFill>
            <a:schemeClr val="accent6"/>
          </a:solidFill>
          <a:ln>
            <a:noFill/>
          </a:ln>
          <a:effectLst>
            <a:outerShdw blurRad="254000" sx="102000" sy="102000" algn="ctr" rotWithShape="0">
              <a:prstClr val="black">
                <a:alpha val="20000"/>
              </a:prstClr>
            </a:outerShdw>
          </a:effectLst>
        </c:spPr>
      </c:pivotFmt>
      <c:pivotFmt>
        <c:idx val="1627"/>
        <c:spPr>
          <a:solidFill>
            <a:schemeClr val="accent6"/>
          </a:solidFill>
          <a:ln>
            <a:noFill/>
          </a:ln>
          <a:effectLst>
            <a:outerShdw blurRad="254000" sx="102000" sy="102000" algn="ctr" rotWithShape="0">
              <a:prstClr val="black">
                <a:alpha val="20000"/>
              </a:prstClr>
            </a:outerShdw>
          </a:effectLst>
        </c:spPr>
      </c:pivotFmt>
      <c:pivotFmt>
        <c:idx val="1628"/>
        <c:spPr>
          <a:solidFill>
            <a:schemeClr val="accent6"/>
          </a:solidFill>
          <a:ln>
            <a:noFill/>
          </a:ln>
          <a:effectLst>
            <a:outerShdw blurRad="254000" sx="102000" sy="102000" algn="ctr" rotWithShape="0">
              <a:prstClr val="black">
                <a:alpha val="20000"/>
              </a:prstClr>
            </a:outerShdw>
          </a:effectLst>
        </c:spPr>
      </c:pivotFmt>
      <c:pivotFmt>
        <c:idx val="1629"/>
        <c:spPr>
          <a:solidFill>
            <a:schemeClr val="accent6"/>
          </a:solidFill>
          <a:ln>
            <a:noFill/>
          </a:ln>
          <a:effectLst>
            <a:outerShdw blurRad="254000" sx="102000" sy="102000" algn="ctr" rotWithShape="0">
              <a:prstClr val="black">
                <a:alpha val="20000"/>
              </a:prstClr>
            </a:outerShdw>
          </a:effectLst>
        </c:spPr>
      </c:pivotFmt>
      <c:pivotFmt>
        <c:idx val="1630"/>
        <c:spPr>
          <a:solidFill>
            <a:schemeClr val="accent6"/>
          </a:solidFill>
          <a:ln>
            <a:noFill/>
          </a:ln>
          <a:effectLst>
            <a:outerShdw blurRad="254000" sx="102000" sy="102000" algn="ctr" rotWithShape="0">
              <a:prstClr val="black">
                <a:alpha val="20000"/>
              </a:prstClr>
            </a:outerShdw>
          </a:effectLst>
        </c:spPr>
      </c:pivotFmt>
      <c:pivotFmt>
        <c:idx val="1631"/>
        <c:spPr>
          <a:solidFill>
            <a:schemeClr val="accent6"/>
          </a:solidFill>
          <a:ln>
            <a:noFill/>
          </a:ln>
          <a:effectLst>
            <a:outerShdw blurRad="254000" sx="102000" sy="102000" algn="ctr" rotWithShape="0">
              <a:prstClr val="black">
                <a:alpha val="20000"/>
              </a:prstClr>
            </a:outerShdw>
          </a:effectLst>
        </c:spPr>
      </c:pivotFmt>
      <c:pivotFmt>
        <c:idx val="1632"/>
        <c:spPr>
          <a:solidFill>
            <a:schemeClr val="accent6"/>
          </a:solidFill>
          <a:ln>
            <a:noFill/>
          </a:ln>
          <a:effectLst>
            <a:outerShdw blurRad="254000" sx="102000" sy="102000" algn="ctr" rotWithShape="0">
              <a:prstClr val="black">
                <a:alpha val="20000"/>
              </a:prstClr>
            </a:outerShdw>
          </a:effectLst>
        </c:spPr>
      </c:pivotFmt>
      <c:pivotFmt>
        <c:idx val="1633"/>
        <c:spPr>
          <a:solidFill>
            <a:schemeClr val="accent6"/>
          </a:solidFill>
          <a:ln>
            <a:noFill/>
          </a:ln>
          <a:effectLst>
            <a:outerShdw blurRad="254000" sx="102000" sy="102000" algn="ctr" rotWithShape="0">
              <a:prstClr val="black">
                <a:alpha val="20000"/>
              </a:prstClr>
            </a:outerShdw>
          </a:effectLst>
        </c:spPr>
      </c:pivotFmt>
      <c:pivotFmt>
        <c:idx val="1634"/>
        <c:spPr>
          <a:solidFill>
            <a:schemeClr val="accent6"/>
          </a:solidFill>
          <a:ln>
            <a:noFill/>
          </a:ln>
          <a:effectLst>
            <a:outerShdw blurRad="254000" sx="102000" sy="102000" algn="ctr" rotWithShape="0">
              <a:prstClr val="black">
                <a:alpha val="20000"/>
              </a:prstClr>
            </a:outerShdw>
          </a:effectLst>
        </c:spPr>
      </c:pivotFmt>
      <c:pivotFmt>
        <c:idx val="163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3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37"/>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3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39"/>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40"/>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4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4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4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4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4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46"/>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4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48"/>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49"/>
        <c:spPr>
          <a:solidFill>
            <a:schemeClr val="accent6"/>
          </a:solidFill>
          <a:ln>
            <a:noFill/>
          </a:ln>
          <a:effectLst>
            <a:outerShdw blurRad="254000" sx="102000" sy="102000" algn="ctr" rotWithShape="0">
              <a:prstClr val="black">
                <a:alpha val="20000"/>
              </a:prstClr>
            </a:outerShdw>
          </a:effectLst>
        </c:spPr>
      </c:pivotFmt>
      <c:pivotFmt>
        <c:idx val="1650"/>
        <c:spPr>
          <a:solidFill>
            <a:schemeClr val="accent6"/>
          </a:solidFill>
          <a:ln>
            <a:noFill/>
          </a:ln>
          <a:effectLst>
            <a:outerShdw blurRad="254000" sx="102000" sy="102000" algn="ctr" rotWithShape="0">
              <a:prstClr val="black">
                <a:alpha val="20000"/>
              </a:prstClr>
            </a:outerShdw>
          </a:effectLst>
        </c:spPr>
      </c:pivotFmt>
      <c:pivotFmt>
        <c:idx val="1651"/>
        <c:spPr>
          <a:solidFill>
            <a:schemeClr val="accent6"/>
          </a:solidFill>
          <a:ln>
            <a:noFill/>
          </a:ln>
          <a:effectLst>
            <a:outerShdw blurRad="254000" sx="102000" sy="102000" algn="ctr" rotWithShape="0">
              <a:prstClr val="black">
                <a:alpha val="20000"/>
              </a:prstClr>
            </a:outerShdw>
          </a:effectLst>
        </c:spPr>
      </c:pivotFmt>
      <c:pivotFmt>
        <c:idx val="1652"/>
        <c:spPr>
          <a:solidFill>
            <a:schemeClr val="accent6"/>
          </a:solidFill>
          <a:ln>
            <a:noFill/>
          </a:ln>
          <a:effectLst>
            <a:outerShdw blurRad="254000" sx="102000" sy="102000" algn="ctr" rotWithShape="0">
              <a:prstClr val="black">
                <a:alpha val="20000"/>
              </a:prstClr>
            </a:outerShdw>
          </a:effectLst>
        </c:spPr>
      </c:pivotFmt>
      <c:pivotFmt>
        <c:idx val="1653"/>
        <c:spPr>
          <a:solidFill>
            <a:schemeClr val="accent6"/>
          </a:solidFill>
          <a:ln>
            <a:noFill/>
          </a:ln>
          <a:effectLst>
            <a:outerShdw blurRad="254000" sx="102000" sy="102000" algn="ctr" rotWithShape="0">
              <a:prstClr val="black">
                <a:alpha val="20000"/>
              </a:prstClr>
            </a:outerShdw>
          </a:effectLst>
        </c:spPr>
      </c:pivotFmt>
      <c:pivotFmt>
        <c:idx val="1654"/>
        <c:spPr>
          <a:solidFill>
            <a:schemeClr val="accent6"/>
          </a:solidFill>
          <a:ln>
            <a:noFill/>
          </a:ln>
          <a:effectLst>
            <a:outerShdw blurRad="254000" sx="102000" sy="102000" algn="ctr" rotWithShape="0">
              <a:prstClr val="black">
                <a:alpha val="20000"/>
              </a:prstClr>
            </a:outerShdw>
          </a:effectLst>
        </c:spPr>
      </c:pivotFmt>
      <c:pivotFmt>
        <c:idx val="1655"/>
        <c:spPr>
          <a:solidFill>
            <a:schemeClr val="accent6"/>
          </a:solidFill>
          <a:ln>
            <a:noFill/>
          </a:ln>
          <a:effectLst>
            <a:outerShdw blurRad="254000" sx="102000" sy="102000" algn="ctr" rotWithShape="0">
              <a:prstClr val="black">
                <a:alpha val="20000"/>
              </a:prstClr>
            </a:outerShdw>
          </a:effectLst>
        </c:spPr>
      </c:pivotFmt>
      <c:pivotFmt>
        <c:idx val="1656"/>
        <c:spPr>
          <a:solidFill>
            <a:schemeClr val="accent6"/>
          </a:solidFill>
          <a:ln>
            <a:noFill/>
          </a:ln>
          <a:effectLst>
            <a:outerShdw blurRad="254000" sx="102000" sy="102000" algn="ctr" rotWithShape="0">
              <a:prstClr val="black">
                <a:alpha val="20000"/>
              </a:prstClr>
            </a:outerShdw>
          </a:effectLst>
        </c:spPr>
      </c:pivotFmt>
      <c:pivotFmt>
        <c:idx val="1657"/>
        <c:spPr>
          <a:solidFill>
            <a:schemeClr val="accent6"/>
          </a:solidFill>
          <a:ln>
            <a:noFill/>
          </a:ln>
          <a:effectLst>
            <a:outerShdw blurRad="254000" sx="102000" sy="102000" algn="ctr" rotWithShape="0">
              <a:prstClr val="black">
                <a:alpha val="20000"/>
              </a:prstClr>
            </a:outerShdw>
          </a:effectLst>
        </c:spPr>
      </c:pivotFmt>
      <c:pivotFmt>
        <c:idx val="165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5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6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6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6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6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6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6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67"/>
        <c:spPr>
          <a:solidFill>
            <a:schemeClr val="accent6"/>
          </a:solidFill>
          <a:ln>
            <a:noFill/>
          </a:ln>
          <a:effectLst>
            <a:outerShdw blurRad="254000" sx="102000" sy="102000" algn="ctr" rotWithShape="0">
              <a:prstClr val="black">
                <a:alpha val="20000"/>
              </a:prstClr>
            </a:outerShdw>
          </a:effectLst>
        </c:spPr>
      </c:pivotFmt>
      <c:pivotFmt>
        <c:idx val="1668"/>
        <c:spPr>
          <a:solidFill>
            <a:schemeClr val="accent6"/>
          </a:solidFill>
          <a:ln>
            <a:noFill/>
          </a:ln>
          <a:effectLst>
            <a:outerShdw blurRad="254000" sx="102000" sy="102000" algn="ctr" rotWithShape="0">
              <a:prstClr val="black">
                <a:alpha val="20000"/>
              </a:prstClr>
            </a:outerShdw>
          </a:effectLst>
        </c:spPr>
      </c:pivotFmt>
      <c:pivotFmt>
        <c:idx val="1669"/>
        <c:spPr>
          <a:solidFill>
            <a:schemeClr val="accent6"/>
          </a:solidFill>
          <a:ln>
            <a:noFill/>
          </a:ln>
          <a:effectLst>
            <a:outerShdw blurRad="254000" sx="102000" sy="102000" algn="ctr" rotWithShape="0">
              <a:prstClr val="black">
                <a:alpha val="20000"/>
              </a:prstClr>
            </a:outerShdw>
          </a:effectLst>
        </c:spPr>
      </c:pivotFmt>
      <c:pivotFmt>
        <c:idx val="1670"/>
        <c:spPr>
          <a:solidFill>
            <a:schemeClr val="accent6"/>
          </a:solidFill>
          <a:ln>
            <a:noFill/>
          </a:ln>
          <a:effectLst>
            <a:outerShdw blurRad="254000" sx="102000" sy="102000" algn="ctr" rotWithShape="0">
              <a:prstClr val="black">
                <a:alpha val="20000"/>
              </a:prstClr>
            </a:outerShdw>
          </a:effectLst>
        </c:spPr>
      </c:pivotFmt>
      <c:pivotFmt>
        <c:idx val="1671"/>
        <c:spPr>
          <a:solidFill>
            <a:schemeClr val="accent6"/>
          </a:solidFill>
          <a:ln>
            <a:noFill/>
          </a:ln>
          <a:effectLst>
            <a:outerShdw blurRad="254000" sx="102000" sy="102000" algn="ctr" rotWithShape="0">
              <a:prstClr val="black">
                <a:alpha val="20000"/>
              </a:prstClr>
            </a:outerShdw>
          </a:effectLst>
        </c:spPr>
      </c:pivotFmt>
      <c:pivotFmt>
        <c:idx val="1672"/>
        <c:spPr>
          <a:solidFill>
            <a:schemeClr val="accent6"/>
          </a:solidFill>
          <a:ln>
            <a:noFill/>
          </a:ln>
          <a:effectLst>
            <a:outerShdw blurRad="254000" sx="102000" sy="102000" algn="ctr" rotWithShape="0">
              <a:prstClr val="black">
                <a:alpha val="20000"/>
              </a:prstClr>
            </a:outerShdw>
          </a:effectLst>
        </c:spPr>
      </c:pivotFmt>
      <c:pivotFmt>
        <c:idx val="1673"/>
        <c:spPr>
          <a:solidFill>
            <a:schemeClr val="accent6"/>
          </a:solidFill>
          <a:ln>
            <a:noFill/>
          </a:ln>
          <a:effectLst>
            <a:outerShdw blurRad="254000" sx="102000" sy="102000" algn="ctr" rotWithShape="0">
              <a:prstClr val="black">
                <a:alpha val="20000"/>
              </a:prstClr>
            </a:outerShdw>
          </a:effectLst>
        </c:spPr>
      </c:pivotFmt>
      <c:pivotFmt>
        <c:idx val="1674"/>
        <c:spPr>
          <a:solidFill>
            <a:schemeClr val="accent6"/>
          </a:solidFill>
          <a:ln>
            <a:noFill/>
          </a:ln>
          <a:effectLst>
            <a:outerShdw blurRad="254000" sx="102000" sy="102000" algn="ctr" rotWithShape="0">
              <a:prstClr val="black">
                <a:alpha val="20000"/>
              </a:prstClr>
            </a:outerShdw>
          </a:effectLst>
        </c:spPr>
      </c:pivotFmt>
      <c:pivotFmt>
        <c:idx val="1675"/>
        <c:spPr>
          <a:solidFill>
            <a:schemeClr val="accent6"/>
          </a:solidFill>
          <a:ln>
            <a:noFill/>
          </a:ln>
          <a:effectLst>
            <a:outerShdw blurRad="254000" sx="102000" sy="102000" algn="ctr" rotWithShape="0">
              <a:prstClr val="black">
                <a:alpha val="20000"/>
              </a:prstClr>
            </a:outerShdw>
          </a:effectLst>
        </c:spPr>
      </c:pivotFmt>
      <c:pivotFmt>
        <c:idx val="1676"/>
        <c:spPr>
          <a:solidFill>
            <a:schemeClr val="accent6"/>
          </a:solidFill>
          <a:ln>
            <a:noFill/>
          </a:ln>
          <a:effectLst>
            <a:outerShdw blurRad="254000" sx="102000" sy="102000" algn="ctr" rotWithShape="0">
              <a:prstClr val="black">
                <a:alpha val="20000"/>
              </a:prstClr>
            </a:outerShdw>
          </a:effectLst>
        </c:spPr>
      </c:pivotFmt>
      <c:pivotFmt>
        <c:idx val="1677"/>
        <c:spPr>
          <a:solidFill>
            <a:schemeClr val="accent6"/>
          </a:solidFill>
          <a:ln>
            <a:noFill/>
          </a:ln>
          <a:effectLst>
            <a:outerShdw blurRad="254000" sx="102000" sy="102000" algn="ctr" rotWithShape="0">
              <a:prstClr val="black">
                <a:alpha val="20000"/>
              </a:prstClr>
            </a:outerShdw>
          </a:effectLst>
        </c:spPr>
      </c:pivotFmt>
      <c:pivotFmt>
        <c:idx val="1678"/>
        <c:spPr>
          <a:solidFill>
            <a:schemeClr val="accent6"/>
          </a:solidFill>
          <a:ln>
            <a:noFill/>
          </a:ln>
          <a:effectLst>
            <a:outerShdw blurRad="254000" sx="102000" sy="102000" algn="ctr" rotWithShape="0">
              <a:prstClr val="black">
                <a:alpha val="20000"/>
              </a:prstClr>
            </a:outerShdw>
          </a:effectLst>
        </c:spPr>
      </c:pivotFmt>
      <c:pivotFmt>
        <c:idx val="1679"/>
        <c:spPr>
          <a:solidFill>
            <a:schemeClr val="accent6"/>
          </a:solidFill>
          <a:ln>
            <a:noFill/>
          </a:ln>
          <a:effectLst>
            <a:outerShdw blurRad="254000" sx="102000" sy="102000" algn="ctr" rotWithShape="0">
              <a:prstClr val="black">
                <a:alpha val="20000"/>
              </a:prstClr>
            </a:outerShdw>
          </a:effectLst>
        </c:spPr>
      </c:pivotFmt>
      <c:pivotFmt>
        <c:idx val="1680"/>
        <c:spPr>
          <a:solidFill>
            <a:schemeClr val="accent6"/>
          </a:solidFill>
          <a:ln>
            <a:noFill/>
          </a:ln>
          <a:effectLst>
            <a:outerShdw blurRad="254000" sx="102000" sy="102000" algn="ctr" rotWithShape="0">
              <a:prstClr val="black">
                <a:alpha val="20000"/>
              </a:prstClr>
            </a:outerShdw>
          </a:effectLst>
        </c:spPr>
      </c:pivotFmt>
      <c:pivotFmt>
        <c:idx val="1681"/>
        <c:spPr>
          <a:solidFill>
            <a:schemeClr val="accent6"/>
          </a:solidFill>
          <a:ln>
            <a:noFill/>
          </a:ln>
          <a:effectLst>
            <a:outerShdw blurRad="254000" sx="102000" sy="102000" algn="ctr" rotWithShape="0">
              <a:prstClr val="black">
                <a:alpha val="20000"/>
              </a:prstClr>
            </a:outerShdw>
          </a:effectLst>
        </c:spPr>
      </c:pivotFmt>
      <c:pivotFmt>
        <c:idx val="1682"/>
        <c:spPr>
          <a:solidFill>
            <a:schemeClr val="accent6"/>
          </a:solidFill>
          <a:ln>
            <a:noFill/>
          </a:ln>
          <a:effectLst>
            <a:outerShdw blurRad="254000" sx="102000" sy="102000" algn="ctr" rotWithShape="0">
              <a:prstClr val="black">
                <a:alpha val="20000"/>
              </a:prstClr>
            </a:outerShdw>
          </a:effectLst>
        </c:spPr>
      </c:pivotFmt>
      <c:pivotFmt>
        <c:idx val="1683"/>
        <c:spPr>
          <a:solidFill>
            <a:schemeClr val="accent6"/>
          </a:solidFill>
          <a:ln>
            <a:noFill/>
          </a:ln>
          <a:effectLst>
            <a:outerShdw blurRad="254000" sx="102000" sy="102000" algn="ctr" rotWithShape="0">
              <a:prstClr val="black">
                <a:alpha val="20000"/>
              </a:prstClr>
            </a:outerShdw>
          </a:effectLst>
        </c:spPr>
      </c:pivotFmt>
      <c:pivotFmt>
        <c:idx val="1684"/>
        <c:spPr>
          <a:solidFill>
            <a:schemeClr val="accent6"/>
          </a:solidFill>
          <a:ln>
            <a:noFill/>
          </a:ln>
          <a:effectLst>
            <a:outerShdw blurRad="254000" sx="102000" sy="102000" algn="ctr" rotWithShape="0">
              <a:prstClr val="black">
                <a:alpha val="20000"/>
              </a:prstClr>
            </a:outerShdw>
          </a:effectLst>
        </c:spPr>
      </c:pivotFmt>
      <c:pivotFmt>
        <c:idx val="1685"/>
        <c:spPr>
          <a:solidFill>
            <a:schemeClr val="accent6"/>
          </a:solidFill>
          <a:ln>
            <a:noFill/>
          </a:ln>
          <a:effectLst>
            <a:outerShdw blurRad="254000" sx="102000" sy="102000" algn="ctr" rotWithShape="0">
              <a:prstClr val="black">
                <a:alpha val="20000"/>
              </a:prstClr>
            </a:outerShdw>
          </a:effectLst>
        </c:spPr>
      </c:pivotFmt>
      <c:pivotFmt>
        <c:idx val="1686"/>
        <c:spPr>
          <a:solidFill>
            <a:schemeClr val="accent6"/>
          </a:solidFill>
          <a:ln>
            <a:noFill/>
          </a:ln>
          <a:effectLst>
            <a:outerShdw blurRad="254000" sx="102000" sy="102000" algn="ctr" rotWithShape="0">
              <a:prstClr val="black">
                <a:alpha val="20000"/>
              </a:prstClr>
            </a:outerShdw>
          </a:effectLst>
        </c:spPr>
      </c:pivotFmt>
      <c:pivotFmt>
        <c:idx val="1687"/>
        <c:spPr>
          <a:solidFill>
            <a:schemeClr val="accent6"/>
          </a:solidFill>
          <a:ln>
            <a:noFill/>
          </a:ln>
          <a:effectLst>
            <a:outerShdw blurRad="254000" sx="102000" sy="102000" algn="ctr" rotWithShape="0">
              <a:prstClr val="black">
                <a:alpha val="20000"/>
              </a:prstClr>
            </a:outerShdw>
          </a:effectLst>
        </c:spPr>
      </c:pivotFmt>
      <c:pivotFmt>
        <c:idx val="1688"/>
        <c:spPr>
          <a:solidFill>
            <a:schemeClr val="accent6"/>
          </a:solidFill>
          <a:ln>
            <a:noFill/>
          </a:ln>
          <a:effectLst>
            <a:outerShdw blurRad="254000" sx="102000" sy="102000" algn="ctr" rotWithShape="0">
              <a:prstClr val="black">
                <a:alpha val="20000"/>
              </a:prstClr>
            </a:outerShdw>
          </a:effectLst>
        </c:spPr>
      </c:pivotFmt>
      <c:pivotFmt>
        <c:idx val="1689"/>
        <c:spPr>
          <a:solidFill>
            <a:schemeClr val="accent6"/>
          </a:solidFill>
          <a:ln>
            <a:noFill/>
          </a:ln>
          <a:effectLst>
            <a:outerShdw blurRad="254000" sx="102000" sy="102000" algn="ctr" rotWithShape="0">
              <a:prstClr val="black">
                <a:alpha val="20000"/>
              </a:prstClr>
            </a:outerShdw>
          </a:effectLst>
        </c:spPr>
      </c:pivotFmt>
      <c:pivotFmt>
        <c:idx val="1690"/>
        <c:spPr>
          <a:solidFill>
            <a:schemeClr val="accent6"/>
          </a:solidFill>
          <a:ln>
            <a:noFill/>
          </a:ln>
          <a:effectLst>
            <a:outerShdw blurRad="254000" sx="102000" sy="102000" algn="ctr" rotWithShape="0">
              <a:prstClr val="black">
                <a:alpha val="20000"/>
              </a:prstClr>
            </a:outerShdw>
          </a:effectLst>
        </c:spPr>
      </c:pivotFmt>
      <c:pivotFmt>
        <c:idx val="1691"/>
        <c:spPr>
          <a:solidFill>
            <a:schemeClr val="accent6"/>
          </a:solidFill>
          <a:ln>
            <a:noFill/>
          </a:ln>
          <a:effectLst>
            <a:outerShdw blurRad="254000" sx="102000" sy="102000" algn="ctr" rotWithShape="0">
              <a:prstClr val="black">
                <a:alpha val="20000"/>
              </a:prstClr>
            </a:outerShdw>
          </a:effectLst>
        </c:spPr>
      </c:pivotFmt>
      <c:pivotFmt>
        <c:idx val="1692"/>
        <c:spPr>
          <a:solidFill>
            <a:schemeClr val="accent6"/>
          </a:solidFill>
          <a:ln>
            <a:noFill/>
          </a:ln>
          <a:effectLst>
            <a:outerShdw blurRad="254000" sx="102000" sy="102000" algn="ctr" rotWithShape="0">
              <a:prstClr val="black">
                <a:alpha val="20000"/>
              </a:prstClr>
            </a:outerShdw>
          </a:effectLst>
        </c:spPr>
      </c:pivotFmt>
      <c:pivotFmt>
        <c:idx val="1693"/>
        <c:spPr>
          <a:solidFill>
            <a:schemeClr val="accent6"/>
          </a:solidFill>
          <a:ln>
            <a:noFill/>
          </a:ln>
          <a:effectLst>
            <a:outerShdw blurRad="254000" sx="102000" sy="102000" algn="ctr" rotWithShape="0">
              <a:prstClr val="black">
                <a:alpha val="20000"/>
              </a:prstClr>
            </a:outerShdw>
          </a:effectLst>
        </c:spPr>
      </c:pivotFmt>
      <c:pivotFmt>
        <c:idx val="1694"/>
        <c:spPr>
          <a:solidFill>
            <a:schemeClr val="accent6"/>
          </a:solidFill>
          <a:ln>
            <a:noFill/>
          </a:ln>
          <a:effectLst>
            <a:outerShdw blurRad="254000" sx="102000" sy="102000" algn="ctr" rotWithShape="0">
              <a:prstClr val="black">
                <a:alpha val="20000"/>
              </a:prstClr>
            </a:outerShdw>
          </a:effectLst>
        </c:spPr>
      </c:pivotFmt>
      <c:pivotFmt>
        <c:idx val="1695"/>
        <c:spPr>
          <a:solidFill>
            <a:schemeClr val="accent6"/>
          </a:solidFill>
          <a:ln>
            <a:noFill/>
          </a:ln>
          <a:effectLst>
            <a:outerShdw blurRad="254000" sx="102000" sy="102000" algn="ctr" rotWithShape="0">
              <a:prstClr val="black">
                <a:alpha val="20000"/>
              </a:prstClr>
            </a:outerShdw>
          </a:effectLst>
        </c:spPr>
      </c:pivotFmt>
      <c:pivotFmt>
        <c:idx val="1696"/>
        <c:spPr>
          <a:solidFill>
            <a:schemeClr val="accent6"/>
          </a:solidFill>
          <a:ln>
            <a:noFill/>
          </a:ln>
          <a:effectLst>
            <a:outerShdw blurRad="254000" sx="102000" sy="102000" algn="ctr" rotWithShape="0">
              <a:prstClr val="black">
                <a:alpha val="20000"/>
              </a:prstClr>
            </a:outerShdw>
          </a:effectLst>
        </c:spPr>
      </c:pivotFmt>
      <c:pivotFmt>
        <c:idx val="1697"/>
        <c:spPr>
          <a:solidFill>
            <a:schemeClr val="accent6"/>
          </a:solidFill>
          <a:ln>
            <a:noFill/>
          </a:ln>
          <a:effectLst>
            <a:outerShdw blurRad="254000" sx="102000" sy="102000" algn="ctr" rotWithShape="0">
              <a:prstClr val="black">
                <a:alpha val="20000"/>
              </a:prstClr>
            </a:outerShdw>
          </a:effectLst>
        </c:spPr>
      </c:pivotFmt>
      <c:pivotFmt>
        <c:idx val="1698"/>
        <c:spPr>
          <a:solidFill>
            <a:schemeClr val="accent6"/>
          </a:solidFill>
          <a:ln>
            <a:noFill/>
          </a:ln>
          <a:effectLst>
            <a:outerShdw blurRad="254000" sx="102000" sy="102000" algn="ctr" rotWithShape="0">
              <a:prstClr val="black">
                <a:alpha val="20000"/>
              </a:prstClr>
            </a:outerShdw>
          </a:effectLst>
        </c:spPr>
      </c:pivotFmt>
      <c:pivotFmt>
        <c:idx val="1699"/>
        <c:spPr>
          <a:solidFill>
            <a:schemeClr val="accent6"/>
          </a:solidFill>
          <a:ln>
            <a:noFill/>
          </a:ln>
          <a:effectLst>
            <a:outerShdw blurRad="254000" sx="102000" sy="102000" algn="ctr" rotWithShape="0">
              <a:prstClr val="black">
                <a:alpha val="20000"/>
              </a:prstClr>
            </a:outerShdw>
          </a:effectLst>
        </c:spPr>
      </c:pivotFmt>
      <c:pivotFmt>
        <c:idx val="1700"/>
        <c:spPr>
          <a:solidFill>
            <a:schemeClr val="accent6"/>
          </a:solidFill>
          <a:ln>
            <a:noFill/>
          </a:ln>
          <a:effectLst>
            <a:outerShdw blurRad="254000" sx="102000" sy="102000" algn="ctr" rotWithShape="0">
              <a:prstClr val="black">
                <a:alpha val="20000"/>
              </a:prstClr>
            </a:outerShdw>
          </a:effectLst>
        </c:spPr>
      </c:pivotFmt>
      <c:pivotFmt>
        <c:idx val="1701"/>
        <c:spPr>
          <a:solidFill>
            <a:schemeClr val="accent6"/>
          </a:solidFill>
          <a:ln>
            <a:noFill/>
          </a:ln>
          <a:effectLst>
            <a:outerShdw blurRad="254000" sx="102000" sy="102000" algn="ctr" rotWithShape="0">
              <a:prstClr val="black">
                <a:alpha val="20000"/>
              </a:prstClr>
            </a:outerShdw>
          </a:effectLst>
        </c:spPr>
      </c:pivotFmt>
      <c:pivotFmt>
        <c:idx val="1702"/>
        <c:spPr>
          <a:solidFill>
            <a:schemeClr val="accent6"/>
          </a:solidFill>
          <a:ln>
            <a:noFill/>
          </a:ln>
          <a:effectLst>
            <a:outerShdw blurRad="254000" sx="102000" sy="102000" algn="ctr" rotWithShape="0">
              <a:prstClr val="black">
                <a:alpha val="20000"/>
              </a:prstClr>
            </a:outerShdw>
          </a:effectLst>
        </c:spPr>
      </c:pivotFmt>
      <c:pivotFmt>
        <c:idx val="1703"/>
        <c:spPr>
          <a:solidFill>
            <a:schemeClr val="accent6"/>
          </a:solidFill>
          <a:ln>
            <a:noFill/>
          </a:ln>
          <a:effectLst>
            <a:outerShdw blurRad="254000" sx="102000" sy="102000" algn="ctr" rotWithShape="0">
              <a:prstClr val="black">
                <a:alpha val="20000"/>
              </a:prstClr>
            </a:outerShdw>
          </a:effectLst>
        </c:spPr>
      </c:pivotFmt>
      <c:pivotFmt>
        <c:idx val="1704"/>
        <c:spPr>
          <a:solidFill>
            <a:schemeClr val="accent6"/>
          </a:solidFill>
          <a:ln>
            <a:noFill/>
          </a:ln>
          <a:effectLst>
            <a:outerShdw blurRad="254000" sx="102000" sy="102000" algn="ctr" rotWithShape="0">
              <a:prstClr val="black">
                <a:alpha val="20000"/>
              </a:prstClr>
            </a:outerShdw>
          </a:effectLst>
        </c:spPr>
      </c:pivotFmt>
      <c:pivotFmt>
        <c:idx val="1705"/>
        <c:spPr>
          <a:solidFill>
            <a:schemeClr val="accent6"/>
          </a:solidFill>
          <a:ln>
            <a:noFill/>
          </a:ln>
          <a:effectLst>
            <a:outerShdw blurRad="254000" sx="102000" sy="102000" algn="ctr" rotWithShape="0">
              <a:prstClr val="black">
                <a:alpha val="20000"/>
              </a:prstClr>
            </a:outerShdw>
          </a:effectLst>
        </c:spPr>
      </c:pivotFmt>
      <c:pivotFmt>
        <c:idx val="1706"/>
        <c:spPr>
          <a:solidFill>
            <a:schemeClr val="accent6"/>
          </a:solidFill>
          <a:ln>
            <a:noFill/>
          </a:ln>
          <a:effectLst>
            <a:outerShdw blurRad="254000" sx="102000" sy="102000" algn="ctr" rotWithShape="0">
              <a:prstClr val="black">
                <a:alpha val="20000"/>
              </a:prstClr>
            </a:outerShdw>
          </a:effectLst>
        </c:spPr>
      </c:pivotFmt>
      <c:pivotFmt>
        <c:idx val="1707"/>
        <c:spPr>
          <a:solidFill>
            <a:schemeClr val="accent6"/>
          </a:solidFill>
          <a:ln>
            <a:noFill/>
          </a:ln>
          <a:effectLst>
            <a:outerShdw blurRad="254000" sx="102000" sy="102000" algn="ctr" rotWithShape="0">
              <a:prstClr val="black">
                <a:alpha val="20000"/>
              </a:prstClr>
            </a:outerShdw>
          </a:effectLst>
        </c:spPr>
      </c:pivotFmt>
      <c:pivotFmt>
        <c:idx val="1708"/>
        <c:spPr>
          <a:solidFill>
            <a:schemeClr val="accent6"/>
          </a:solidFill>
          <a:ln>
            <a:noFill/>
          </a:ln>
          <a:effectLst>
            <a:outerShdw blurRad="254000" sx="102000" sy="102000" algn="ctr" rotWithShape="0">
              <a:prstClr val="black">
                <a:alpha val="20000"/>
              </a:prstClr>
            </a:outerShdw>
          </a:effectLst>
        </c:spPr>
      </c:pivotFmt>
      <c:pivotFmt>
        <c:idx val="1709"/>
        <c:spPr>
          <a:solidFill>
            <a:schemeClr val="accent6"/>
          </a:solidFill>
          <a:ln>
            <a:noFill/>
          </a:ln>
          <a:effectLst>
            <a:outerShdw blurRad="254000" sx="102000" sy="102000" algn="ctr" rotWithShape="0">
              <a:prstClr val="black">
                <a:alpha val="20000"/>
              </a:prstClr>
            </a:outerShdw>
          </a:effectLst>
        </c:spPr>
      </c:pivotFmt>
      <c:pivotFmt>
        <c:idx val="1710"/>
        <c:spPr>
          <a:solidFill>
            <a:schemeClr val="accent6"/>
          </a:solidFill>
          <a:ln>
            <a:noFill/>
          </a:ln>
          <a:effectLst>
            <a:outerShdw blurRad="254000" sx="102000" sy="102000" algn="ctr" rotWithShape="0">
              <a:prstClr val="black">
                <a:alpha val="20000"/>
              </a:prstClr>
            </a:outerShdw>
          </a:effectLst>
        </c:spPr>
      </c:pivotFmt>
      <c:pivotFmt>
        <c:idx val="1711"/>
        <c:spPr>
          <a:solidFill>
            <a:schemeClr val="accent6"/>
          </a:solidFill>
          <a:ln>
            <a:noFill/>
          </a:ln>
          <a:effectLst>
            <a:outerShdw blurRad="254000" sx="102000" sy="102000" algn="ctr" rotWithShape="0">
              <a:prstClr val="black">
                <a:alpha val="20000"/>
              </a:prstClr>
            </a:outerShdw>
          </a:effectLst>
        </c:spPr>
      </c:pivotFmt>
      <c:pivotFmt>
        <c:idx val="1712"/>
        <c:spPr>
          <a:solidFill>
            <a:schemeClr val="accent6"/>
          </a:solidFill>
          <a:ln>
            <a:noFill/>
          </a:ln>
          <a:effectLst>
            <a:outerShdw blurRad="254000" sx="102000" sy="102000" algn="ctr" rotWithShape="0">
              <a:prstClr val="black">
                <a:alpha val="20000"/>
              </a:prstClr>
            </a:outerShdw>
          </a:effectLst>
        </c:spPr>
      </c:pivotFmt>
      <c:pivotFmt>
        <c:idx val="1713"/>
        <c:spPr>
          <a:solidFill>
            <a:schemeClr val="accent6"/>
          </a:solidFill>
          <a:ln>
            <a:noFill/>
          </a:ln>
          <a:effectLst>
            <a:outerShdw blurRad="254000" sx="102000" sy="102000" algn="ctr" rotWithShape="0">
              <a:prstClr val="black">
                <a:alpha val="20000"/>
              </a:prstClr>
            </a:outerShdw>
          </a:effectLst>
        </c:spPr>
      </c:pivotFmt>
      <c:pivotFmt>
        <c:idx val="1714"/>
        <c:spPr>
          <a:solidFill>
            <a:schemeClr val="accent6"/>
          </a:solidFill>
          <a:ln>
            <a:noFill/>
          </a:ln>
          <a:effectLst>
            <a:outerShdw blurRad="254000" sx="102000" sy="102000" algn="ctr" rotWithShape="0">
              <a:prstClr val="black">
                <a:alpha val="20000"/>
              </a:prstClr>
            </a:outerShdw>
          </a:effectLst>
        </c:spPr>
      </c:pivotFmt>
      <c:pivotFmt>
        <c:idx val="1715"/>
        <c:spPr>
          <a:solidFill>
            <a:schemeClr val="accent6"/>
          </a:solidFill>
          <a:ln>
            <a:noFill/>
          </a:ln>
          <a:effectLst>
            <a:outerShdw blurRad="254000" sx="102000" sy="102000" algn="ctr" rotWithShape="0">
              <a:prstClr val="black">
                <a:alpha val="20000"/>
              </a:prstClr>
            </a:outerShdw>
          </a:effectLst>
        </c:spPr>
      </c:pivotFmt>
      <c:pivotFmt>
        <c:idx val="1716"/>
        <c:spPr>
          <a:solidFill>
            <a:schemeClr val="accent6"/>
          </a:solidFill>
          <a:ln>
            <a:noFill/>
          </a:ln>
          <a:effectLst>
            <a:outerShdw blurRad="254000" sx="102000" sy="102000" algn="ctr" rotWithShape="0">
              <a:prstClr val="black">
                <a:alpha val="20000"/>
              </a:prstClr>
            </a:outerShdw>
          </a:effectLst>
        </c:spPr>
      </c:pivotFmt>
      <c:pivotFmt>
        <c:idx val="1717"/>
        <c:spPr>
          <a:solidFill>
            <a:schemeClr val="accent6"/>
          </a:solidFill>
          <a:ln>
            <a:noFill/>
          </a:ln>
          <a:effectLst>
            <a:outerShdw blurRad="254000" sx="102000" sy="102000" algn="ctr" rotWithShape="0">
              <a:prstClr val="black">
                <a:alpha val="20000"/>
              </a:prstClr>
            </a:outerShdw>
          </a:effectLst>
        </c:spPr>
      </c:pivotFmt>
      <c:pivotFmt>
        <c:idx val="1718"/>
        <c:spPr>
          <a:solidFill>
            <a:schemeClr val="accent6"/>
          </a:solidFill>
          <a:ln>
            <a:noFill/>
          </a:ln>
          <a:effectLst>
            <a:outerShdw blurRad="254000" sx="102000" sy="102000" algn="ctr" rotWithShape="0">
              <a:prstClr val="black">
                <a:alpha val="20000"/>
              </a:prstClr>
            </a:outerShdw>
          </a:effectLst>
        </c:spPr>
      </c:pivotFmt>
      <c:pivotFmt>
        <c:idx val="1719"/>
        <c:spPr>
          <a:solidFill>
            <a:schemeClr val="accent6"/>
          </a:solidFill>
          <a:ln>
            <a:noFill/>
          </a:ln>
          <a:effectLst>
            <a:outerShdw blurRad="254000" sx="102000" sy="102000" algn="ctr" rotWithShape="0">
              <a:prstClr val="black">
                <a:alpha val="20000"/>
              </a:prstClr>
            </a:outerShdw>
          </a:effectLst>
        </c:spPr>
      </c:pivotFmt>
      <c:pivotFmt>
        <c:idx val="1720"/>
        <c:spPr>
          <a:solidFill>
            <a:schemeClr val="accent6"/>
          </a:solidFill>
          <a:ln>
            <a:noFill/>
          </a:ln>
          <a:effectLst>
            <a:outerShdw blurRad="254000" sx="102000" sy="102000" algn="ctr" rotWithShape="0">
              <a:prstClr val="black">
                <a:alpha val="20000"/>
              </a:prstClr>
            </a:outerShdw>
          </a:effectLst>
        </c:spPr>
      </c:pivotFmt>
      <c:pivotFmt>
        <c:idx val="1721"/>
        <c:spPr>
          <a:solidFill>
            <a:schemeClr val="accent6"/>
          </a:solidFill>
          <a:ln>
            <a:noFill/>
          </a:ln>
          <a:effectLst>
            <a:outerShdw blurRad="254000" sx="102000" sy="102000" algn="ctr" rotWithShape="0">
              <a:prstClr val="black">
                <a:alpha val="20000"/>
              </a:prstClr>
            </a:outerShdw>
          </a:effectLst>
        </c:spPr>
      </c:pivotFmt>
      <c:pivotFmt>
        <c:idx val="1722"/>
        <c:spPr>
          <a:solidFill>
            <a:schemeClr val="accent6"/>
          </a:solidFill>
          <a:ln>
            <a:noFill/>
          </a:ln>
          <a:effectLst>
            <a:outerShdw blurRad="254000" sx="102000" sy="102000" algn="ctr" rotWithShape="0">
              <a:prstClr val="black">
                <a:alpha val="20000"/>
              </a:prstClr>
            </a:outerShdw>
          </a:effectLst>
        </c:spPr>
      </c:pivotFmt>
      <c:pivotFmt>
        <c:idx val="1723"/>
        <c:spPr>
          <a:solidFill>
            <a:schemeClr val="accent6"/>
          </a:solidFill>
          <a:ln>
            <a:noFill/>
          </a:ln>
          <a:effectLst>
            <a:outerShdw blurRad="254000" sx="102000" sy="102000" algn="ctr" rotWithShape="0">
              <a:prstClr val="black">
                <a:alpha val="20000"/>
              </a:prstClr>
            </a:outerShdw>
          </a:effectLst>
        </c:spPr>
      </c:pivotFmt>
      <c:pivotFmt>
        <c:idx val="1724"/>
        <c:spPr>
          <a:solidFill>
            <a:schemeClr val="accent6"/>
          </a:solidFill>
          <a:ln>
            <a:noFill/>
          </a:ln>
          <a:effectLst>
            <a:outerShdw blurRad="254000" sx="102000" sy="102000" algn="ctr" rotWithShape="0">
              <a:prstClr val="black">
                <a:alpha val="20000"/>
              </a:prstClr>
            </a:outerShdw>
          </a:effectLst>
        </c:spPr>
      </c:pivotFmt>
      <c:pivotFmt>
        <c:idx val="1725"/>
        <c:spPr>
          <a:solidFill>
            <a:schemeClr val="accent6"/>
          </a:solidFill>
          <a:ln>
            <a:noFill/>
          </a:ln>
          <a:effectLst>
            <a:outerShdw blurRad="254000" sx="102000" sy="102000" algn="ctr" rotWithShape="0">
              <a:prstClr val="black">
                <a:alpha val="20000"/>
              </a:prstClr>
            </a:outerShdw>
          </a:effectLst>
        </c:spPr>
      </c:pivotFmt>
      <c:pivotFmt>
        <c:idx val="1726"/>
        <c:spPr>
          <a:solidFill>
            <a:schemeClr val="accent6"/>
          </a:solidFill>
          <a:ln>
            <a:noFill/>
          </a:ln>
          <a:effectLst>
            <a:outerShdw blurRad="254000" sx="102000" sy="102000" algn="ctr" rotWithShape="0">
              <a:prstClr val="black">
                <a:alpha val="20000"/>
              </a:prstClr>
            </a:outerShdw>
          </a:effectLst>
        </c:spPr>
      </c:pivotFmt>
      <c:pivotFmt>
        <c:idx val="1727"/>
        <c:spPr>
          <a:solidFill>
            <a:schemeClr val="accent6"/>
          </a:solidFill>
          <a:ln>
            <a:noFill/>
          </a:ln>
          <a:effectLst>
            <a:outerShdw blurRad="254000" sx="102000" sy="102000" algn="ctr" rotWithShape="0">
              <a:prstClr val="black">
                <a:alpha val="20000"/>
              </a:prstClr>
            </a:outerShdw>
          </a:effectLst>
        </c:spPr>
      </c:pivotFmt>
      <c:pivotFmt>
        <c:idx val="1728"/>
        <c:spPr>
          <a:solidFill>
            <a:schemeClr val="accent6"/>
          </a:solidFill>
          <a:ln>
            <a:noFill/>
          </a:ln>
          <a:effectLst>
            <a:outerShdw blurRad="254000" sx="102000" sy="102000" algn="ctr" rotWithShape="0">
              <a:prstClr val="black">
                <a:alpha val="20000"/>
              </a:prstClr>
            </a:outerShdw>
          </a:effectLst>
        </c:spPr>
      </c:pivotFmt>
      <c:pivotFmt>
        <c:idx val="1729"/>
        <c:spPr>
          <a:solidFill>
            <a:schemeClr val="accent6"/>
          </a:solidFill>
          <a:ln>
            <a:noFill/>
          </a:ln>
          <a:effectLst>
            <a:outerShdw blurRad="254000" sx="102000" sy="102000" algn="ctr" rotWithShape="0">
              <a:prstClr val="black">
                <a:alpha val="20000"/>
              </a:prstClr>
            </a:outerShdw>
          </a:effectLst>
        </c:spPr>
      </c:pivotFmt>
      <c:pivotFmt>
        <c:idx val="1730"/>
        <c:spPr>
          <a:solidFill>
            <a:schemeClr val="accent6"/>
          </a:solidFill>
          <a:ln>
            <a:noFill/>
          </a:ln>
          <a:effectLst>
            <a:outerShdw blurRad="254000" sx="102000" sy="102000" algn="ctr" rotWithShape="0">
              <a:prstClr val="black">
                <a:alpha val="20000"/>
              </a:prstClr>
            </a:outerShdw>
          </a:effectLst>
        </c:spPr>
      </c:pivotFmt>
      <c:pivotFmt>
        <c:idx val="1731"/>
        <c:spPr>
          <a:solidFill>
            <a:schemeClr val="accent6"/>
          </a:solidFill>
          <a:ln>
            <a:noFill/>
          </a:ln>
          <a:effectLst>
            <a:outerShdw blurRad="254000" sx="102000" sy="102000" algn="ctr" rotWithShape="0">
              <a:prstClr val="black">
                <a:alpha val="20000"/>
              </a:prstClr>
            </a:outerShdw>
          </a:effectLst>
        </c:spPr>
      </c:pivotFmt>
      <c:pivotFmt>
        <c:idx val="1732"/>
        <c:spPr>
          <a:solidFill>
            <a:schemeClr val="accent6"/>
          </a:solidFill>
          <a:ln>
            <a:noFill/>
          </a:ln>
          <a:effectLst>
            <a:outerShdw blurRad="254000" sx="102000" sy="102000" algn="ctr" rotWithShape="0">
              <a:prstClr val="black">
                <a:alpha val="20000"/>
              </a:prstClr>
            </a:outerShdw>
          </a:effectLst>
        </c:spPr>
      </c:pivotFmt>
      <c:pivotFmt>
        <c:idx val="1733"/>
        <c:spPr>
          <a:solidFill>
            <a:schemeClr val="accent6"/>
          </a:solidFill>
          <a:ln>
            <a:noFill/>
          </a:ln>
          <a:effectLst>
            <a:outerShdw blurRad="254000" sx="102000" sy="102000" algn="ctr" rotWithShape="0">
              <a:prstClr val="black">
                <a:alpha val="20000"/>
              </a:prstClr>
            </a:outerShdw>
          </a:effectLst>
        </c:spPr>
      </c:pivotFmt>
      <c:pivotFmt>
        <c:idx val="1734"/>
        <c:spPr>
          <a:solidFill>
            <a:schemeClr val="accent6"/>
          </a:solidFill>
          <a:ln>
            <a:noFill/>
          </a:ln>
          <a:effectLst>
            <a:outerShdw blurRad="254000" sx="102000" sy="102000" algn="ctr" rotWithShape="0">
              <a:prstClr val="black">
                <a:alpha val="20000"/>
              </a:prstClr>
            </a:outerShdw>
          </a:effectLst>
        </c:spPr>
      </c:pivotFmt>
      <c:pivotFmt>
        <c:idx val="1735"/>
        <c:spPr>
          <a:solidFill>
            <a:schemeClr val="accent6"/>
          </a:solidFill>
          <a:ln>
            <a:noFill/>
          </a:ln>
          <a:effectLst>
            <a:outerShdw blurRad="254000" sx="102000" sy="102000" algn="ctr" rotWithShape="0">
              <a:prstClr val="black">
                <a:alpha val="20000"/>
              </a:prstClr>
            </a:outerShdw>
          </a:effectLst>
        </c:spPr>
      </c:pivotFmt>
      <c:pivotFmt>
        <c:idx val="1736"/>
        <c:spPr>
          <a:solidFill>
            <a:schemeClr val="accent6"/>
          </a:solidFill>
          <a:ln>
            <a:noFill/>
          </a:ln>
          <a:effectLst>
            <a:outerShdw blurRad="254000" sx="102000" sy="102000" algn="ctr" rotWithShape="0">
              <a:prstClr val="black">
                <a:alpha val="20000"/>
              </a:prstClr>
            </a:outerShdw>
          </a:effectLst>
        </c:spPr>
      </c:pivotFmt>
      <c:pivotFmt>
        <c:idx val="1737"/>
        <c:spPr>
          <a:solidFill>
            <a:schemeClr val="accent6"/>
          </a:solidFill>
          <a:ln>
            <a:noFill/>
          </a:ln>
          <a:effectLst>
            <a:outerShdw blurRad="254000" sx="102000" sy="102000" algn="ctr" rotWithShape="0">
              <a:prstClr val="black">
                <a:alpha val="20000"/>
              </a:prstClr>
            </a:outerShdw>
          </a:effectLst>
        </c:spPr>
      </c:pivotFmt>
      <c:pivotFmt>
        <c:idx val="1738"/>
        <c:spPr>
          <a:solidFill>
            <a:schemeClr val="accent6"/>
          </a:solidFill>
          <a:ln>
            <a:noFill/>
          </a:ln>
          <a:effectLst>
            <a:outerShdw blurRad="254000" sx="102000" sy="102000" algn="ctr" rotWithShape="0">
              <a:prstClr val="black">
                <a:alpha val="20000"/>
              </a:prstClr>
            </a:outerShdw>
          </a:effectLst>
        </c:spPr>
      </c:pivotFmt>
      <c:pivotFmt>
        <c:idx val="1739"/>
        <c:spPr>
          <a:solidFill>
            <a:schemeClr val="accent6"/>
          </a:solidFill>
          <a:ln>
            <a:noFill/>
          </a:ln>
          <a:effectLst>
            <a:outerShdw blurRad="254000" sx="102000" sy="102000" algn="ctr" rotWithShape="0">
              <a:prstClr val="black">
                <a:alpha val="20000"/>
              </a:prstClr>
            </a:outerShdw>
          </a:effectLst>
        </c:spPr>
      </c:pivotFmt>
      <c:pivotFmt>
        <c:idx val="1740"/>
        <c:spPr>
          <a:solidFill>
            <a:schemeClr val="accent6"/>
          </a:solidFill>
          <a:ln>
            <a:noFill/>
          </a:ln>
          <a:effectLst>
            <a:outerShdw blurRad="254000" sx="102000" sy="102000" algn="ctr" rotWithShape="0">
              <a:prstClr val="black">
                <a:alpha val="20000"/>
              </a:prstClr>
            </a:outerShdw>
          </a:effectLst>
        </c:spPr>
      </c:pivotFmt>
      <c:pivotFmt>
        <c:idx val="1741"/>
        <c:spPr>
          <a:solidFill>
            <a:schemeClr val="accent6"/>
          </a:solidFill>
          <a:ln>
            <a:noFill/>
          </a:ln>
          <a:effectLst>
            <a:outerShdw blurRad="254000" sx="102000" sy="102000" algn="ctr" rotWithShape="0">
              <a:prstClr val="black">
                <a:alpha val="20000"/>
              </a:prstClr>
            </a:outerShdw>
          </a:effectLst>
        </c:spPr>
      </c:pivotFmt>
      <c:pivotFmt>
        <c:idx val="1742"/>
        <c:spPr>
          <a:solidFill>
            <a:schemeClr val="accent6"/>
          </a:solidFill>
          <a:ln>
            <a:noFill/>
          </a:ln>
          <a:effectLst>
            <a:outerShdw blurRad="254000" sx="102000" sy="102000" algn="ctr" rotWithShape="0">
              <a:prstClr val="black">
                <a:alpha val="20000"/>
              </a:prstClr>
            </a:outerShdw>
          </a:effectLst>
        </c:spPr>
      </c:pivotFmt>
      <c:pivotFmt>
        <c:idx val="1743"/>
        <c:spPr>
          <a:solidFill>
            <a:schemeClr val="accent6"/>
          </a:solidFill>
          <a:ln>
            <a:noFill/>
          </a:ln>
          <a:effectLst>
            <a:outerShdw blurRad="254000" sx="102000" sy="102000" algn="ctr" rotWithShape="0">
              <a:prstClr val="black">
                <a:alpha val="20000"/>
              </a:prstClr>
            </a:outerShdw>
          </a:effectLst>
        </c:spPr>
      </c:pivotFmt>
      <c:pivotFmt>
        <c:idx val="1744"/>
        <c:spPr>
          <a:solidFill>
            <a:schemeClr val="accent6"/>
          </a:solidFill>
          <a:ln>
            <a:noFill/>
          </a:ln>
          <a:effectLst>
            <a:outerShdw blurRad="254000" sx="102000" sy="102000" algn="ctr" rotWithShape="0">
              <a:prstClr val="black">
                <a:alpha val="20000"/>
              </a:prstClr>
            </a:outerShdw>
          </a:effectLst>
        </c:spPr>
      </c:pivotFmt>
      <c:pivotFmt>
        <c:idx val="1745"/>
        <c:spPr>
          <a:solidFill>
            <a:schemeClr val="accent6"/>
          </a:solidFill>
          <a:ln>
            <a:noFill/>
          </a:ln>
          <a:effectLst>
            <a:outerShdw blurRad="254000" sx="102000" sy="102000" algn="ctr" rotWithShape="0">
              <a:prstClr val="black">
                <a:alpha val="20000"/>
              </a:prstClr>
            </a:outerShdw>
          </a:effectLst>
        </c:spPr>
      </c:pivotFmt>
      <c:pivotFmt>
        <c:idx val="1746"/>
        <c:spPr>
          <a:solidFill>
            <a:schemeClr val="accent6"/>
          </a:solidFill>
          <a:ln>
            <a:noFill/>
          </a:ln>
          <a:effectLst>
            <a:outerShdw blurRad="254000" sx="102000" sy="102000" algn="ctr" rotWithShape="0">
              <a:prstClr val="black">
                <a:alpha val="20000"/>
              </a:prstClr>
            </a:outerShdw>
          </a:effectLst>
        </c:spPr>
      </c:pivotFmt>
      <c:pivotFmt>
        <c:idx val="1747"/>
        <c:spPr>
          <a:solidFill>
            <a:schemeClr val="accent6"/>
          </a:solidFill>
          <a:ln>
            <a:noFill/>
          </a:ln>
          <a:effectLst>
            <a:outerShdw blurRad="254000" sx="102000" sy="102000" algn="ctr" rotWithShape="0">
              <a:prstClr val="black">
                <a:alpha val="20000"/>
              </a:prstClr>
            </a:outerShdw>
          </a:effectLst>
        </c:spPr>
      </c:pivotFmt>
      <c:pivotFmt>
        <c:idx val="1748"/>
        <c:spPr>
          <a:solidFill>
            <a:schemeClr val="accent6"/>
          </a:solidFill>
          <a:ln>
            <a:noFill/>
          </a:ln>
          <a:effectLst>
            <a:outerShdw blurRad="254000" sx="102000" sy="102000" algn="ctr" rotWithShape="0">
              <a:prstClr val="black">
                <a:alpha val="20000"/>
              </a:prstClr>
            </a:outerShdw>
          </a:effectLst>
        </c:spPr>
      </c:pivotFmt>
      <c:pivotFmt>
        <c:idx val="1749"/>
        <c:spPr>
          <a:solidFill>
            <a:schemeClr val="accent6"/>
          </a:solidFill>
          <a:ln>
            <a:noFill/>
          </a:ln>
          <a:effectLst>
            <a:outerShdw blurRad="254000" sx="102000" sy="102000" algn="ctr" rotWithShape="0">
              <a:prstClr val="black">
                <a:alpha val="20000"/>
              </a:prstClr>
            </a:outerShdw>
          </a:effectLst>
        </c:spPr>
      </c:pivotFmt>
      <c:pivotFmt>
        <c:idx val="1750"/>
        <c:spPr>
          <a:solidFill>
            <a:schemeClr val="accent6"/>
          </a:solidFill>
          <a:ln>
            <a:noFill/>
          </a:ln>
          <a:effectLst>
            <a:outerShdw blurRad="254000" sx="102000" sy="102000" algn="ctr" rotWithShape="0">
              <a:prstClr val="black">
                <a:alpha val="20000"/>
              </a:prstClr>
            </a:outerShdw>
          </a:effectLst>
        </c:spPr>
      </c:pivotFmt>
      <c:pivotFmt>
        <c:idx val="1751"/>
        <c:spPr>
          <a:solidFill>
            <a:schemeClr val="accent6"/>
          </a:solidFill>
          <a:ln>
            <a:noFill/>
          </a:ln>
          <a:effectLst>
            <a:outerShdw blurRad="254000" sx="102000" sy="102000" algn="ctr" rotWithShape="0">
              <a:prstClr val="black">
                <a:alpha val="20000"/>
              </a:prstClr>
            </a:outerShdw>
          </a:effectLst>
        </c:spPr>
      </c:pivotFmt>
      <c:pivotFmt>
        <c:idx val="1752"/>
        <c:spPr>
          <a:solidFill>
            <a:schemeClr val="accent6"/>
          </a:solidFill>
          <a:ln>
            <a:noFill/>
          </a:ln>
          <a:effectLst>
            <a:outerShdw blurRad="254000" sx="102000" sy="102000" algn="ctr" rotWithShape="0">
              <a:prstClr val="black">
                <a:alpha val="20000"/>
              </a:prstClr>
            </a:outerShdw>
          </a:effectLst>
        </c:spPr>
      </c:pivotFmt>
      <c:pivotFmt>
        <c:idx val="1753"/>
        <c:spPr>
          <a:solidFill>
            <a:schemeClr val="accent6"/>
          </a:solidFill>
          <a:ln>
            <a:noFill/>
          </a:ln>
          <a:effectLst>
            <a:outerShdw blurRad="254000" sx="102000" sy="102000" algn="ctr" rotWithShape="0">
              <a:prstClr val="black">
                <a:alpha val="20000"/>
              </a:prstClr>
            </a:outerShdw>
          </a:effectLst>
        </c:spPr>
      </c:pivotFmt>
      <c:pivotFmt>
        <c:idx val="1754"/>
        <c:spPr>
          <a:solidFill>
            <a:schemeClr val="accent6"/>
          </a:solidFill>
          <a:ln>
            <a:noFill/>
          </a:ln>
          <a:effectLst>
            <a:outerShdw blurRad="254000" sx="102000" sy="102000" algn="ctr" rotWithShape="0">
              <a:prstClr val="black">
                <a:alpha val="20000"/>
              </a:prstClr>
            </a:outerShdw>
          </a:effectLst>
        </c:spPr>
      </c:pivotFmt>
      <c:pivotFmt>
        <c:idx val="1755"/>
        <c:spPr>
          <a:solidFill>
            <a:schemeClr val="accent6"/>
          </a:solidFill>
          <a:ln>
            <a:noFill/>
          </a:ln>
          <a:effectLst>
            <a:outerShdw blurRad="254000" sx="102000" sy="102000" algn="ctr" rotWithShape="0">
              <a:prstClr val="black">
                <a:alpha val="20000"/>
              </a:prstClr>
            </a:outerShdw>
          </a:effectLst>
        </c:spPr>
      </c:pivotFmt>
      <c:pivotFmt>
        <c:idx val="1756"/>
        <c:spPr>
          <a:solidFill>
            <a:schemeClr val="accent6"/>
          </a:solidFill>
          <a:ln>
            <a:noFill/>
          </a:ln>
          <a:effectLst>
            <a:outerShdw blurRad="254000" sx="102000" sy="102000" algn="ctr" rotWithShape="0">
              <a:prstClr val="black">
                <a:alpha val="20000"/>
              </a:prstClr>
            </a:outerShdw>
          </a:effectLst>
        </c:spPr>
      </c:pivotFmt>
      <c:pivotFmt>
        <c:idx val="1757"/>
        <c:spPr>
          <a:solidFill>
            <a:schemeClr val="accent6"/>
          </a:solidFill>
          <a:ln>
            <a:noFill/>
          </a:ln>
          <a:effectLst>
            <a:outerShdw blurRad="254000" sx="102000" sy="102000" algn="ctr" rotWithShape="0">
              <a:prstClr val="black">
                <a:alpha val="20000"/>
              </a:prstClr>
            </a:outerShdw>
          </a:effectLst>
        </c:spPr>
      </c:pivotFmt>
      <c:pivotFmt>
        <c:idx val="1758"/>
        <c:spPr>
          <a:solidFill>
            <a:schemeClr val="accent6"/>
          </a:solidFill>
          <a:ln>
            <a:noFill/>
          </a:ln>
          <a:effectLst>
            <a:outerShdw blurRad="254000" sx="102000" sy="102000" algn="ctr" rotWithShape="0">
              <a:prstClr val="black">
                <a:alpha val="20000"/>
              </a:prstClr>
            </a:outerShdw>
          </a:effectLst>
        </c:spPr>
      </c:pivotFmt>
      <c:pivotFmt>
        <c:idx val="1759"/>
        <c:spPr>
          <a:solidFill>
            <a:schemeClr val="accent6"/>
          </a:solidFill>
          <a:ln>
            <a:noFill/>
          </a:ln>
          <a:effectLst>
            <a:outerShdw blurRad="254000" sx="102000" sy="102000" algn="ctr" rotWithShape="0">
              <a:prstClr val="black">
                <a:alpha val="20000"/>
              </a:prstClr>
            </a:outerShdw>
          </a:effectLst>
        </c:spPr>
      </c:pivotFmt>
      <c:pivotFmt>
        <c:idx val="1760"/>
        <c:spPr>
          <a:solidFill>
            <a:schemeClr val="accent6"/>
          </a:solidFill>
          <a:ln>
            <a:noFill/>
          </a:ln>
          <a:effectLst>
            <a:outerShdw blurRad="254000" sx="102000" sy="102000" algn="ctr" rotWithShape="0">
              <a:prstClr val="black">
                <a:alpha val="20000"/>
              </a:prstClr>
            </a:outerShdw>
          </a:effectLst>
        </c:spPr>
      </c:pivotFmt>
      <c:pivotFmt>
        <c:idx val="1761"/>
        <c:spPr>
          <a:solidFill>
            <a:schemeClr val="accent6"/>
          </a:solidFill>
          <a:ln>
            <a:noFill/>
          </a:ln>
          <a:effectLst>
            <a:outerShdw blurRad="254000" sx="102000" sy="102000" algn="ctr" rotWithShape="0">
              <a:prstClr val="black">
                <a:alpha val="20000"/>
              </a:prstClr>
            </a:outerShdw>
          </a:effectLst>
        </c:spPr>
      </c:pivotFmt>
      <c:pivotFmt>
        <c:idx val="1762"/>
        <c:spPr>
          <a:solidFill>
            <a:schemeClr val="accent6"/>
          </a:solidFill>
          <a:ln>
            <a:noFill/>
          </a:ln>
          <a:effectLst>
            <a:outerShdw blurRad="254000" sx="102000" sy="102000" algn="ctr" rotWithShape="0">
              <a:prstClr val="black">
                <a:alpha val="20000"/>
              </a:prstClr>
            </a:outerShdw>
          </a:effectLst>
        </c:spPr>
      </c:pivotFmt>
      <c:pivotFmt>
        <c:idx val="1763"/>
        <c:spPr>
          <a:solidFill>
            <a:schemeClr val="accent6"/>
          </a:solidFill>
          <a:ln>
            <a:noFill/>
          </a:ln>
          <a:effectLst>
            <a:outerShdw blurRad="254000" sx="102000" sy="102000" algn="ctr" rotWithShape="0">
              <a:prstClr val="black">
                <a:alpha val="20000"/>
              </a:prstClr>
            </a:outerShdw>
          </a:effectLst>
        </c:spPr>
      </c:pivotFmt>
      <c:pivotFmt>
        <c:idx val="1764"/>
        <c:spPr>
          <a:solidFill>
            <a:schemeClr val="accent6"/>
          </a:solidFill>
          <a:ln>
            <a:noFill/>
          </a:ln>
          <a:effectLst>
            <a:outerShdw blurRad="254000" sx="102000" sy="102000" algn="ctr" rotWithShape="0">
              <a:prstClr val="black">
                <a:alpha val="20000"/>
              </a:prstClr>
            </a:outerShdw>
          </a:effectLst>
        </c:spPr>
      </c:pivotFmt>
      <c:pivotFmt>
        <c:idx val="1765"/>
        <c:spPr>
          <a:solidFill>
            <a:schemeClr val="accent6"/>
          </a:solidFill>
          <a:ln>
            <a:noFill/>
          </a:ln>
          <a:effectLst>
            <a:outerShdw blurRad="254000" sx="102000" sy="102000" algn="ctr" rotWithShape="0">
              <a:prstClr val="black">
                <a:alpha val="20000"/>
              </a:prstClr>
            </a:outerShdw>
          </a:effectLst>
        </c:spPr>
      </c:pivotFmt>
      <c:pivotFmt>
        <c:idx val="1766"/>
        <c:spPr>
          <a:solidFill>
            <a:schemeClr val="accent6"/>
          </a:solidFill>
          <a:ln>
            <a:noFill/>
          </a:ln>
          <a:effectLst>
            <a:outerShdw blurRad="254000" sx="102000" sy="102000" algn="ctr" rotWithShape="0">
              <a:prstClr val="black">
                <a:alpha val="20000"/>
              </a:prstClr>
            </a:outerShdw>
          </a:effectLst>
        </c:spPr>
      </c:pivotFmt>
      <c:pivotFmt>
        <c:idx val="1767"/>
        <c:spPr>
          <a:solidFill>
            <a:schemeClr val="accent6"/>
          </a:solidFill>
          <a:ln>
            <a:noFill/>
          </a:ln>
          <a:effectLst>
            <a:outerShdw blurRad="254000" sx="102000" sy="102000" algn="ctr" rotWithShape="0">
              <a:prstClr val="black">
                <a:alpha val="20000"/>
              </a:prstClr>
            </a:outerShdw>
          </a:effectLst>
        </c:spPr>
      </c:pivotFmt>
      <c:pivotFmt>
        <c:idx val="1768"/>
        <c:spPr>
          <a:solidFill>
            <a:schemeClr val="accent6"/>
          </a:solidFill>
          <a:ln>
            <a:noFill/>
          </a:ln>
          <a:effectLst>
            <a:outerShdw blurRad="254000" sx="102000" sy="102000" algn="ctr" rotWithShape="0">
              <a:prstClr val="black">
                <a:alpha val="20000"/>
              </a:prstClr>
            </a:outerShdw>
          </a:effectLst>
        </c:spPr>
      </c:pivotFmt>
      <c:pivotFmt>
        <c:idx val="1769"/>
        <c:spPr>
          <a:solidFill>
            <a:schemeClr val="accent6"/>
          </a:solidFill>
          <a:ln>
            <a:noFill/>
          </a:ln>
          <a:effectLst>
            <a:outerShdw blurRad="254000" sx="102000" sy="102000" algn="ctr" rotWithShape="0">
              <a:prstClr val="black">
                <a:alpha val="20000"/>
              </a:prstClr>
            </a:outerShdw>
          </a:effectLst>
        </c:spPr>
      </c:pivotFmt>
      <c:pivotFmt>
        <c:idx val="1770"/>
        <c:spPr>
          <a:solidFill>
            <a:schemeClr val="accent6"/>
          </a:solidFill>
          <a:ln>
            <a:noFill/>
          </a:ln>
          <a:effectLst>
            <a:outerShdw blurRad="254000" sx="102000" sy="102000" algn="ctr" rotWithShape="0">
              <a:prstClr val="black">
                <a:alpha val="20000"/>
              </a:prstClr>
            </a:outerShdw>
          </a:effectLst>
        </c:spPr>
      </c:pivotFmt>
      <c:pivotFmt>
        <c:idx val="1771"/>
        <c:spPr>
          <a:solidFill>
            <a:schemeClr val="accent6"/>
          </a:solidFill>
          <a:ln>
            <a:noFill/>
          </a:ln>
          <a:effectLst>
            <a:outerShdw blurRad="254000" sx="102000" sy="102000" algn="ctr" rotWithShape="0">
              <a:prstClr val="black">
                <a:alpha val="20000"/>
              </a:prstClr>
            </a:outerShdw>
          </a:effectLst>
        </c:spPr>
      </c:pivotFmt>
      <c:pivotFmt>
        <c:idx val="1772"/>
        <c:spPr>
          <a:solidFill>
            <a:schemeClr val="accent6"/>
          </a:solidFill>
          <a:ln>
            <a:noFill/>
          </a:ln>
          <a:effectLst>
            <a:outerShdw blurRad="254000" sx="102000" sy="102000" algn="ctr" rotWithShape="0">
              <a:prstClr val="black">
                <a:alpha val="20000"/>
              </a:prstClr>
            </a:outerShdw>
          </a:effectLst>
        </c:spPr>
      </c:pivotFmt>
      <c:pivotFmt>
        <c:idx val="1773"/>
        <c:spPr>
          <a:solidFill>
            <a:schemeClr val="accent6"/>
          </a:solidFill>
          <a:ln>
            <a:noFill/>
          </a:ln>
          <a:effectLst>
            <a:outerShdw blurRad="254000" sx="102000" sy="102000" algn="ctr" rotWithShape="0">
              <a:prstClr val="black">
                <a:alpha val="20000"/>
              </a:prstClr>
            </a:outerShdw>
          </a:effectLst>
        </c:spPr>
      </c:pivotFmt>
      <c:pivotFmt>
        <c:idx val="1774"/>
        <c:spPr>
          <a:solidFill>
            <a:schemeClr val="accent6"/>
          </a:solidFill>
          <a:ln>
            <a:noFill/>
          </a:ln>
          <a:effectLst>
            <a:outerShdw blurRad="254000" sx="102000" sy="102000" algn="ctr" rotWithShape="0">
              <a:prstClr val="black">
                <a:alpha val="20000"/>
              </a:prstClr>
            </a:outerShdw>
          </a:effectLst>
        </c:spPr>
      </c:pivotFmt>
      <c:pivotFmt>
        <c:idx val="177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7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77"/>
        <c:spPr>
          <a:solidFill>
            <a:schemeClr val="accent6"/>
          </a:solidFill>
          <a:ln>
            <a:noFill/>
          </a:ln>
          <a:effectLst>
            <a:outerShdw blurRad="254000" sx="102000" sy="102000" algn="ctr" rotWithShape="0">
              <a:prstClr val="black">
                <a:alpha val="20000"/>
              </a:prstClr>
            </a:outerShdw>
          </a:effectLst>
        </c:spPr>
      </c:pivotFmt>
      <c:pivotFmt>
        <c:idx val="1778"/>
        <c:spPr>
          <a:solidFill>
            <a:schemeClr val="accent6"/>
          </a:solidFill>
          <a:ln>
            <a:noFill/>
          </a:ln>
          <a:effectLst>
            <a:outerShdw blurRad="254000" sx="102000" sy="102000" algn="ctr" rotWithShape="0">
              <a:prstClr val="black">
                <a:alpha val="20000"/>
              </a:prstClr>
            </a:outerShdw>
          </a:effectLst>
        </c:spPr>
      </c:pivotFmt>
      <c:pivotFmt>
        <c:idx val="1779"/>
        <c:spPr>
          <a:solidFill>
            <a:schemeClr val="accent6"/>
          </a:solidFill>
          <a:ln>
            <a:noFill/>
          </a:ln>
          <a:effectLst>
            <a:outerShdw blurRad="254000" sx="102000" sy="102000" algn="ctr" rotWithShape="0">
              <a:prstClr val="black">
                <a:alpha val="20000"/>
              </a:prstClr>
            </a:outerShdw>
          </a:effectLst>
        </c:spPr>
      </c:pivotFmt>
      <c:pivotFmt>
        <c:idx val="1780"/>
        <c:spPr>
          <a:solidFill>
            <a:schemeClr val="accent6"/>
          </a:solidFill>
          <a:ln>
            <a:noFill/>
          </a:ln>
          <a:effectLst>
            <a:outerShdw blurRad="254000" sx="102000" sy="102000" algn="ctr" rotWithShape="0">
              <a:prstClr val="black">
                <a:alpha val="20000"/>
              </a:prstClr>
            </a:outerShdw>
          </a:effectLst>
        </c:spPr>
      </c:pivotFmt>
      <c:pivotFmt>
        <c:idx val="1781"/>
        <c:spPr>
          <a:solidFill>
            <a:schemeClr val="accent6"/>
          </a:solidFill>
          <a:ln>
            <a:noFill/>
          </a:ln>
          <a:effectLst>
            <a:outerShdw blurRad="254000" sx="102000" sy="102000" algn="ctr" rotWithShape="0">
              <a:prstClr val="black">
                <a:alpha val="20000"/>
              </a:prstClr>
            </a:outerShdw>
          </a:effectLst>
        </c:spPr>
      </c:pivotFmt>
      <c:pivotFmt>
        <c:idx val="1782"/>
        <c:spPr>
          <a:solidFill>
            <a:schemeClr val="accent6"/>
          </a:solidFill>
          <a:ln>
            <a:noFill/>
          </a:ln>
          <a:effectLst>
            <a:outerShdw blurRad="254000" sx="102000" sy="102000" algn="ctr" rotWithShape="0">
              <a:prstClr val="black">
                <a:alpha val="20000"/>
              </a:prstClr>
            </a:outerShdw>
          </a:effectLst>
        </c:spPr>
      </c:pivotFmt>
      <c:pivotFmt>
        <c:idx val="1783"/>
        <c:spPr>
          <a:solidFill>
            <a:schemeClr val="accent6"/>
          </a:solidFill>
          <a:ln>
            <a:noFill/>
          </a:ln>
          <a:effectLst>
            <a:outerShdw blurRad="254000" sx="102000" sy="102000" algn="ctr" rotWithShape="0">
              <a:prstClr val="black">
                <a:alpha val="20000"/>
              </a:prstClr>
            </a:outerShdw>
          </a:effectLst>
        </c:spPr>
      </c:pivotFmt>
      <c:pivotFmt>
        <c:idx val="1784"/>
        <c:spPr>
          <a:solidFill>
            <a:schemeClr val="accent6"/>
          </a:solidFill>
          <a:ln>
            <a:noFill/>
          </a:ln>
          <a:effectLst>
            <a:outerShdw blurRad="254000" sx="102000" sy="102000" algn="ctr" rotWithShape="0">
              <a:prstClr val="black">
                <a:alpha val="20000"/>
              </a:prstClr>
            </a:outerShdw>
          </a:effectLst>
        </c:spPr>
      </c:pivotFmt>
      <c:pivotFmt>
        <c:idx val="1785"/>
        <c:spPr>
          <a:solidFill>
            <a:schemeClr val="accent6"/>
          </a:solidFill>
          <a:ln>
            <a:noFill/>
          </a:ln>
          <a:effectLst>
            <a:outerShdw blurRad="254000" sx="102000" sy="102000" algn="ctr" rotWithShape="0">
              <a:prstClr val="black">
                <a:alpha val="20000"/>
              </a:prstClr>
            </a:outerShdw>
          </a:effectLst>
        </c:spPr>
      </c:pivotFmt>
      <c:pivotFmt>
        <c:idx val="178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87"/>
        <c:spPr>
          <a:solidFill>
            <a:schemeClr val="accent6"/>
          </a:solidFill>
          <a:ln>
            <a:noFill/>
          </a:ln>
          <a:effectLst>
            <a:outerShdw blurRad="254000" sx="102000" sy="102000" algn="ctr" rotWithShape="0">
              <a:prstClr val="black">
                <a:alpha val="20000"/>
              </a:prstClr>
            </a:outerShdw>
          </a:effectLst>
        </c:spPr>
      </c:pivotFmt>
      <c:pivotFmt>
        <c:idx val="1788"/>
        <c:spPr>
          <a:solidFill>
            <a:schemeClr val="accent6"/>
          </a:solidFill>
          <a:ln>
            <a:noFill/>
          </a:ln>
          <a:effectLst>
            <a:outerShdw blurRad="254000" sx="102000" sy="102000" algn="ctr" rotWithShape="0">
              <a:prstClr val="black">
                <a:alpha val="20000"/>
              </a:prstClr>
            </a:outerShdw>
          </a:effectLst>
        </c:spPr>
      </c:pivotFmt>
      <c:pivotFmt>
        <c:idx val="1789"/>
        <c:spPr>
          <a:solidFill>
            <a:schemeClr val="accent6"/>
          </a:solidFill>
          <a:ln>
            <a:noFill/>
          </a:ln>
          <a:effectLst>
            <a:outerShdw blurRad="254000" sx="102000" sy="102000" algn="ctr" rotWithShape="0">
              <a:prstClr val="black">
                <a:alpha val="20000"/>
              </a:prstClr>
            </a:outerShdw>
          </a:effectLst>
        </c:spPr>
      </c:pivotFmt>
      <c:pivotFmt>
        <c:idx val="1790"/>
        <c:spPr>
          <a:solidFill>
            <a:schemeClr val="accent6"/>
          </a:solidFill>
          <a:ln>
            <a:noFill/>
          </a:ln>
          <a:effectLst>
            <a:outerShdw blurRad="254000" sx="102000" sy="102000" algn="ctr" rotWithShape="0">
              <a:prstClr val="black">
                <a:alpha val="20000"/>
              </a:prstClr>
            </a:outerShdw>
          </a:effectLst>
        </c:spPr>
      </c:pivotFmt>
      <c:pivotFmt>
        <c:idx val="1791"/>
        <c:spPr>
          <a:solidFill>
            <a:schemeClr val="accent6"/>
          </a:solidFill>
          <a:ln>
            <a:noFill/>
          </a:ln>
          <a:effectLst>
            <a:outerShdw blurRad="254000" sx="102000" sy="102000" algn="ctr" rotWithShape="0">
              <a:prstClr val="black">
                <a:alpha val="20000"/>
              </a:prstClr>
            </a:outerShdw>
          </a:effectLst>
        </c:spPr>
      </c:pivotFmt>
      <c:pivotFmt>
        <c:idx val="1792"/>
        <c:spPr>
          <a:solidFill>
            <a:schemeClr val="accent6"/>
          </a:solidFill>
          <a:ln>
            <a:noFill/>
          </a:ln>
          <a:effectLst>
            <a:outerShdw blurRad="254000" sx="102000" sy="102000" algn="ctr" rotWithShape="0">
              <a:prstClr val="black">
                <a:alpha val="20000"/>
              </a:prstClr>
            </a:outerShdw>
          </a:effectLst>
        </c:spPr>
      </c:pivotFmt>
      <c:pivotFmt>
        <c:idx val="1793"/>
        <c:spPr>
          <a:solidFill>
            <a:schemeClr val="accent6"/>
          </a:solidFill>
          <a:ln>
            <a:noFill/>
          </a:ln>
          <a:effectLst>
            <a:outerShdw blurRad="254000" sx="102000" sy="102000" algn="ctr" rotWithShape="0">
              <a:prstClr val="black">
                <a:alpha val="20000"/>
              </a:prstClr>
            </a:outerShdw>
          </a:effectLst>
        </c:spPr>
      </c:pivotFmt>
      <c:pivotFmt>
        <c:idx val="1794"/>
        <c:spPr>
          <a:solidFill>
            <a:schemeClr val="accent6"/>
          </a:solidFill>
          <a:ln>
            <a:noFill/>
          </a:ln>
          <a:effectLst>
            <a:outerShdw blurRad="254000" sx="102000" sy="102000" algn="ctr" rotWithShape="0">
              <a:prstClr val="black">
                <a:alpha val="20000"/>
              </a:prstClr>
            </a:outerShdw>
          </a:effectLst>
        </c:spPr>
      </c:pivotFmt>
      <c:pivotFmt>
        <c:idx val="1795"/>
        <c:spPr>
          <a:solidFill>
            <a:schemeClr val="accent6"/>
          </a:solidFill>
          <a:ln>
            <a:noFill/>
          </a:ln>
          <a:effectLst>
            <a:outerShdw blurRad="254000" sx="102000" sy="102000" algn="ctr" rotWithShape="0">
              <a:prstClr val="black">
                <a:alpha val="20000"/>
              </a:prstClr>
            </a:outerShdw>
          </a:effectLst>
        </c:spPr>
      </c:pivotFmt>
      <c:pivotFmt>
        <c:idx val="179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97"/>
        <c:spPr>
          <a:solidFill>
            <a:schemeClr val="accent6"/>
          </a:solidFill>
          <a:ln>
            <a:noFill/>
          </a:ln>
          <a:effectLst>
            <a:outerShdw blurRad="254000" sx="102000" sy="102000" algn="ctr" rotWithShape="0">
              <a:prstClr val="black">
                <a:alpha val="20000"/>
              </a:prstClr>
            </a:outerShdw>
          </a:effectLst>
        </c:spPr>
      </c:pivotFmt>
      <c:pivotFmt>
        <c:idx val="1798"/>
        <c:spPr>
          <a:solidFill>
            <a:schemeClr val="accent6"/>
          </a:solidFill>
          <a:ln>
            <a:noFill/>
          </a:ln>
          <a:effectLst>
            <a:outerShdw blurRad="254000" sx="102000" sy="102000" algn="ctr" rotWithShape="0">
              <a:prstClr val="black">
                <a:alpha val="20000"/>
              </a:prstClr>
            </a:outerShdw>
          </a:effectLst>
        </c:spPr>
      </c:pivotFmt>
      <c:pivotFmt>
        <c:idx val="1799"/>
        <c:spPr>
          <a:solidFill>
            <a:schemeClr val="accent6"/>
          </a:solidFill>
          <a:ln>
            <a:noFill/>
          </a:ln>
          <a:effectLst>
            <a:outerShdw blurRad="254000" sx="102000" sy="102000" algn="ctr" rotWithShape="0">
              <a:prstClr val="black">
                <a:alpha val="20000"/>
              </a:prstClr>
            </a:outerShdw>
          </a:effectLst>
        </c:spPr>
      </c:pivotFmt>
      <c:pivotFmt>
        <c:idx val="1800"/>
        <c:spPr>
          <a:solidFill>
            <a:schemeClr val="accent6"/>
          </a:solidFill>
          <a:ln>
            <a:noFill/>
          </a:ln>
          <a:effectLst>
            <a:outerShdw blurRad="254000" sx="102000" sy="102000" algn="ctr" rotWithShape="0">
              <a:prstClr val="black">
                <a:alpha val="20000"/>
              </a:prstClr>
            </a:outerShdw>
          </a:effectLst>
        </c:spPr>
      </c:pivotFmt>
      <c:pivotFmt>
        <c:idx val="1801"/>
        <c:spPr>
          <a:solidFill>
            <a:schemeClr val="accent6"/>
          </a:solidFill>
          <a:ln>
            <a:noFill/>
          </a:ln>
          <a:effectLst>
            <a:outerShdw blurRad="254000" sx="102000" sy="102000" algn="ctr" rotWithShape="0">
              <a:prstClr val="black">
                <a:alpha val="20000"/>
              </a:prstClr>
            </a:outerShdw>
          </a:effectLst>
        </c:spPr>
      </c:pivotFmt>
      <c:pivotFmt>
        <c:idx val="1802"/>
        <c:spPr>
          <a:solidFill>
            <a:schemeClr val="accent6"/>
          </a:solidFill>
          <a:ln>
            <a:noFill/>
          </a:ln>
          <a:effectLst>
            <a:outerShdw blurRad="254000" sx="102000" sy="102000" algn="ctr" rotWithShape="0">
              <a:prstClr val="black">
                <a:alpha val="20000"/>
              </a:prstClr>
            </a:outerShdw>
          </a:effectLst>
        </c:spPr>
      </c:pivotFmt>
      <c:pivotFmt>
        <c:idx val="1803"/>
        <c:spPr>
          <a:solidFill>
            <a:schemeClr val="accent6"/>
          </a:solidFill>
          <a:ln>
            <a:noFill/>
          </a:ln>
          <a:effectLst>
            <a:outerShdw blurRad="254000" sx="102000" sy="102000" algn="ctr" rotWithShape="0">
              <a:prstClr val="black">
                <a:alpha val="20000"/>
              </a:prstClr>
            </a:outerShdw>
          </a:effectLst>
        </c:spPr>
      </c:pivotFmt>
      <c:pivotFmt>
        <c:idx val="1804"/>
        <c:spPr>
          <a:solidFill>
            <a:schemeClr val="accent6"/>
          </a:solidFill>
          <a:ln>
            <a:noFill/>
          </a:ln>
          <a:effectLst>
            <a:outerShdw blurRad="254000" sx="102000" sy="102000" algn="ctr" rotWithShape="0">
              <a:prstClr val="black">
                <a:alpha val="20000"/>
              </a:prstClr>
            </a:outerShdw>
          </a:effectLst>
        </c:spPr>
      </c:pivotFmt>
      <c:pivotFmt>
        <c:idx val="1805"/>
        <c:spPr>
          <a:solidFill>
            <a:schemeClr val="accent6"/>
          </a:solidFill>
          <a:ln>
            <a:noFill/>
          </a:ln>
          <a:effectLst>
            <a:outerShdw blurRad="254000" sx="102000" sy="102000" algn="ctr" rotWithShape="0">
              <a:prstClr val="black">
                <a:alpha val="20000"/>
              </a:prstClr>
            </a:outerShdw>
          </a:effectLst>
        </c:spPr>
      </c:pivotFmt>
      <c:pivotFmt>
        <c:idx val="180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07"/>
        <c:spPr>
          <a:solidFill>
            <a:schemeClr val="accent6"/>
          </a:solidFill>
          <a:ln>
            <a:noFill/>
          </a:ln>
          <a:effectLst>
            <a:outerShdw blurRad="254000" sx="102000" sy="102000" algn="ctr" rotWithShape="0">
              <a:prstClr val="black">
                <a:alpha val="20000"/>
              </a:prstClr>
            </a:outerShdw>
          </a:effectLst>
        </c:spPr>
      </c:pivotFmt>
      <c:pivotFmt>
        <c:idx val="1808"/>
        <c:spPr>
          <a:solidFill>
            <a:schemeClr val="accent6"/>
          </a:solidFill>
          <a:ln>
            <a:noFill/>
          </a:ln>
          <a:effectLst>
            <a:outerShdw blurRad="254000" sx="102000" sy="102000" algn="ctr" rotWithShape="0">
              <a:prstClr val="black">
                <a:alpha val="20000"/>
              </a:prstClr>
            </a:outerShdw>
          </a:effectLst>
        </c:spPr>
      </c:pivotFmt>
      <c:pivotFmt>
        <c:idx val="1809"/>
        <c:spPr>
          <a:solidFill>
            <a:schemeClr val="accent6"/>
          </a:solidFill>
          <a:ln>
            <a:noFill/>
          </a:ln>
          <a:effectLst>
            <a:outerShdw blurRad="254000" sx="102000" sy="102000" algn="ctr" rotWithShape="0">
              <a:prstClr val="black">
                <a:alpha val="20000"/>
              </a:prstClr>
            </a:outerShdw>
          </a:effectLst>
        </c:spPr>
      </c:pivotFmt>
      <c:pivotFmt>
        <c:idx val="1810"/>
        <c:spPr>
          <a:solidFill>
            <a:schemeClr val="accent6"/>
          </a:solidFill>
          <a:ln>
            <a:noFill/>
          </a:ln>
          <a:effectLst>
            <a:outerShdw blurRad="254000" sx="102000" sy="102000" algn="ctr" rotWithShape="0">
              <a:prstClr val="black">
                <a:alpha val="20000"/>
              </a:prstClr>
            </a:outerShdw>
          </a:effectLst>
        </c:spPr>
      </c:pivotFmt>
      <c:pivotFmt>
        <c:idx val="1811"/>
        <c:spPr>
          <a:solidFill>
            <a:schemeClr val="accent6"/>
          </a:solidFill>
          <a:ln>
            <a:noFill/>
          </a:ln>
          <a:effectLst>
            <a:outerShdw blurRad="254000" sx="102000" sy="102000" algn="ctr" rotWithShape="0">
              <a:prstClr val="black">
                <a:alpha val="20000"/>
              </a:prstClr>
            </a:outerShdw>
          </a:effectLst>
        </c:spPr>
      </c:pivotFmt>
      <c:pivotFmt>
        <c:idx val="1812"/>
        <c:spPr>
          <a:solidFill>
            <a:schemeClr val="accent6"/>
          </a:solidFill>
          <a:ln>
            <a:noFill/>
          </a:ln>
          <a:effectLst>
            <a:outerShdw blurRad="254000" sx="102000" sy="102000" algn="ctr" rotWithShape="0">
              <a:prstClr val="black">
                <a:alpha val="20000"/>
              </a:prstClr>
            </a:outerShdw>
          </a:effectLst>
        </c:spPr>
      </c:pivotFmt>
      <c:pivotFmt>
        <c:idx val="1813"/>
        <c:spPr>
          <a:solidFill>
            <a:schemeClr val="accent6"/>
          </a:solidFill>
          <a:ln>
            <a:noFill/>
          </a:ln>
          <a:effectLst>
            <a:outerShdw blurRad="254000" sx="102000" sy="102000" algn="ctr" rotWithShape="0">
              <a:prstClr val="black">
                <a:alpha val="20000"/>
              </a:prstClr>
            </a:outerShdw>
          </a:effectLst>
        </c:spPr>
      </c:pivotFmt>
      <c:pivotFmt>
        <c:idx val="1814"/>
        <c:spPr>
          <a:solidFill>
            <a:schemeClr val="accent6"/>
          </a:solidFill>
          <a:ln>
            <a:noFill/>
          </a:ln>
          <a:effectLst>
            <a:outerShdw blurRad="254000" sx="102000" sy="102000" algn="ctr" rotWithShape="0">
              <a:prstClr val="black">
                <a:alpha val="20000"/>
              </a:prstClr>
            </a:outerShdw>
          </a:effectLst>
        </c:spPr>
      </c:pivotFmt>
      <c:pivotFmt>
        <c:idx val="1815"/>
        <c:spPr>
          <a:solidFill>
            <a:schemeClr val="accent6"/>
          </a:solidFill>
          <a:ln>
            <a:noFill/>
          </a:ln>
          <a:effectLst>
            <a:outerShdw blurRad="254000" sx="102000" sy="102000" algn="ctr" rotWithShape="0">
              <a:prstClr val="black">
                <a:alpha val="20000"/>
              </a:prstClr>
            </a:outerShdw>
          </a:effectLst>
        </c:spPr>
      </c:pivotFmt>
      <c:pivotFmt>
        <c:idx val="181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17"/>
        <c:spPr>
          <a:solidFill>
            <a:schemeClr val="accent6"/>
          </a:solidFill>
          <a:ln>
            <a:noFill/>
          </a:ln>
          <a:effectLst>
            <a:outerShdw blurRad="254000" sx="102000" sy="102000" algn="ctr" rotWithShape="0">
              <a:prstClr val="black">
                <a:alpha val="20000"/>
              </a:prstClr>
            </a:outerShdw>
          </a:effectLst>
        </c:spPr>
      </c:pivotFmt>
      <c:pivotFmt>
        <c:idx val="1818"/>
        <c:spPr>
          <a:solidFill>
            <a:schemeClr val="accent6"/>
          </a:solidFill>
          <a:ln>
            <a:noFill/>
          </a:ln>
          <a:effectLst>
            <a:outerShdw blurRad="254000" sx="102000" sy="102000" algn="ctr" rotWithShape="0">
              <a:prstClr val="black">
                <a:alpha val="20000"/>
              </a:prstClr>
            </a:outerShdw>
          </a:effectLst>
        </c:spPr>
      </c:pivotFmt>
      <c:pivotFmt>
        <c:idx val="1819"/>
        <c:spPr>
          <a:solidFill>
            <a:schemeClr val="accent6"/>
          </a:solidFill>
          <a:ln>
            <a:noFill/>
          </a:ln>
          <a:effectLst>
            <a:outerShdw blurRad="254000" sx="102000" sy="102000" algn="ctr" rotWithShape="0">
              <a:prstClr val="black">
                <a:alpha val="20000"/>
              </a:prstClr>
            </a:outerShdw>
          </a:effectLst>
        </c:spPr>
      </c:pivotFmt>
      <c:pivotFmt>
        <c:idx val="1820"/>
        <c:spPr>
          <a:solidFill>
            <a:schemeClr val="accent6"/>
          </a:solidFill>
          <a:ln>
            <a:noFill/>
          </a:ln>
          <a:effectLst>
            <a:outerShdw blurRad="254000" sx="102000" sy="102000" algn="ctr" rotWithShape="0">
              <a:prstClr val="black">
                <a:alpha val="20000"/>
              </a:prstClr>
            </a:outerShdw>
          </a:effectLst>
        </c:spPr>
      </c:pivotFmt>
      <c:pivotFmt>
        <c:idx val="1821"/>
        <c:spPr>
          <a:solidFill>
            <a:schemeClr val="accent6"/>
          </a:solidFill>
          <a:ln>
            <a:noFill/>
          </a:ln>
          <a:effectLst>
            <a:outerShdw blurRad="254000" sx="102000" sy="102000" algn="ctr" rotWithShape="0">
              <a:prstClr val="black">
                <a:alpha val="20000"/>
              </a:prstClr>
            </a:outerShdw>
          </a:effectLst>
        </c:spPr>
      </c:pivotFmt>
      <c:pivotFmt>
        <c:idx val="1822"/>
        <c:spPr>
          <a:solidFill>
            <a:schemeClr val="accent6"/>
          </a:solidFill>
          <a:ln>
            <a:noFill/>
          </a:ln>
          <a:effectLst>
            <a:outerShdw blurRad="254000" sx="102000" sy="102000" algn="ctr" rotWithShape="0">
              <a:prstClr val="black">
                <a:alpha val="20000"/>
              </a:prstClr>
            </a:outerShdw>
          </a:effectLst>
        </c:spPr>
      </c:pivotFmt>
      <c:pivotFmt>
        <c:idx val="1823"/>
        <c:spPr>
          <a:solidFill>
            <a:schemeClr val="accent6"/>
          </a:solidFill>
          <a:ln>
            <a:noFill/>
          </a:ln>
          <a:effectLst>
            <a:outerShdw blurRad="254000" sx="102000" sy="102000" algn="ctr" rotWithShape="0">
              <a:prstClr val="black">
                <a:alpha val="20000"/>
              </a:prstClr>
            </a:outerShdw>
          </a:effectLst>
        </c:spPr>
      </c:pivotFmt>
      <c:pivotFmt>
        <c:idx val="1824"/>
        <c:spPr>
          <a:solidFill>
            <a:schemeClr val="accent6"/>
          </a:solidFill>
          <a:ln>
            <a:noFill/>
          </a:ln>
          <a:effectLst>
            <a:outerShdw blurRad="254000" sx="102000" sy="102000" algn="ctr" rotWithShape="0">
              <a:prstClr val="black">
                <a:alpha val="20000"/>
              </a:prstClr>
            </a:outerShdw>
          </a:effectLst>
        </c:spPr>
      </c:pivotFmt>
      <c:pivotFmt>
        <c:idx val="1825"/>
        <c:spPr>
          <a:solidFill>
            <a:schemeClr val="accent6"/>
          </a:solidFill>
          <a:ln>
            <a:noFill/>
          </a:ln>
          <a:effectLst>
            <a:outerShdw blurRad="254000" sx="102000" sy="102000" algn="ctr" rotWithShape="0">
              <a:prstClr val="black">
                <a:alpha val="20000"/>
              </a:prstClr>
            </a:outerShdw>
          </a:effectLst>
        </c:spPr>
      </c:pivotFmt>
      <c:pivotFmt>
        <c:idx val="182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27"/>
        <c:spPr>
          <a:solidFill>
            <a:schemeClr val="accent6"/>
          </a:solidFill>
          <a:ln>
            <a:noFill/>
          </a:ln>
          <a:effectLst>
            <a:outerShdw blurRad="254000" sx="102000" sy="102000" algn="ctr" rotWithShape="0">
              <a:prstClr val="black">
                <a:alpha val="20000"/>
              </a:prstClr>
            </a:outerShdw>
          </a:effectLst>
        </c:spPr>
      </c:pivotFmt>
      <c:pivotFmt>
        <c:idx val="1828"/>
        <c:spPr>
          <a:solidFill>
            <a:schemeClr val="accent6"/>
          </a:solidFill>
          <a:ln>
            <a:noFill/>
          </a:ln>
          <a:effectLst>
            <a:outerShdw blurRad="254000" sx="102000" sy="102000" algn="ctr" rotWithShape="0">
              <a:prstClr val="black">
                <a:alpha val="20000"/>
              </a:prstClr>
            </a:outerShdw>
          </a:effectLst>
        </c:spPr>
      </c:pivotFmt>
      <c:pivotFmt>
        <c:idx val="1829"/>
        <c:spPr>
          <a:solidFill>
            <a:schemeClr val="accent6"/>
          </a:solidFill>
          <a:ln>
            <a:noFill/>
          </a:ln>
          <a:effectLst>
            <a:outerShdw blurRad="254000" sx="102000" sy="102000" algn="ctr" rotWithShape="0">
              <a:prstClr val="black">
                <a:alpha val="20000"/>
              </a:prstClr>
            </a:outerShdw>
          </a:effectLst>
        </c:spPr>
      </c:pivotFmt>
      <c:pivotFmt>
        <c:idx val="1830"/>
        <c:spPr>
          <a:solidFill>
            <a:schemeClr val="accent6"/>
          </a:solidFill>
          <a:ln>
            <a:noFill/>
          </a:ln>
          <a:effectLst>
            <a:outerShdw blurRad="254000" sx="102000" sy="102000" algn="ctr" rotWithShape="0">
              <a:prstClr val="black">
                <a:alpha val="20000"/>
              </a:prstClr>
            </a:outerShdw>
          </a:effectLst>
        </c:spPr>
      </c:pivotFmt>
      <c:pivotFmt>
        <c:idx val="1831"/>
        <c:spPr>
          <a:solidFill>
            <a:schemeClr val="accent6"/>
          </a:solidFill>
          <a:ln>
            <a:noFill/>
          </a:ln>
          <a:effectLst>
            <a:outerShdw blurRad="254000" sx="102000" sy="102000" algn="ctr" rotWithShape="0">
              <a:prstClr val="black">
                <a:alpha val="20000"/>
              </a:prstClr>
            </a:outerShdw>
          </a:effectLst>
        </c:spPr>
      </c:pivotFmt>
      <c:pivotFmt>
        <c:idx val="1832"/>
        <c:spPr>
          <a:solidFill>
            <a:schemeClr val="accent6"/>
          </a:solidFill>
          <a:ln>
            <a:noFill/>
          </a:ln>
          <a:effectLst>
            <a:outerShdw blurRad="254000" sx="102000" sy="102000" algn="ctr" rotWithShape="0">
              <a:prstClr val="black">
                <a:alpha val="20000"/>
              </a:prstClr>
            </a:outerShdw>
          </a:effectLst>
        </c:spPr>
      </c:pivotFmt>
      <c:pivotFmt>
        <c:idx val="1833"/>
        <c:spPr>
          <a:solidFill>
            <a:schemeClr val="accent6"/>
          </a:solidFill>
          <a:ln>
            <a:noFill/>
          </a:ln>
          <a:effectLst>
            <a:outerShdw blurRad="254000" sx="102000" sy="102000" algn="ctr" rotWithShape="0">
              <a:prstClr val="black">
                <a:alpha val="20000"/>
              </a:prstClr>
            </a:outerShdw>
          </a:effectLst>
        </c:spPr>
      </c:pivotFmt>
      <c:pivotFmt>
        <c:idx val="1834"/>
        <c:spPr>
          <a:solidFill>
            <a:schemeClr val="accent6"/>
          </a:solidFill>
          <a:ln>
            <a:noFill/>
          </a:ln>
          <a:effectLst>
            <a:outerShdw blurRad="254000" sx="102000" sy="102000" algn="ctr" rotWithShape="0">
              <a:prstClr val="black">
                <a:alpha val="20000"/>
              </a:prstClr>
            </a:outerShdw>
          </a:effectLst>
        </c:spPr>
      </c:pivotFmt>
      <c:pivotFmt>
        <c:idx val="1835"/>
        <c:spPr>
          <a:solidFill>
            <a:schemeClr val="accent6"/>
          </a:solidFill>
          <a:ln>
            <a:noFill/>
          </a:ln>
          <a:effectLst>
            <a:outerShdw blurRad="254000" sx="102000" sy="102000" algn="ctr" rotWithShape="0">
              <a:prstClr val="black">
                <a:alpha val="20000"/>
              </a:prstClr>
            </a:outerShdw>
          </a:effectLst>
        </c:spPr>
      </c:pivotFmt>
      <c:pivotFmt>
        <c:idx val="183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37"/>
        <c:spPr>
          <a:solidFill>
            <a:schemeClr val="accent6"/>
          </a:solidFill>
          <a:ln>
            <a:noFill/>
          </a:ln>
          <a:effectLst>
            <a:outerShdw blurRad="254000" sx="102000" sy="102000" algn="ctr" rotWithShape="0">
              <a:prstClr val="black">
                <a:alpha val="20000"/>
              </a:prstClr>
            </a:outerShdw>
          </a:effectLst>
        </c:spPr>
      </c:pivotFmt>
      <c:pivotFmt>
        <c:idx val="1838"/>
        <c:spPr>
          <a:solidFill>
            <a:schemeClr val="accent6"/>
          </a:solidFill>
          <a:ln>
            <a:noFill/>
          </a:ln>
          <a:effectLst>
            <a:outerShdw blurRad="254000" sx="102000" sy="102000" algn="ctr" rotWithShape="0">
              <a:prstClr val="black">
                <a:alpha val="20000"/>
              </a:prstClr>
            </a:outerShdw>
          </a:effectLst>
        </c:spPr>
      </c:pivotFmt>
      <c:pivotFmt>
        <c:idx val="1839"/>
        <c:spPr>
          <a:solidFill>
            <a:schemeClr val="accent6"/>
          </a:solidFill>
          <a:ln>
            <a:noFill/>
          </a:ln>
          <a:effectLst>
            <a:outerShdw blurRad="254000" sx="102000" sy="102000" algn="ctr" rotWithShape="0">
              <a:prstClr val="black">
                <a:alpha val="20000"/>
              </a:prstClr>
            </a:outerShdw>
          </a:effectLst>
        </c:spPr>
      </c:pivotFmt>
      <c:pivotFmt>
        <c:idx val="1840"/>
        <c:spPr>
          <a:solidFill>
            <a:schemeClr val="accent6"/>
          </a:solidFill>
          <a:ln>
            <a:noFill/>
          </a:ln>
          <a:effectLst>
            <a:outerShdw blurRad="254000" sx="102000" sy="102000" algn="ctr" rotWithShape="0">
              <a:prstClr val="black">
                <a:alpha val="20000"/>
              </a:prstClr>
            </a:outerShdw>
          </a:effectLst>
        </c:spPr>
      </c:pivotFmt>
      <c:pivotFmt>
        <c:idx val="1841"/>
        <c:spPr>
          <a:solidFill>
            <a:schemeClr val="accent6"/>
          </a:solidFill>
          <a:ln>
            <a:noFill/>
          </a:ln>
          <a:effectLst>
            <a:outerShdw blurRad="254000" sx="102000" sy="102000" algn="ctr" rotWithShape="0">
              <a:prstClr val="black">
                <a:alpha val="20000"/>
              </a:prstClr>
            </a:outerShdw>
          </a:effectLst>
        </c:spPr>
      </c:pivotFmt>
      <c:pivotFmt>
        <c:idx val="1842"/>
        <c:spPr>
          <a:solidFill>
            <a:schemeClr val="accent6"/>
          </a:solidFill>
          <a:ln>
            <a:noFill/>
          </a:ln>
          <a:effectLst>
            <a:outerShdw blurRad="254000" sx="102000" sy="102000" algn="ctr" rotWithShape="0">
              <a:prstClr val="black">
                <a:alpha val="20000"/>
              </a:prstClr>
            </a:outerShdw>
          </a:effectLst>
        </c:spPr>
      </c:pivotFmt>
      <c:pivotFmt>
        <c:idx val="1843"/>
        <c:spPr>
          <a:solidFill>
            <a:schemeClr val="accent6"/>
          </a:solidFill>
          <a:ln>
            <a:noFill/>
          </a:ln>
          <a:effectLst>
            <a:outerShdw blurRad="254000" sx="102000" sy="102000" algn="ctr" rotWithShape="0">
              <a:prstClr val="black">
                <a:alpha val="20000"/>
              </a:prstClr>
            </a:outerShdw>
          </a:effectLst>
        </c:spPr>
      </c:pivotFmt>
      <c:pivotFmt>
        <c:idx val="1844"/>
        <c:spPr>
          <a:solidFill>
            <a:schemeClr val="accent6"/>
          </a:solidFill>
          <a:ln>
            <a:noFill/>
          </a:ln>
          <a:effectLst>
            <a:outerShdw blurRad="254000" sx="102000" sy="102000" algn="ctr" rotWithShape="0">
              <a:prstClr val="black">
                <a:alpha val="20000"/>
              </a:prstClr>
            </a:outerShdw>
          </a:effectLst>
        </c:spPr>
      </c:pivotFmt>
      <c:pivotFmt>
        <c:idx val="1845"/>
        <c:spPr>
          <a:solidFill>
            <a:schemeClr val="accent6"/>
          </a:solidFill>
          <a:ln>
            <a:noFill/>
          </a:ln>
          <a:effectLst>
            <a:outerShdw blurRad="254000" sx="102000" sy="102000" algn="ctr" rotWithShape="0">
              <a:prstClr val="black">
                <a:alpha val="20000"/>
              </a:prstClr>
            </a:outerShdw>
          </a:effectLst>
        </c:spPr>
      </c:pivotFmt>
      <c:pivotFmt>
        <c:idx val="184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47"/>
        <c:spPr>
          <a:solidFill>
            <a:schemeClr val="accent6"/>
          </a:solidFill>
          <a:ln>
            <a:noFill/>
          </a:ln>
          <a:effectLst>
            <a:outerShdw blurRad="254000" sx="102000" sy="102000" algn="ctr" rotWithShape="0">
              <a:prstClr val="black">
                <a:alpha val="20000"/>
              </a:prstClr>
            </a:outerShdw>
          </a:effectLst>
        </c:spPr>
      </c:pivotFmt>
      <c:pivotFmt>
        <c:idx val="1848"/>
        <c:spPr>
          <a:solidFill>
            <a:schemeClr val="accent6"/>
          </a:solidFill>
          <a:ln>
            <a:noFill/>
          </a:ln>
          <a:effectLst>
            <a:outerShdw blurRad="254000" sx="102000" sy="102000" algn="ctr" rotWithShape="0">
              <a:prstClr val="black">
                <a:alpha val="20000"/>
              </a:prstClr>
            </a:outerShdw>
          </a:effectLst>
        </c:spPr>
      </c:pivotFmt>
      <c:pivotFmt>
        <c:idx val="1849"/>
        <c:spPr>
          <a:solidFill>
            <a:schemeClr val="accent6"/>
          </a:solidFill>
          <a:ln>
            <a:noFill/>
          </a:ln>
          <a:effectLst>
            <a:outerShdw blurRad="254000" sx="102000" sy="102000" algn="ctr" rotWithShape="0">
              <a:prstClr val="black">
                <a:alpha val="20000"/>
              </a:prstClr>
            </a:outerShdw>
          </a:effectLst>
        </c:spPr>
      </c:pivotFmt>
      <c:pivotFmt>
        <c:idx val="1850"/>
        <c:spPr>
          <a:solidFill>
            <a:schemeClr val="accent6"/>
          </a:solidFill>
          <a:ln>
            <a:noFill/>
          </a:ln>
          <a:effectLst>
            <a:outerShdw blurRad="254000" sx="102000" sy="102000" algn="ctr" rotWithShape="0">
              <a:prstClr val="black">
                <a:alpha val="20000"/>
              </a:prstClr>
            </a:outerShdw>
          </a:effectLst>
        </c:spPr>
      </c:pivotFmt>
      <c:pivotFmt>
        <c:idx val="1851"/>
        <c:spPr>
          <a:solidFill>
            <a:schemeClr val="accent6"/>
          </a:solidFill>
          <a:ln>
            <a:noFill/>
          </a:ln>
          <a:effectLst>
            <a:outerShdw blurRad="254000" sx="102000" sy="102000" algn="ctr" rotWithShape="0">
              <a:prstClr val="black">
                <a:alpha val="20000"/>
              </a:prstClr>
            </a:outerShdw>
          </a:effectLst>
        </c:spPr>
      </c:pivotFmt>
      <c:pivotFmt>
        <c:idx val="1852"/>
        <c:spPr>
          <a:solidFill>
            <a:schemeClr val="accent6"/>
          </a:solidFill>
          <a:ln>
            <a:noFill/>
          </a:ln>
          <a:effectLst>
            <a:outerShdw blurRad="254000" sx="102000" sy="102000" algn="ctr" rotWithShape="0">
              <a:prstClr val="black">
                <a:alpha val="20000"/>
              </a:prstClr>
            </a:outerShdw>
          </a:effectLst>
        </c:spPr>
      </c:pivotFmt>
      <c:pivotFmt>
        <c:idx val="1853"/>
        <c:spPr>
          <a:solidFill>
            <a:schemeClr val="accent6"/>
          </a:solidFill>
          <a:ln>
            <a:noFill/>
          </a:ln>
          <a:effectLst>
            <a:outerShdw blurRad="254000" sx="102000" sy="102000" algn="ctr" rotWithShape="0">
              <a:prstClr val="black">
                <a:alpha val="20000"/>
              </a:prstClr>
            </a:outerShdw>
          </a:effectLst>
        </c:spPr>
      </c:pivotFmt>
      <c:pivotFmt>
        <c:idx val="1854"/>
        <c:spPr>
          <a:solidFill>
            <a:schemeClr val="accent6"/>
          </a:solidFill>
          <a:ln>
            <a:noFill/>
          </a:ln>
          <a:effectLst>
            <a:outerShdw blurRad="254000" sx="102000" sy="102000" algn="ctr" rotWithShape="0">
              <a:prstClr val="black">
                <a:alpha val="20000"/>
              </a:prstClr>
            </a:outerShdw>
          </a:effectLst>
        </c:spPr>
      </c:pivotFmt>
      <c:pivotFmt>
        <c:idx val="1855"/>
        <c:spPr>
          <a:solidFill>
            <a:schemeClr val="accent6"/>
          </a:solidFill>
          <a:ln>
            <a:noFill/>
          </a:ln>
          <a:effectLst>
            <a:outerShdw blurRad="254000" sx="102000" sy="102000" algn="ctr" rotWithShape="0">
              <a:prstClr val="black">
                <a:alpha val="20000"/>
              </a:prstClr>
            </a:outerShdw>
          </a:effectLst>
        </c:spPr>
      </c:pivotFmt>
      <c:pivotFmt>
        <c:idx val="185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57"/>
        <c:spPr>
          <a:solidFill>
            <a:schemeClr val="accent6"/>
          </a:solidFill>
          <a:ln>
            <a:noFill/>
          </a:ln>
          <a:effectLst>
            <a:outerShdw blurRad="254000" sx="102000" sy="102000" algn="ctr" rotWithShape="0">
              <a:prstClr val="black">
                <a:alpha val="20000"/>
              </a:prstClr>
            </a:outerShdw>
          </a:effectLst>
        </c:spPr>
      </c:pivotFmt>
      <c:pivotFmt>
        <c:idx val="1858"/>
        <c:spPr>
          <a:solidFill>
            <a:schemeClr val="accent6"/>
          </a:solidFill>
          <a:ln>
            <a:noFill/>
          </a:ln>
          <a:effectLst>
            <a:outerShdw blurRad="254000" sx="102000" sy="102000" algn="ctr" rotWithShape="0">
              <a:prstClr val="black">
                <a:alpha val="20000"/>
              </a:prstClr>
            </a:outerShdw>
          </a:effectLst>
        </c:spPr>
      </c:pivotFmt>
      <c:pivotFmt>
        <c:idx val="1859"/>
        <c:spPr>
          <a:solidFill>
            <a:schemeClr val="accent6"/>
          </a:solidFill>
          <a:ln>
            <a:noFill/>
          </a:ln>
          <a:effectLst>
            <a:outerShdw blurRad="254000" sx="102000" sy="102000" algn="ctr" rotWithShape="0">
              <a:prstClr val="black">
                <a:alpha val="20000"/>
              </a:prstClr>
            </a:outerShdw>
          </a:effectLst>
        </c:spPr>
      </c:pivotFmt>
      <c:pivotFmt>
        <c:idx val="1860"/>
        <c:spPr>
          <a:solidFill>
            <a:schemeClr val="accent6"/>
          </a:solidFill>
          <a:ln>
            <a:noFill/>
          </a:ln>
          <a:effectLst>
            <a:outerShdw blurRad="254000" sx="102000" sy="102000" algn="ctr" rotWithShape="0">
              <a:prstClr val="black">
                <a:alpha val="20000"/>
              </a:prstClr>
            </a:outerShdw>
          </a:effectLst>
        </c:spPr>
      </c:pivotFmt>
      <c:pivotFmt>
        <c:idx val="1861"/>
        <c:spPr>
          <a:solidFill>
            <a:schemeClr val="accent6"/>
          </a:solidFill>
          <a:ln>
            <a:noFill/>
          </a:ln>
          <a:effectLst>
            <a:outerShdw blurRad="254000" sx="102000" sy="102000" algn="ctr" rotWithShape="0">
              <a:prstClr val="black">
                <a:alpha val="20000"/>
              </a:prstClr>
            </a:outerShdw>
          </a:effectLst>
        </c:spPr>
      </c:pivotFmt>
      <c:pivotFmt>
        <c:idx val="1862"/>
        <c:spPr>
          <a:solidFill>
            <a:schemeClr val="accent6"/>
          </a:solidFill>
          <a:ln>
            <a:noFill/>
          </a:ln>
          <a:effectLst>
            <a:outerShdw blurRad="254000" sx="102000" sy="102000" algn="ctr" rotWithShape="0">
              <a:prstClr val="black">
                <a:alpha val="20000"/>
              </a:prstClr>
            </a:outerShdw>
          </a:effectLst>
        </c:spPr>
      </c:pivotFmt>
      <c:pivotFmt>
        <c:idx val="1863"/>
        <c:spPr>
          <a:solidFill>
            <a:schemeClr val="accent6"/>
          </a:solidFill>
          <a:ln>
            <a:noFill/>
          </a:ln>
          <a:effectLst>
            <a:outerShdw blurRad="254000" sx="102000" sy="102000" algn="ctr" rotWithShape="0">
              <a:prstClr val="black">
                <a:alpha val="20000"/>
              </a:prstClr>
            </a:outerShdw>
          </a:effectLst>
        </c:spPr>
      </c:pivotFmt>
      <c:pivotFmt>
        <c:idx val="1864"/>
        <c:spPr>
          <a:solidFill>
            <a:schemeClr val="accent6"/>
          </a:solidFill>
          <a:ln>
            <a:noFill/>
          </a:ln>
          <a:effectLst>
            <a:outerShdw blurRad="254000" sx="102000" sy="102000" algn="ctr" rotWithShape="0">
              <a:prstClr val="black">
                <a:alpha val="20000"/>
              </a:prstClr>
            </a:outerShdw>
          </a:effectLst>
        </c:spPr>
      </c:pivotFmt>
      <c:pivotFmt>
        <c:idx val="1865"/>
        <c:spPr>
          <a:solidFill>
            <a:schemeClr val="accent6"/>
          </a:solidFill>
          <a:ln>
            <a:noFill/>
          </a:ln>
          <a:effectLst>
            <a:outerShdw blurRad="254000" sx="102000" sy="102000" algn="ctr" rotWithShape="0">
              <a:prstClr val="black">
                <a:alpha val="20000"/>
              </a:prstClr>
            </a:outerShdw>
          </a:effectLst>
        </c:spPr>
      </c:pivotFmt>
      <c:pivotFmt>
        <c:idx val="186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67"/>
        <c:spPr>
          <a:solidFill>
            <a:schemeClr val="accent6"/>
          </a:solidFill>
          <a:ln>
            <a:noFill/>
          </a:ln>
          <a:effectLst>
            <a:outerShdw blurRad="254000" sx="102000" sy="102000" algn="ctr" rotWithShape="0">
              <a:prstClr val="black">
                <a:alpha val="20000"/>
              </a:prstClr>
            </a:outerShdw>
          </a:effectLst>
        </c:spPr>
      </c:pivotFmt>
      <c:pivotFmt>
        <c:idx val="1868"/>
        <c:spPr>
          <a:solidFill>
            <a:schemeClr val="accent6"/>
          </a:solidFill>
          <a:ln>
            <a:noFill/>
          </a:ln>
          <a:effectLst>
            <a:outerShdw blurRad="254000" sx="102000" sy="102000" algn="ctr" rotWithShape="0">
              <a:prstClr val="black">
                <a:alpha val="20000"/>
              </a:prstClr>
            </a:outerShdw>
          </a:effectLst>
        </c:spPr>
      </c:pivotFmt>
      <c:pivotFmt>
        <c:idx val="1869"/>
        <c:spPr>
          <a:solidFill>
            <a:schemeClr val="accent6"/>
          </a:solidFill>
          <a:ln>
            <a:noFill/>
          </a:ln>
          <a:effectLst>
            <a:outerShdw blurRad="254000" sx="102000" sy="102000" algn="ctr" rotWithShape="0">
              <a:prstClr val="black">
                <a:alpha val="20000"/>
              </a:prstClr>
            </a:outerShdw>
          </a:effectLst>
        </c:spPr>
      </c:pivotFmt>
      <c:pivotFmt>
        <c:idx val="1870"/>
        <c:spPr>
          <a:solidFill>
            <a:schemeClr val="accent6"/>
          </a:solidFill>
          <a:ln>
            <a:noFill/>
          </a:ln>
          <a:effectLst>
            <a:outerShdw blurRad="254000" sx="102000" sy="102000" algn="ctr" rotWithShape="0">
              <a:prstClr val="black">
                <a:alpha val="20000"/>
              </a:prstClr>
            </a:outerShdw>
          </a:effectLst>
        </c:spPr>
      </c:pivotFmt>
      <c:pivotFmt>
        <c:idx val="1871"/>
        <c:spPr>
          <a:solidFill>
            <a:schemeClr val="accent6"/>
          </a:solidFill>
          <a:ln>
            <a:noFill/>
          </a:ln>
          <a:effectLst>
            <a:outerShdw blurRad="254000" sx="102000" sy="102000" algn="ctr" rotWithShape="0">
              <a:prstClr val="black">
                <a:alpha val="20000"/>
              </a:prstClr>
            </a:outerShdw>
          </a:effectLst>
        </c:spPr>
      </c:pivotFmt>
      <c:pivotFmt>
        <c:idx val="1872"/>
        <c:spPr>
          <a:solidFill>
            <a:schemeClr val="accent6"/>
          </a:solidFill>
          <a:ln>
            <a:noFill/>
          </a:ln>
          <a:effectLst>
            <a:outerShdw blurRad="254000" sx="102000" sy="102000" algn="ctr" rotWithShape="0">
              <a:prstClr val="black">
                <a:alpha val="20000"/>
              </a:prstClr>
            </a:outerShdw>
          </a:effectLst>
        </c:spPr>
      </c:pivotFmt>
      <c:pivotFmt>
        <c:idx val="1873"/>
        <c:spPr>
          <a:solidFill>
            <a:schemeClr val="accent6"/>
          </a:solidFill>
          <a:ln>
            <a:noFill/>
          </a:ln>
          <a:effectLst>
            <a:outerShdw blurRad="254000" sx="102000" sy="102000" algn="ctr" rotWithShape="0">
              <a:prstClr val="black">
                <a:alpha val="20000"/>
              </a:prstClr>
            </a:outerShdw>
          </a:effectLst>
        </c:spPr>
      </c:pivotFmt>
      <c:pivotFmt>
        <c:idx val="1874"/>
        <c:spPr>
          <a:solidFill>
            <a:schemeClr val="accent6"/>
          </a:solidFill>
          <a:ln>
            <a:noFill/>
          </a:ln>
          <a:effectLst>
            <a:outerShdw blurRad="254000" sx="102000" sy="102000" algn="ctr" rotWithShape="0">
              <a:prstClr val="black">
                <a:alpha val="20000"/>
              </a:prstClr>
            </a:outerShdw>
          </a:effectLst>
        </c:spPr>
      </c:pivotFmt>
      <c:pivotFmt>
        <c:idx val="1875"/>
        <c:spPr>
          <a:solidFill>
            <a:schemeClr val="accent6"/>
          </a:solidFill>
          <a:ln>
            <a:noFill/>
          </a:ln>
          <a:effectLst>
            <a:outerShdw blurRad="254000" sx="102000" sy="102000" algn="ctr" rotWithShape="0">
              <a:prstClr val="black">
                <a:alpha val="20000"/>
              </a:prstClr>
            </a:outerShdw>
          </a:effectLst>
        </c:spPr>
      </c:pivotFmt>
      <c:pivotFmt>
        <c:idx val="187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77"/>
        <c:spPr>
          <a:solidFill>
            <a:schemeClr val="accent6"/>
          </a:solidFill>
          <a:ln>
            <a:noFill/>
          </a:ln>
          <a:effectLst>
            <a:outerShdw blurRad="254000" sx="102000" sy="102000" algn="ctr" rotWithShape="0">
              <a:prstClr val="black">
                <a:alpha val="20000"/>
              </a:prstClr>
            </a:outerShdw>
          </a:effectLst>
        </c:spPr>
      </c:pivotFmt>
      <c:pivotFmt>
        <c:idx val="1878"/>
        <c:spPr>
          <a:solidFill>
            <a:schemeClr val="accent6"/>
          </a:solidFill>
          <a:ln>
            <a:noFill/>
          </a:ln>
          <a:effectLst>
            <a:outerShdw blurRad="254000" sx="102000" sy="102000" algn="ctr" rotWithShape="0">
              <a:prstClr val="black">
                <a:alpha val="20000"/>
              </a:prstClr>
            </a:outerShdw>
          </a:effectLst>
        </c:spPr>
      </c:pivotFmt>
      <c:pivotFmt>
        <c:idx val="1879"/>
        <c:spPr>
          <a:solidFill>
            <a:schemeClr val="accent6"/>
          </a:solidFill>
          <a:ln>
            <a:noFill/>
          </a:ln>
          <a:effectLst>
            <a:outerShdw blurRad="254000" sx="102000" sy="102000" algn="ctr" rotWithShape="0">
              <a:prstClr val="black">
                <a:alpha val="20000"/>
              </a:prstClr>
            </a:outerShdw>
          </a:effectLst>
        </c:spPr>
      </c:pivotFmt>
      <c:pivotFmt>
        <c:idx val="1880"/>
        <c:spPr>
          <a:solidFill>
            <a:schemeClr val="accent6"/>
          </a:solidFill>
          <a:ln>
            <a:noFill/>
          </a:ln>
          <a:effectLst>
            <a:outerShdw blurRad="254000" sx="102000" sy="102000" algn="ctr" rotWithShape="0">
              <a:prstClr val="black">
                <a:alpha val="20000"/>
              </a:prstClr>
            </a:outerShdw>
          </a:effectLst>
        </c:spPr>
      </c:pivotFmt>
      <c:pivotFmt>
        <c:idx val="1881"/>
        <c:spPr>
          <a:solidFill>
            <a:schemeClr val="accent6"/>
          </a:solidFill>
          <a:ln>
            <a:noFill/>
          </a:ln>
          <a:effectLst>
            <a:outerShdw blurRad="254000" sx="102000" sy="102000" algn="ctr" rotWithShape="0">
              <a:prstClr val="black">
                <a:alpha val="20000"/>
              </a:prstClr>
            </a:outerShdw>
          </a:effectLst>
        </c:spPr>
      </c:pivotFmt>
      <c:pivotFmt>
        <c:idx val="1882"/>
        <c:spPr>
          <a:solidFill>
            <a:schemeClr val="accent6"/>
          </a:solidFill>
          <a:ln>
            <a:noFill/>
          </a:ln>
          <a:effectLst>
            <a:outerShdw blurRad="254000" sx="102000" sy="102000" algn="ctr" rotWithShape="0">
              <a:prstClr val="black">
                <a:alpha val="20000"/>
              </a:prstClr>
            </a:outerShdw>
          </a:effectLst>
        </c:spPr>
      </c:pivotFmt>
      <c:pivotFmt>
        <c:idx val="1883"/>
        <c:spPr>
          <a:solidFill>
            <a:schemeClr val="accent6"/>
          </a:solidFill>
          <a:ln>
            <a:noFill/>
          </a:ln>
          <a:effectLst>
            <a:outerShdw blurRad="254000" sx="102000" sy="102000" algn="ctr" rotWithShape="0">
              <a:prstClr val="black">
                <a:alpha val="20000"/>
              </a:prstClr>
            </a:outerShdw>
          </a:effectLst>
        </c:spPr>
      </c:pivotFmt>
      <c:pivotFmt>
        <c:idx val="1884"/>
        <c:spPr>
          <a:solidFill>
            <a:schemeClr val="accent6"/>
          </a:solidFill>
          <a:ln>
            <a:noFill/>
          </a:ln>
          <a:effectLst>
            <a:outerShdw blurRad="254000" sx="102000" sy="102000" algn="ctr" rotWithShape="0">
              <a:prstClr val="black">
                <a:alpha val="20000"/>
              </a:prstClr>
            </a:outerShdw>
          </a:effectLst>
        </c:spPr>
      </c:pivotFmt>
      <c:pivotFmt>
        <c:idx val="1885"/>
        <c:spPr>
          <a:solidFill>
            <a:schemeClr val="accent6"/>
          </a:solidFill>
          <a:ln>
            <a:noFill/>
          </a:ln>
          <a:effectLst>
            <a:outerShdw blurRad="254000" sx="102000" sy="102000" algn="ctr" rotWithShape="0">
              <a:prstClr val="black">
                <a:alpha val="20000"/>
              </a:prstClr>
            </a:outerShdw>
          </a:effectLst>
        </c:spPr>
      </c:pivotFmt>
      <c:pivotFmt>
        <c:idx val="188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87"/>
        <c:spPr>
          <a:solidFill>
            <a:schemeClr val="accent6"/>
          </a:solidFill>
          <a:ln>
            <a:noFill/>
          </a:ln>
          <a:effectLst>
            <a:outerShdw blurRad="254000" sx="102000" sy="102000" algn="ctr" rotWithShape="0">
              <a:prstClr val="black">
                <a:alpha val="20000"/>
              </a:prstClr>
            </a:outerShdw>
          </a:effectLst>
        </c:spPr>
      </c:pivotFmt>
      <c:pivotFmt>
        <c:idx val="1888"/>
        <c:spPr>
          <a:solidFill>
            <a:schemeClr val="accent6"/>
          </a:solidFill>
          <a:ln>
            <a:noFill/>
          </a:ln>
          <a:effectLst>
            <a:outerShdw blurRad="254000" sx="102000" sy="102000" algn="ctr" rotWithShape="0">
              <a:prstClr val="black">
                <a:alpha val="20000"/>
              </a:prstClr>
            </a:outerShdw>
          </a:effectLst>
        </c:spPr>
      </c:pivotFmt>
      <c:pivotFmt>
        <c:idx val="1889"/>
        <c:spPr>
          <a:solidFill>
            <a:schemeClr val="accent6"/>
          </a:solidFill>
          <a:ln>
            <a:noFill/>
          </a:ln>
          <a:effectLst>
            <a:outerShdw blurRad="254000" sx="102000" sy="102000" algn="ctr" rotWithShape="0">
              <a:prstClr val="black">
                <a:alpha val="20000"/>
              </a:prstClr>
            </a:outerShdw>
          </a:effectLst>
        </c:spPr>
      </c:pivotFmt>
      <c:pivotFmt>
        <c:idx val="1890"/>
        <c:spPr>
          <a:solidFill>
            <a:schemeClr val="accent6"/>
          </a:solidFill>
          <a:ln>
            <a:noFill/>
          </a:ln>
          <a:effectLst>
            <a:outerShdw blurRad="254000" sx="102000" sy="102000" algn="ctr" rotWithShape="0">
              <a:prstClr val="black">
                <a:alpha val="20000"/>
              </a:prstClr>
            </a:outerShdw>
          </a:effectLst>
        </c:spPr>
      </c:pivotFmt>
      <c:pivotFmt>
        <c:idx val="1891"/>
        <c:spPr>
          <a:solidFill>
            <a:schemeClr val="accent6"/>
          </a:solidFill>
          <a:ln>
            <a:noFill/>
          </a:ln>
          <a:effectLst>
            <a:outerShdw blurRad="254000" sx="102000" sy="102000" algn="ctr" rotWithShape="0">
              <a:prstClr val="black">
                <a:alpha val="20000"/>
              </a:prstClr>
            </a:outerShdw>
          </a:effectLst>
        </c:spPr>
      </c:pivotFmt>
      <c:pivotFmt>
        <c:idx val="1892"/>
        <c:spPr>
          <a:solidFill>
            <a:schemeClr val="accent6"/>
          </a:solidFill>
          <a:ln>
            <a:noFill/>
          </a:ln>
          <a:effectLst>
            <a:outerShdw blurRad="254000" sx="102000" sy="102000" algn="ctr" rotWithShape="0">
              <a:prstClr val="black">
                <a:alpha val="20000"/>
              </a:prstClr>
            </a:outerShdw>
          </a:effectLst>
        </c:spPr>
      </c:pivotFmt>
      <c:pivotFmt>
        <c:idx val="1893"/>
        <c:spPr>
          <a:solidFill>
            <a:schemeClr val="accent6"/>
          </a:solidFill>
          <a:ln>
            <a:noFill/>
          </a:ln>
          <a:effectLst>
            <a:outerShdw blurRad="254000" sx="102000" sy="102000" algn="ctr" rotWithShape="0">
              <a:prstClr val="black">
                <a:alpha val="20000"/>
              </a:prstClr>
            </a:outerShdw>
          </a:effectLst>
        </c:spPr>
      </c:pivotFmt>
      <c:pivotFmt>
        <c:idx val="1894"/>
        <c:spPr>
          <a:solidFill>
            <a:schemeClr val="accent6"/>
          </a:solidFill>
          <a:ln>
            <a:noFill/>
          </a:ln>
          <a:effectLst>
            <a:outerShdw blurRad="254000" sx="102000" sy="102000" algn="ctr" rotWithShape="0">
              <a:prstClr val="black">
                <a:alpha val="20000"/>
              </a:prstClr>
            </a:outerShdw>
          </a:effectLst>
        </c:spPr>
      </c:pivotFmt>
      <c:pivotFmt>
        <c:idx val="1895"/>
        <c:spPr>
          <a:solidFill>
            <a:schemeClr val="accent6"/>
          </a:solidFill>
          <a:ln>
            <a:noFill/>
          </a:ln>
          <a:effectLst>
            <a:outerShdw blurRad="254000" sx="102000" sy="102000" algn="ctr" rotWithShape="0">
              <a:prstClr val="black">
                <a:alpha val="20000"/>
              </a:prstClr>
            </a:outerShdw>
          </a:effectLst>
        </c:spPr>
      </c:pivotFmt>
      <c:pivotFmt>
        <c:idx val="189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97"/>
        <c:spPr>
          <a:solidFill>
            <a:schemeClr val="accent6"/>
          </a:solidFill>
          <a:ln>
            <a:noFill/>
          </a:ln>
          <a:effectLst>
            <a:outerShdw blurRad="254000" sx="102000" sy="102000" algn="ctr" rotWithShape="0">
              <a:prstClr val="black">
                <a:alpha val="20000"/>
              </a:prstClr>
            </a:outerShdw>
          </a:effectLst>
        </c:spPr>
      </c:pivotFmt>
      <c:pivotFmt>
        <c:idx val="1898"/>
        <c:spPr>
          <a:solidFill>
            <a:schemeClr val="accent6"/>
          </a:solidFill>
          <a:ln>
            <a:noFill/>
          </a:ln>
          <a:effectLst>
            <a:outerShdw blurRad="254000" sx="102000" sy="102000" algn="ctr" rotWithShape="0">
              <a:prstClr val="black">
                <a:alpha val="20000"/>
              </a:prstClr>
            </a:outerShdw>
          </a:effectLst>
        </c:spPr>
      </c:pivotFmt>
      <c:pivotFmt>
        <c:idx val="1899"/>
        <c:spPr>
          <a:solidFill>
            <a:schemeClr val="accent6"/>
          </a:solidFill>
          <a:ln>
            <a:noFill/>
          </a:ln>
          <a:effectLst>
            <a:outerShdw blurRad="254000" sx="102000" sy="102000" algn="ctr" rotWithShape="0">
              <a:prstClr val="black">
                <a:alpha val="20000"/>
              </a:prstClr>
            </a:outerShdw>
          </a:effectLst>
        </c:spPr>
      </c:pivotFmt>
      <c:pivotFmt>
        <c:idx val="1900"/>
        <c:spPr>
          <a:solidFill>
            <a:schemeClr val="accent6"/>
          </a:solidFill>
          <a:ln>
            <a:noFill/>
          </a:ln>
          <a:effectLst>
            <a:outerShdw blurRad="254000" sx="102000" sy="102000" algn="ctr" rotWithShape="0">
              <a:prstClr val="black">
                <a:alpha val="20000"/>
              </a:prstClr>
            </a:outerShdw>
          </a:effectLst>
        </c:spPr>
      </c:pivotFmt>
      <c:pivotFmt>
        <c:idx val="1901"/>
        <c:spPr>
          <a:solidFill>
            <a:schemeClr val="accent6"/>
          </a:solidFill>
          <a:ln>
            <a:noFill/>
          </a:ln>
          <a:effectLst>
            <a:outerShdw blurRad="254000" sx="102000" sy="102000" algn="ctr" rotWithShape="0">
              <a:prstClr val="black">
                <a:alpha val="20000"/>
              </a:prstClr>
            </a:outerShdw>
          </a:effectLst>
        </c:spPr>
      </c:pivotFmt>
      <c:pivotFmt>
        <c:idx val="1902"/>
        <c:spPr>
          <a:solidFill>
            <a:schemeClr val="accent6"/>
          </a:solidFill>
          <a:ln>
            <a:noFill/>
          </a:ln>
          <a:effectLst>
            <a:outerShdw blurRad="254000" sx="102000" sy="102000" algn="ctr" rotWithShape="0">
              <a:prstClr val="black">
                <a:alpha val="20000"/>
              </a:prstClr>
            </a:outerShdw>
          </a:effectLst>
        </c:spPr>
      </c:pivotFmt>
      <c:pivotFmt>
        <c:idx val="1903"/>
        <c:spPr>
          <a:solidFill>
            <a:schemeClr val="accent6"/>
          </a:solidFill>
          <a:ln>
            <a:noFill/>
          </a:ln>
          <a:effectLst>
            <a:outerShdw blurRad="254000" sx="102000" sy="102000" algn="ctr" rotWithShape="0">
              <a:prstClr val="black">
                <a:alpha val="20000"/>
              </a:prstClr>
            </a:outerShdw>
          </a:effectLst>
        </c:spPr>
      </c:pivotFmt>
      <c:pivotFmt>
        <c:idx val="1904"/>
        <c:spPr>
          <a:solidFill>
            <a:schemeClr val="accent6"/>
          </a:solidFill>
          <a:ln>
            <a:noFill/>
          </a:ln>
          <a:effectLst>
            <a:outerShdw blurRad="254000" sx="102000" sy="102000" algn="ctr" rotWithShape="0">
              <a:prstClr val="black">
                <a:alpha val="20000"/>
              </a:prstClr>
            </a:outerShdw>
          </a:effectLst>
        </c:spPr>
      </c:pivotFmt>
      <c:pivotFmt>
        <c:idx val="1905"/>
        <c:spPr>
          <a:solidFill>
            <a:schemeClr val="accent6"/>
          </a:solidFill>
          <a:ln>
            <a:noFill/>
          </a:ln>
          <a:effectLst>
            <a:outerShdw blurRad="254000" sx="102000" sy="102000" algn="ctr" rotWithShape="0">
              <a:prstClr val="black">
                <a:alpha val="20000"/>
              </a:prstClr>
            </a:outerShdw>
          </a:effectLst>
        </c:spPr>
      </c:pivotFmt>
      <c:pivotFmt>
        <c:idx val="190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07"/>
        <c:spPr>
          <a:solidFill>
            <a:schemeClr val="accent6"/>
          </a:solidFill>
          <a:ln>
            <a:noFill/>
          </a:ln>
          <a:effectLst>
            <a:outerShdw blurRad="254000" sx="102000" sy="102000" algn="ctr" rotWithShape="0">
              <a:prstClr val="black">
                <a:alpha val="20000"/>
              </a:prstClr>
            </a:outerShdw>
          </a:effectLst>
        </c:spPr>
      </c:pivotFmt>
      <c:pivotFmt>
        <c:idx val="1908"/>
        <c:spPr>
          <a:solidFill>
            <a:schemeClr val="accent6"/>
          </a:solidFill>
          <a:ln>
            <a:noFill/>
          </a:ln>
          <a:effectLst>
            <a:outerShdw blurRad="254000" sx="102000" sy="102000" algn="ctr" rotWithShape="0">
              <a:prstClr val="black">
                <a:alpha val="20000"/>
              </a:prstClr>
            </a:outerShdw>
          </a:effectLst>
        </c:spPr>
      </c:pivotFmt>
      <c:pivotFmt>
        <c:idx val="1909"/>
        <c:spPr>
          <a:solidFill>
            <a:schemeClr val="accent6"/>
          </a:solidFill>
          <a:ln>
            <a:noFill/>
          </a:ln>
          <a:effectLst>
            <a:outerShdw blurRad="254000" sx="102000" sy="102000" algn="ctr" rotWithShape="0">
              <a:prstClr val="black">
                <a:alpha val="20000"/>
              </a:prstClr>
            </a:outerShdw>
          </a:effectLst>
        </c:spPr>
      </c:pivotFmt>
      <c:pivotFmt>
        <c:idx val="1910"/>
        <c:spPr>
          <a:solidFill>
            <a:schemeClr val="accent6"/>
          </a:solidFill>
          <a:ln>
            <a:noFill/>
          </a:ln>
          <a:effectLst>
            <a:outerShdw blurRad="254000" sx="102000" sy="102000" algn="ctr" rotWithShape="0">
              <a:prstClr val="black">
                <a:alpha val="20000"/>
              </a:prstClr>
            </a:outerShdw>
          </a:effectLst>
        </c:spPr>
      </c:pivotFmt>
      <c:pivotFmt>
        <c:idx val="1911"/>
        <c:spPr>
          <a:solidFill>
            <a:schemeClr val="accent6"/>
          </a:solidFill>
          <a:ln>
            <a:noFill/>
          </a:ln>
          <a:effectLst>
            <a:outerShdw blurRad="254000" sx="102000" sy="102000" algn="ctr" rotWithShape="0">
              <a:prstClr val="black">
                <a:alpha val="20000"/>
              </a:prstClr>
            </a:outerShdw>
          </a:effectLst>
        </c:spPr>
      </c:pivotFmt>
      <c:pivotFmt>
        <c:idx val="1912"/>
        <c:spPr>
          <a:solidFill>
            <a:schemeClr val="accent6"/>
          </a:solidFill>
          <a:ln>
            <a:noFill/>
          </a:ln>
          <a:effectLst>
            <a:outerShdw blurRad="254000" sx="102000" sy="102000" algn="ctr" rotWithShape="0">
              <a:prstClr val="black">
                <a:alpha val="20000"/>
              </a:prstClr>
            </a:outerShdw>
          </a:effectLst>
        </c:spPr>
      </c:pivotFmt>
      <c:pivotFmt>
        <c:idx val="1913"/>
        <c:spPr>
          <a:solidFill>
            <a:schemeClr val="accent6"/>
          </a:solidFill>
          <a:ln>
            <a:noFill/>
          </a:ln>
          <a:effectLst>
            <a:outerShdw blurRad="254000" sx="102000" sy="102000" algn="ctr" rotWithShape="0">
              <a:prstClr val="black">
                <a:alpha val="20000"/>
              </a:prstClr>
            </a:outerShdw>
          </a:effectLst>
        </c:spPr>
      </c:pivotFmt>
      <c:pivotFmt>
        <c:idx val="1914"/>
        <c:spPr>
          <a:solidFill>
            <a:schemeClr val="accent6"/>
          </a:solidFill>
          <a:ln>
            <a:noFill/>
          </a:ln>
          <a:effectLst>
            <a:outerShdw blurRad="254000" sx="102000" sy="102000" algn="ctr" rotWithShape="0">
              <a:prstClr val="black">
                <a:alpha val="20000"/>
              </a:prstClr>
            </a:outerShdw>
          </a:effectLst>
        </c:spPr>
      </c:pivotFmt>
      <c:pivotFmt>
        <c:idx val="1915"/>
        <c:spPr>
          <a:solidFill>
            <a:schemeClr val="accent6"/>
          </a:solidFill>
          <a:ln>
            <a:noFill/>
          </a:ln>
          <a:effectLst>
            <a:outerShdw blurRad="254000" sx="102000" sy="102000" algn="ctr" rotWithShape="0">
              <a:prstClr val="black">
                <a:alpha val="20000"/>
              </a:prstClr>
            </a:outerShdw>
          </a:effectLst>
        </c:spPr>
      </c:pivotFmt>
      <c:pivotFmt>
        <c:idx val="191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17"/>
        <c:spPr>
          <a:solidFill>
            <a:schemeClr val="accent6"/>
          </a:solidFill>
          <a:ln>
            <a:noFill/>
          </a:ln>
          <a:effectLst>
            <a:outerShdw blurRad="254000" sx="102000" sy="102000" algn="ctr" rotWithShape="0">
              <a:prstClr val="black">
                <a:alpha val="20000"/>
              </a:prstClr>
            </a:outerShdw>
          </a:effectLst>
        </c:spPr>
      </c:pivotFmt>
      <c:pivotFmt>
        <c:idx val="1918"/>
        <c:spPr>
          <a:solidFill>
            <a:schemeClr val="accent6"/>
          </a:solidFill>
          <a:ln>
            <a:noFill/>
          </a:ln>
          <a:effectLst>
            <a:outerShdw blurRad="254000" sx="102000" sy="102000" algn="ctr" rotWithShape="0">
              <a:prstClr val="black">
                <a:alpha val="20000"/>
              </a:prstClr>
            </a:outerShdw>
          </a:effectLst>
        </c:spPr>
      </c:pivotFmt>
      <c:pivotFmt>
        <c:idx val="1919"/>
        <c:spPr>
          <a:solidFill>
            <a:schemeClr val="accent6"/>
          </a:solidFill>
          <a:ln>
            <a:noFill/>
          </a:ln>
          <a:effectLst>
            <a:outerShdw blurRad="254000" sx="102000" sy="102000" algn="ctr" rotWithShape="0">
              <a:prstClr val="black">
                <a:alpha val="20000"/>
              </a:prstClr>
            </a:outerShdw>
          </a:effectLst>
        </c:spPr>
      </c:pivotFmt>
      <c:pivotFmt>
        <c:idx val="1920"/>
        <c:spPr>
          <a:solidFill>
            <a:schemeClr val="accent6"/>
          </a:solidFill>
          <a:ln>
            <a:noFill/>
          </a:ln>
          <a:effectLst>
            <a:outerShdw blurRad="254000" sx="102000" sy="102000" algn="ctr" rotWithShape="0">
              <a:prstClr val="black">
                <a:alpha val="20000"/>
              </a:prstClr>
            </a:outerShdw>
          </a:effectLst>
        </c:spPr>
      </c:pivotFmt>
      <c:pivotFmt>
        <c:idx val="1921"/>
        <c:spPr>
          <a:solidFill>
            <a:schemeClr val="accent6"/>
          </a:solidFill>
          <a:ln>
            <a:noFill/>
          </a:ln>
          <a:effectLst>
            <a:outerShdw blurRad="254000" sx="102000" sy="102000" algn="ctr" rotWithShape="0">
              <a:prstClr val="black">
                <a:alpha val="20000"/>
              </a:prstClr>
            </a:outerShdw>
          </a:effectLst>
        </c:spPr>
      </c:pivotFmt>
      <c:pivotFmt>
        <c:idx val="1922"/>
        <c:spPr>
          <a:solidFill>
            <a:schemeClr val="accent6"/>
          </a:solidFill>
          <a:ln>
            <a:noFill/>
          </a:ln>
          <a:effectLst>
            <a:outerShdw blurRad="254000" sx="102000" sy="102000" algn="ctr" rotWithShape="0">
              <a:prstClr val="black">
                <a:alpha val="20000"/>
              </a:prstClr>
            </a:outerShdw>
          </a:effectLst>
        </c:spPr>
      </c:pivotFmt>
      <c:pivotFmt>
        <c:idx val="1923"/>
        <c:spPr>
          <a:solidFill>
            <a:schemeClr val="accent6"/>
          </a:solidFill>
          <a:ln>
            <a:noFill/>
          </a:ln>
          <a:effectLst>
            <a:outerShdw blurRad="254000" sx="102000" sy="102000" algn="ctr" rotWithShape="0">
              <a:prstClr val="black">
                <a:alpha val="20000"/>
              </a:prstClr>
            </a:outerShdw>
          </a:effectLst>
        </c:spPr>
      </c:pivotFmt>
      <c:pivotFmt>
        <c:idx val="1924"/>
        <c:spPr>
          <a:solidFill>
            <a:schemeClr val="accent6"/>
          </a:solidFill>
          <a:ln>
            <a:noFill/>
          </a:ln>
          <a:effectLst>
            <a:outerShdw blurRad="254000" sx="102000" sy="102000" algn="ctr" rotWithShape="0">
              <a:prstClr val="black">
                <a:alpha val="20000"/>
              </a:prstClr>
            </a:outerShdw>
          </a:effectLst>
        </c:spPr>
      </c:pivotFmt>
      <c:pivotFmt>
        <c:idx val="1925"/>
        <c:spPr>
          <a:solidFill>
            <a:schemeClr val="accent6"/>
          </a:solidFill>
          <a:ln>
            <a:noFill/>
          </a:ln>
          <a:effectLst>
            <a:outerShdw blurRad="254000" sx="102000" sy="102000" algn="ctr" rotWithShape="0">
              <a:prstClr val="black">
                <a:alpha val="20000"/>
              </a:prstClr>
            </a:outerShdw>
          </a:effectLst>
        </c:spPr>
      </c:pivotFmt>
      <c:pivotFmt>
        <c:idx val="192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2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28"/>
        <c:spPr>
          <a:solidFill>
            <a:schemeClr val="accent6"/>
          </a:solidFill>
          <a:ln>
            <a:noFill/>
          </a:ln>
          <a:effectLst>
            <a:outerShdw blurRad="254000" sx="102000" sy="102000" algn="ctr" rotWithShape="0">
              <a:prstClr val="black">
                <a:alpha val="20000"/>
              </a:prstClr>
            </a:outerShdw>
          </a:effectLst>
        </c:spPr>
      </c:pivotFmt>
      <c:pivotFmt>
        <c:idx val="1929"/>
        <c:spPr>
          <a:solidFill>
            <a:schemeClr val="accent6"/>
          </a:solidFill>
          <a:ln>
            <a:noFill/>
          </a:ln>
          <a:effectLst>
            <a:outerShdw blurRad="254000" sx="102000" sy="102000" algn="ctr" rotWithShape="0">
              <a:prstClr val="black">
                <a:alpha val="20000"/>
              </a:prstClr>
            </a:outerShdw>
          </a:effectLst>
        </c:spPr>
      </c:pivotFmt>
      <c:pivotFmt>
        <c:idx val="1930"/>
        <c:spPr>
          <a:solidFill>
            <a:schemeClr val="accent6"/>
          </a:solidFill>
          <a:ln>
            <a:noFill/>
          </a:ln>
          <a:effectLst>
            <a:outerShdw blurRad="254000" sx="102000" sy="102000" algn="ctr" rotWithShape="0">
              <a:prstClr val="black">
                <a:alpha val="20000"/>
              </a:prstClr>
            </a:outerShdw>
          </a:effectLst>
        </c:spPr>
      </c:pivotFmt>
      <c:pivotFmt>
        <c:idx val="1931"/>
        <c:spPr>
          <a:solidFill>
            <a:schemeClr val="accent6"/>
          </a:solidFill>
          <a:ln>
            <a:noFill/>
          </a:ln>
          <a:effectLst>
            <a:outerShdw blurRad="254000" sx="102000" sy="102000" algn="ctr" rotWithShape="0">
              <a:prstClr val="black">
                <a:alpha val="20000"/>
              </a:prstClr>
            </a:outerShdw>
          </a:effectLst>
        </c:spPr>
      </c:pivotFmt>
      <c:pivotFmt>
        <c:idx val="1932"/>
        <c:spPr>
          <a:solidFill>
            <a:schemeClr val="accent6"/>
          </a:solidFill>
          <a:ln>
            <a:noFill/>
          </a:ln>
          <a:effectLst>
            <a:outerShdw blurRad="254000" sx="102000" sy="102000" algn="ctr" rotWithShape="0">
              <a:prstClr val="black">
                <a:alpha val="20000"/>
              </a:prstClr>
            </a:outerShdw>
          </a:effectLst>
        </c:spPr>
      </c:pivotFmt>
      <c:pivotFmt>
        <c:idx val="1933"/>
        <c:spPr>
          <a:solidFill>
            <a:schemeClr val="accent6"/>
          </a:solidFill>
          <a:ln>
            <a:noFill/>
          </a:ln>
          <a:effectLst>
            <a:outerShdw blurRad="254000" sx="102000" sy="102000" algn="ctr" rotWithShape="0">
              <a:prstClr val="black">
                <a:alpha val="20000"/>
              </a:prstClr>
            </a:outerShdw>
          </a:effectLst>
        </c:spPr>
      </c:pivotFmt>
      <c:pivotFmt>
        <c:idx val="1934"/>
        <c:spPr>
          <a:solidFill>
            <a:schemeClr val="accent6"/>
          </a:solidFill>
          <a:ln>
            <a:noFill/>
          </a:ln>
          <a:effectLst>
            <a:outerShdw blurRad="254000" sx="102000" sy="102000" algn="ctr" rotWithShape="0">
              <a:prstClr val="black">
                <a:alpha val="20000"/>
              </a:prstClr>
            </a:outerShdw>
          </a:effectLst>
        </c:spPr>
      </c:pivotFmt>
      <c:pivotFmt>
        <c:idx val="1935"/>
        <c:spPr>
          <a:solidFill>
            <a:schemeClr val="accent6"/>
          </a:solidFill>
          <a:ln>
            <a:noFill/>
          </a:ln>
          <a:effectLst>
            <a:outerShdw blurRad="254000" sx="102000" sy="102000" algn="ctr" rotWithShape="0">
              <a:prstClr val="black">
                <a:alpha val="20000"/>
              </a:prstClr>
            </a:outerShdw>
          </a:effectLst>
        </c:spPr>
      </c:pivotFmt>
      <c:pivotFmt>
        <c:idx val="1936"/>
        <c:spPr>
          <a:solidFill>
            <a:schemeClr val="accent6"/>
          </a:solidFill>
          <a:ln>
            <a:noFill/>
          </a:ln>
          <a:effectLst>
            <a:outerShdw blurRad="254000" sx="102000" sy="102000" algn="ctr" rotWithShape="0">
              <a:prstClr val="black">
                <a:alpha val="20000"/>
              </a:prstClr>
            </a:outerShdw>
          </a:effectLst>
        </c:spPr>
      </c:pivotFmt>
      <c:pivotFmt>
        <c:idx val="193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38"/>
        <c:spPr>
          <a:solidFill>
            <a:schemeClr val="accent6"/>
          </a:solidFill>
          <a:ln>
            <a:noFill/>
          </a:ln>
          <a:effectLst>
            <a:outerShdw blurRad="254000" sx="102000" sy="102000" algn="ctr" rotWithShape="0">
              <a:prstClr val="black">
                <a:alpha val="20000"/>
              </a:prstClr>
            </a:outerShdw>
          </a:effectLst>
        </c:spPr>
      </c:pivotFmt>
      <c:pivotFmt>
        <c:idx val="1939"/>
        <c:spPr>
          <a:solidFill>
            <a:schemeClr val="accent6"/>
          </a:solidFill>
          <a:ln>
            <a:noFill/>
          </a:ln>
          <a:effectLst>
            <a:outerShdw blurRad="254000" sx="102000" sy="102000" algn="ctr" rotWithShape="0">
              <a:prstClr val="black">
                <a:alpha val="20000"/>
              </a:prstClr>
            </a:outerShdw>
          </a:effectLst>
        </c:spPr>
      </c:pivotFmt>
      <c:pivotFmt>
        <c:idx val="1940"/>
        <c:spPr>
          <a:solidFill>
            <a:schemeClr val="accent6"/>
          </a:solidFill>
          <a:ln>
            <a:noFill/>
          </a:ln>
          <a:effectLst>
            <a:outerShdw blurRad="254000" sx="102000" sy="102000" algn="ctr" rotWithShape="0">
              <a:prstClr val="black">
                <a:alpha val="20000"/>
              </a:prstClr>
            </a:outerShdw>
          </a:effectLst>
        </c:spPr>
      </c:pivotFmt>
      <c:pivotFmt>
        <c:idx val="1941"/>
        <c:spPr>
          <a:solidFill>
            <a:schemeClr val="accent6"/>
          </a:solidFill>
          <a:ln>
            <a:noFill/>
          </a:ln>
          <a:effectLst>
            <a:outerShdw blurRad="254000" sx="102000" sy="102000" algn="ctr" rotWithShape="0">
              <a:prstClr val="black">
                <a:alpha val="20000"/>
              </a:prstClr>
            </a:outerShdw>
          </a:effectLst>
        </c:spPr>
      </c:pivotFmt>
      <c:pivotFmt>
        <c:idx val="1942"/>
        <c:spPr>
          <a:solidFill>
            <a:schemeClr val="accent6"/>
          </a:solidFill>
          <a:ln>
            <a:noFill/>
          </a:ln>
          <a:effectLst>
            <a:outerShdw blurRad="254000" sx="102000" sy="102000" algn="ctr" rotWithShape="0">
              <a:prstClr val="black">
                <a:alpha val="20000"/>
              </a:prstClr>
            </a:outerShdw>
          </a:effectLst>
        </c:spPr>
      </c:pivotFmt>
      <c:pivotFmt>
        <c:idx val="1943"/>
        <c:spPr>
          <a:solidFill>
            <a:schemeClr val="accent6"/>
          </a:solidFill>
          <a:ln>
            <a:noFill/>
          </a:ln>
          <a:effectLst>
            <a:outerShdw blurRad="254000" sx="102000" sy="102000" algn="ctr" rotWithShape="0">
              <a:prstClr val="black">
                <a:alpha val="20000"/>
              </a:prstClr>
            </a:outerShdw>
          </a:effectLst>
        </c:spPr>
      </c:pivotFmt>
      <c:pivotFmt>
        <c:idx val="1944"/>
        <c:spPr>
          <a:solidFill>
            <a:schemeClr val="accent6"/>
          </a:solidFill>
          <a:ln>
            <a:noFill/>
          </a:ln>
          <a:effectLst>
            <a:outerShdw blurRad="254000" sx="102000" sy="102000" algn="ctr" rotWithShape="0">
              <a:prstClr val="black">
                <a:alpha val="20000"/>
              </a:prstClr>
            </a:outerShdw>
          </a:effectLst>
        </c:spPr>
      </c:pivotFmt>
      <c:pivotFmt>
        <c:idx val="1945"/>
        <c:spPr>
          <a:solidFill>
            <a:schemeClr val="accent6"/>
          </a:solidFill>
          <a:ln>
            <a:noFill/>
          </a:ln>
          <a:effectLst>
            <a:outerShdw blurRad="254000" sx="102000" sy="102000" algn="ctr" rotWithShape="0">
              <a:prstClr val="black">
                <a:alpha val="20000"/>
              </a:prstClr>
            </a:outerShdw>
          </a:effectLst>
        </c:spPr>
      </c:pivotFmt>
      <c:pivotFmt>
        <c:idx val="1946"/>
        <c:spPr>
          <a:solidFill>
            <a:schemeClr val="accent6"/>
          </a:solidFill>
          <a:ln>
            <a:noFill/>
          </a:ln>
          <a:effectLst>
            <a:outerShdw blurRad="254000" sx="102000" sy="102000" algn="ctr" rotWithShape="0">
              <a:prstClr val="black">
                <a:alpha val="20000"/>
              </a:prstClr>
            </a:outerShdw>
          </a:effectLst>
        </c:spPr>
      </c:pivotFmt>
      <c:pivotFmt>
        <c:idx val="194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48"/>
        <c:spPr>
          <a:solidFill>
            <a:schemeClr val="accent6"/>
          </a:solidFill>
          <a:ln>
            <a:noFill/>
          </a:ln>
          <a:effectLst>
            <a:outerShdw blurRad="254000" sx="102000" sy="102000" algn="ctr" rotWithShape="0">
              <a:prstClr val="black">
                <a:alpha val="20000"/>
              </a:prstClr>
            </a:outerShdw>
          </a:effectLst>
        </c:spPr>
      </c:pivotFmt>
      <c:pivotFmt>
        <c:idx val="1949"/>
        <c:spPr>
          <a:solidFill>
            <a:schemeClr val="accent6"/>
          </a:solidFill>
          <a:ln>
            <a:noFill/>
          </a:ln>
          <a:effectLst>
            <a:outerShdw blurRad="254000" sx="102000" sy="102000" algn="ctr" rotWithShape="0">
              <a:prstClr val="black">
                <a:alpha val="20000"/>
              </a:prstClr>
            </a:outerShdw>
          </a:effectLst>
        </c:spPr>
      </c:pivotFmt>
      <c:pivotFmt>
        <c:idx val="1950"/>
        <c:spPr>
          <a:solidFill>
            <a:schemeClr val="accent6"/>
          </a:solidFill>
          <a:ln>
            <a:noFill/>
          </a:ln>
          <a:effectLst>
            <a:outerShdw blurRad="254000" sx="102000" sy="102000" algn="ctr" rotWithShape="0">
              <a:prstClr val="black">
                <a:alpha val="20000"/>
              </a:prstClr>
            </a:outerShdw>
          </a:effectLst>
        </c:spPr>
      </c:pivotFmt>
      <c:pivotFmt>
        <c:idx val="1951"/>
        <c:spPr>
          <a:solidFill>
            <a:schemeClr val="accent6"/>
          </a:solidFill>
          <a:ln>
            <a:noFill/>
          </a:ln>
          <a:effectLst>
            <a:outerShdw blurRad="254000" sx="102000" sy="102000" algn="ctr" rotWithShape="0">
              <a:prstClr val="black">
                <a:alpha val="20000"/>
              </a:prstClr>
            </a:outerShdw>
          </a:effectLst>
        </c:spPr>
      </c:pivotFmt>
      <c:pivotFmt>
        <c:idx val="1952"/>
        <c:spPr>
          <a:solidFill>
            <a:schemeClr val="accent6"/>
          </a:solidFill>
          <a:ln>
            <a:noFill/>
          </a:ln>
          <a:effectLst>
            <a:outerShdw blurRad="254000" sx="102000" sy="102000" algn="ctr" rotWithShape="0">
              <a:prstClr val="black">
                <a:alpha val="20000"/>
              </a:prstClr>
            </a:outerShdw>
          </a:effectLst>
        </c:spPr>
      </c:pivotFmt>
      <c:pivotFmt>
        <c:idx val="1953"/>
        <c:spPr>
          <a:solidFill>
            <a:schemeClr val="accent6"/>
          </a:solidFill>
          <a:ln>
            <a:noFill/>
          </a:ln>
          <a:effectLst>
            <a:outerShdw blurRad="254000" sx="102000" sy="102000" algn="ctr" rotWithShape="0">
              <a:prstClr val="black">
                <a:alpha val="20000"/>
              </a:prstClr>
            </a:outerShdw>
          </a:effectLst>
        </c:spPr>
      </c:pivotFmt>
      <c:pivotFmt>
        <c:idx val="1954"/>
        <c:spPr>
          <a:solidFill>
            <a:schemeClr val="accent6"/>
          </a:solidFill>
          <a:ln>
            <a:noFill/>
          </a:ln>
          <a:effectLst>
            <a:outerShdw blurRad="254000" sx="102000" sy="102000" algn="ctr" rotWithShape="0">
              <a:prstClr val="black">
                <a:alpha val="20000"/>
              </a:prstClr>
            </a:outerShdw>
          </a:effectLst>
        </c:spPr>
      </c:pivotFmt>
      <c:pivotFmt>
        <c:idx val="1955"/>
        <c:spPr>
          <a:solidFill>
            <a:schemeClr val="accent6"/>
          </a:solidFill>
          <a:ln>
            <a:noFill/>
          </a:ln>
          <a:effectLst>
            <a:outerShdw blurRad="254000" sx="102000" sy="102000" algn="ctr" rotWithShape="0">
              <a:prstClr val="black">
                <a:alpha val="20000"/>
              </a:prstClr>
            </a:outerShdw>
          </a:effectLst>
        </c:spPr>
      </c:pivotFmt>
      <c:pivotFmt>
        <c:idx val="1956"/>
        <c:spPr>
          <a:solidFill>
            <a:schemeClr val="accent6"/>
          </a:solidFill>
          <a:ln>
            <a:noFill/>
          </a:ln>
          <a:effectLst>
            <a:outerShdw blurRad="254000" sx="102000" sy="102000" algn="ctr" rotWithShape="0">
              <a:prstClr val="black">
                <a:alpha val="20000"/>
              </a:prstClr>
            </a:outerShdw>
          </a:effectLst>
        </c:spPr>
      </c:pivotFmt>
      <c:pivotFmt>
        <c:idx val="195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58"/>
        <c:spPr>
          <a:solidFill>
            <a:schemeClr val="accent6"/>
          </a:solidFill>
          <a:ln>
            <a:noFill/>
          </a:ln>
          <a:effectLst>
            <a:outerShdw blurRad="254000" sx="102000" sy="102000" algn="ctr" rotWithShape="0">
              <a:prstClr val="black">
                <a:alpha val="20000"/>
              </a:prstClr>
            </a:outerShdw>
          </a:effectLst>
        </c:spPr>
      </c:pivotFmt>
      <c:pivotFmt>
        <c:idx val="1959"/>
        <c:spPr>
          <a:solidFill>
            <a:schemeClr val="accent6"/>
          </a:solidFill>
          <a:ln>
            <a:noFill/>
          </a:ln>
          <a:effectLst>
            <a:outerShdw blurRad="254000" sx="102000" sy="102000" algn="ctr" rotWithShape="0">
              <a:prstClr val="black">
                <a:alpha val="20000"/>
              </a:prstClr>
            </a:outerShdw>
          </a:effectLst>
        </c:spPr>
      </c:pivotFmt>
      <c:pivotFmt>
        <c:idx val="1960"/>
        <c:spPr>
          <a:solidFill>
            <a:schemeClr val="accent6"/>
          </a:solidFill>
          <a:ln>
            <a:noFill/>
          </a:ln>
          <a:effectLst>
            <a:outerShdw blurRad="254000" sx="102000" sy="102000" algn="ctr" rotWithShape="0">
              <a:prstClr val="black">
                <a:alpha val="20000"/>
              </a:prstClr>
            </a:outerShdw>
          </a:effectLst>
        </c:spPr>
      </c:pivotFmt>
      <c:pivotFmt>
        <c:idx val="1961"/>
        <c:spPr>
          <a:solidFill>
            <a:schemeClr val="accent6"/>
          </a:solidFill>
          <a:ln>
            <a:noFill/>
          </a:ln>
          <a:effectLst>
            <a:outerShdw blurRad="254000" sx="102000" sy="102000" algn="ctr" rotWithShape="0">
              <a:prstClr val="black">
                <a:alpha val="20000"/>
              </a:prstClr>
            </a:outerShdw>
          </a:effectLst>
        </c:spPr>
      </c:pivotFmt>
      <c:pivotFmt>
        <c:idx val="1962"/>
        <c:spPr>
          <a:solidFill>
            <a:schemeClr val="accent6"/>
          </a:solidFill>
          <a:ln>
            <a:noFill/>
          </a:ln>
          <a:effectLst>
            <a:outerShdw blurRad="254000" sx="102000" sy="102000" algn="ctr" rotWithShape="0">
              <a:prstClr val="black">
                <a:alpha val="20000"/>
              </a:prstClr>
            </a:outerShdw>
          </a:effectLst>
        </c:spPr>
      </c:pivotFmt>
      <c:pivotFmt>
        <c:idx val="1963"/>
        <c:spPr>
          <a:solidFill>
            <a:schemeClr val="accent6"/>
          </a:solidFill>
          <a:ln>
            <a:noFill/>
          </a:ln>
          <a:effectLst>
            <a:outerShdw blurRad="254000" sx="102000" sy="102000" algn="ctr" rotWithShape="0">
              <a:prstClr val="black">
                <a:alpha val="20000"/>
              </a:prstClr>
            </a:outerShdw>
          </a:effectLst>
        </c:spPr>
      </c:pivotFmt>
      <c:pivotFmt>
        <c:idx val="1964"/>
        <c:spPr>
          <a:solidFill>
            <a:schemeClr val="accent6"/>
          </a:solidFill>
          <a:ln>
            <a:noFill/>
          </a:ln>
          <a:effectLst>
            <a:outerShdw blurRad="254000" sx="102000" sy="102000" algn="ctr" rotWithShape="0">
              <a:prstClr val="black">
                <a:alpha val="20000"/>
              </a:prstClr>
            </a:outerShdw>
          </a:effectLst>
        </c:spPr>
      </c:pivotFmt>
      <c:pivotFmt>
        <c:idx val="1965"/>
        <c:spPr>
          <a:solidFill>
            <a:schemeClr val="accent6"/>
          </a:solidFill>
          <a:ln>
            <a:noFill/>
          </a:ln>
          <a:effectLst>
            <a:outerShdw blurRad="254000" sx="102000" sy="102000" algn="ctr" rotWithShape="0">
              <a:prstClr val="black">
                <a:alpha val="20000"/>
              </a:prstClr>
            </a:outerShdw>
          </a:effectLst>
        </c:spPr>
      </c:pivotFmt>
      <c:pivotFmt>
        <c:idx val="1966"/>
        <c:spPr>
          <a:solidFill>
            <a:schemeClr val="accent6"/>
          </a:solidFill>
          <a:ln>
            <a:noFill/>
          </a:ln>
          <a:effectLst>
            <a:outerShdw blurRad="254000" sx="102000" sy="102000" algn="ctr" rotWithShape="0">
              <a:prstClr val="black">
                <a:alpha val="20000"/>
              </a:prstClr>
            </a:outerShdw>
          </a:effectLst>
        </c:spPr>
      </c:pivotFmt>
      <c:pivotFmt>
        <c:idx val="1967"/>
        <c:spPr>
          <a:solidFill>
            <a:schemeClr val="accent6"/>
          </a:solidFill>
          <a:ln>
            <a:noFill/>
          </a:ln>
          <a:effectLst>
            <a:outerShdw blurRad="254000" sx="102000" sy="102000" algn="ctr" rotWithShape="0">
              <a:prstClr val="black">
                <a:alpha val="20000"/>
              </a:prstClr>
            </a:outerShdw>
          </a:effectLst>
        </c:spPr>
      </c:pivotFmt>
      <c:pivotFmt>
        <c:idx val="1968"/>
        <c:spPr>
          <a:solidFill>
            <a:schemeClr val="accent6"/>
          </a:solidFill>
          <a:ln>
            <a:noFill/>
          </a:ln>
          <a:effectLst>
            <a:outerShdw blurRad="254000" sx="102000" sy="102000" algn="ctr" rotWithShape="0">
              <a:prstClr val="black">
                <a:alpha val="20000"/>
              </a:prstClr>
            </a:outerShdw>
          </a:effectLst>
        </c:spPr>
      </c:pivotFmt>
      <c:pivotFmt>
        <c:idx val="1969"/>
        <c:spPr>
          <a:solidFill>
            <a:schemeClr val="accent6"/>
          </a:solidFill>
          <a:ln>
            <a:noFill/>
          </a:ln>
          <a:effectLst>
            <a:outerShdw blurRad="254000" sx="102000" sy="102000" algn="ctr" rotWithShape="0">
              <a:prstClr val="black">
                <a:alpha val="20000"/>
              </a:prstClr>
            </a:outerShdw>
          </a:effectLst>
        </c:spPr>
      </c:pivotFmt>
      <c:pivotFmt>
        <c:idx val="1970"/>
        <c:spPr>
          <a:solidFill>
            <a:schemeClr val="accent6"/>
          </a:solidFill>
          <a:ln>
            <a:noFill/>
          </a:ln>
          <a:effectLst>
            <a:outerShdw blurRad="254000" sx="102000" sy="102000" algn="ctr" rotWithShape="0">
              <a:prstClr val="black">
                <a:alpha val="20000"/>
              </a:prstClr>
            </a:outerShdw>
          </a:effectLst>
        </c:spPr>
      </c:pivotFmt>
      <c:pivotFmt>
        <c:idx val="1971"/>
        <c:spPr>
          <a:solidFill>
            <a:schemeClr val="accent6"/>
          </a:solidFill>
          <a:ln>
            <a:noFill/>
          </a:ln>
          <a:effectLst>
            <a:outerShdw blurRad="254000" sx="102000" sy="102000" algn="ctr" rotWithShape="0">
              <a:prstClr val="black">
                <a:alpha val="20000"/>
              </a:prstClr>
            </a:outerShdw>
          </a:effectLst>
        </c:spPr>
      </c:pivotFmt>
      <c:pivotFmt>
        <c:idx val="1972"/>
        <c:spPr>
          <a:solidFill>
            <a:schemeClr val="accent6"/>
          </a:solidFill>
          <a:ln>
            <a:noFill/>
          </a:ln>
          <a:effectLst>
            <a:outerShdw blurRad="254000" sx="102000" sy="102000" algn="ctr" rotWithShape="0">
              <a:prstClr val="black">
                <a:alpha val="20000"/>
              </a:prstClr>
            </a:outerShdw>
          </a:effectLst>
        </c:spPr>
      </c:pivotFmt>
      <c:pivotFmt>
        <c:idx val="1973"/>
        <c:spPr>
          <a:solidFill>
            <a:schemeClr val="accent6"/>
          </a:solidFill>
          <a:ln>
            <a:noFill/>
          </a:ln>
          <a:effectLst>
            <a:outerShdw blurRad="254000" sx="102000" sy="102000" algn="ctr" rotWithShape="0">
              <a:prstClr val="black">
                <a:alpha val="20000"/>
              </a:prstClr>
            </a:outerShdw>
          </a:effectLst>
        </c:spPr>
      </c:pivotFmt>
      <c:pivotFmt>
        <c:idx val="1974"/>
        <c:spPr>
          <a:solidFill>
            <a:schemeClr val="accent6"/>
          </a:solidFill>
          <a:ln>
            <a:noFill/>
          </a:ln>
          <a:effectLst>
            <a:outerShdw blurRad="254000" sx="102000" sy="102000" algn="ctr" rotWithShape="0">
              <a:prstClr val="black">
                <a:alpha val="20000"/>
              </a:prstClr>
            </a:outerShdw>
          </a:effectLst>
        </c:spPr>
      </c:pivotFmt>
      <c:pivotFmt>
        <c:idx val="1975"/>
        <c:spPr>
          <a:solidFill>
            <a:schemeClr val="accent6"/>
          </a:solidFill>
          <a:ln>
            <a:noFill/>
          </a:ln>
          <a:effectLst>
            <a:outerShdw blurRad="254000" sx="102000" sy="102000" algn="ctr" rotWithShape="0">
              <a:prstClr val="black">
                <a:alpha val="20000"/>
              </a:prstClr>
            </a:outerShdw>
          </a:effectLst>
        </c:spPr>
      </c:pivotFmt>
      <c:pivotFmt>
        <c:idx val="197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7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7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7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8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82"/>
        <c:spPr>
          <a:solidFill>
            <a:schemeClr val="accent6"/>
          </a:solidFill>
          <a:ln>
            <a:noFill/>
          </a:ln>
          <a:effectLst>
            <a:outerShdw blurRad="254000" sx="102000" sy="102000" algn="ctr" rotWithShape="0">
              <a:prstClr val="black">
                <a:alpha val="20000"/>
              </a:prstClr>
            </a:outerShdw>
          </a:effectLst>
        </c:spPr>
      </c:pivotFmt>
      <c:pivotFmt>
        <c:idx val="1983"/>
        <c:spPr>
          <a:solidFill>
            <a:schemeClr val="accent6"/>
          </a:solidFill>
          <a:ln>
            <a:noFill/>
          </a:ln>
          <a:effectLst>
            <a:outerShdw blurRad="254000" sx="102000" sy="102000" algn="ctr" rotWithShape="0">
              <a:prstClr val="black">
                <a:alpha val="20000"/>
              </a:prstClr>
            </a:outerShdw>
          </a:effectLst>
        </c:spPr>
      </c:pivotFmt>
      <c:pivotFmt>
        <c:idx val="1984"/>
        <c:spPr>
          <a:solidFill>
            <a:schemeClr val="accent6"/>
          </a:solidFill>
          <a:ln>
            <a:noFill/>
          </a:ln>
          <a:effectLst>
            <a:outerShdw blurRad="254000" sx="102000" sy="102000" algn="ctr" rotWithShape="0">
              <a:prstClr val="black">
                <a:alpha val="20000"/>
              </a:prstClr>
            </a:outerShdw>
          </a:effectLst>
        </c:spPr>
      </c:pivotFmt>
      <c:pivotFmt>
        <c:idx val="1985"/>
        <c:spPr>
          <a:solidFill>
            <a:schemeClr val="accent6"/>
          </a:solidFill>
          <a:ln>
            <a:noFill/>
          </a:ln>
          <a:effectLst>
            <a:outerShdw blurRad="254000" sx="102000" sy="102000" algn="ctr" rotWithShape="0">
              <a:prstClr val="black">
                <a:alpha val="20000"/>
              </a:prstClr>
            </a:outerShdw>
          </a:effectLst>
        </c:spPr>
      </c:pivotFmt>
      <c:pivotFmt>
        <c:idx val="1986"/>
        <c:spPr>
          <a:solidFill>
            <a:schemeClr val="accent6"/>
          </a:solidFill>
          <a:ln>
            <a:noFill/>
          </a:ln>
          <a:effectLst>
            <a:outerShdw blurRad="254000" sx="102000" sy="102000" algn="ctr" rotWithShape="0">
              <a:prstClr val="black">
                <a:alpha val="20000"/>
              </a:prstClr>
            </a:outerShdw>
          </a:effectLst>
        </c:spPr>
      </c:pivotFmt>
      <c:pivotFmt>
        <c:idx val="1987"/>
        <c:spPr>
          <a:solidFill>
            <a:schemeClr val="accent6"/>
          </a:solidFill>
          <a:ln>
            <a:noFill/>
          </a:ln>
          <a:effectLst>
            <a:outerShdw blurRad="254000" sx="102000" sy="102000" algn="ctr" rotWithShape="0">
              <a:prstClr val="black">
                <a:alpha val="20000"/>
              </a:prstClr>
            </a:outerShdw>
          </a:effectLst>
        </c:spPr>
      </c:pivotFmt>
      <c:pivotFmt>
        <c:idx val="1988"/>
        <c:spPr>
          <a:solidFill>
            <a:schemeClr val="accent6"/>
          </a:solidFill>
          <a:ln>
            <a:noFill/>
          </a:ln>
          <a:effectLst>
            <a:outerShdw blurRad="254000" sx="102000" sy="102000" algn="ctr" rotWithShape="0">
              <a:prstClr val="black">
                <a:alpha val="20000"/>
              </a:prstClr>
            </a:outerShdw>
          </a:effectLst>
        </c:spPr>
      </c:pivotFmt>
      <c:pivotFmt>
        <c:idx val="1989"/>
        <c:spPr>
          <a:solidFill>
            <a:schemeClr val="accent6"/>
          </a:solidFill>
          <a:ln>
            <a:noFill/>
          </a:ln>
          <a:effectLst>
            <a:outerShdw blurRad="254000" sx="102000" sy="102000" algn="ctr" rotWithShape="0">
              <a:prstClr val="black">
                <a:alpha val="20000"/>
              </a:prstClr>
            </a:outerShdw>
          </a:effectLst>
        </c:spPr>
      </c:pivotFmt>
      <c:pivotFmt>
        <c:idx val="1990"/>
        <c:spPr>
          <a:solidFill>
            <a:schemeClr val="accent6"/>
          </a:solidFill>
          <a:ln>
            <a:noFill/>
          </a:ln>
          <a:effectLst>
            <a:outerShdw blurRad="254000" sx="102000" sy="102000" algn="ctr" rotWithShape="0">
              <a:prstClr val="black">
                <a:alpha val="20000"/>
              </a:prstClr>
            </a:outerShdw>
          </a:effectLst>
        </c:spPr>
      </c:pivotFmt>
      <c:pivotFmt>
        <c:idx val="19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92"/>
        <c:spPr>
          <a:solidFill>
            <a:schemeClr val="accent6"/>
          </a:solidFill>
          <a:ln>
            <a:noFill/>
          </a:ln>
          <a:effectLst>
            <a:outerShdw blurRad="254000" sx="102000" sy="102000" algn="ctr" rotWithShape="0">
              <a:prstClr val="black">
                <a:alpha val="20000"/>
              </a:prstClr>
            </a:outerShdw>
          </a:effectLst>
        </c:spPr>
      </c:pivotFmt>
      <c:pivotFmt>
        <c:idx val="1993"/>
        <c:spPr>
          <a:solidFill>
            <a:schemeClr val="accent6"/>
          </a:solidFill>
          <a:ln>
            <a:noFill/>
          </a:ln>
          <a:effectLst>
            <a:outerShdw blurRad="254000" sx="102000" sy="102000" algn="ctr" rotWithShape="0">
              <a:prstClr val="black">
                <a:alpha val="20000"/>
              </a:prstClr>
            </a:outerShdw>
          </a:effectLst>
        </c:spPr>
      </c:pivotFmt>
      <c:pivotFmt>
        <c:idx val="1994"/>
        <c:spPr>
          <a:solidFill>
            <a:schemeClr val="accent6"/>
          </a:solidFill>
          <a:ln>
            <a:noFill/>
          </a:ln>
          <a:effectLst>
            <a:outerShdw blurRad="254000" sx="102000" sy="102000" algn="ctr" rotWithShape="0">
              <a:prstClr val="black">
                <a:alpha val="20000"/>
              </a:prstClr>
            </a:outerShdw>
          </a:effectLst>
        </c:spPr>
      </c:pivotFmt>
      <c:pivotFmt>
        <c:idx val="1995"/>
        <c:spPr>
          <a:solidFill>
            <a:schemeClr val="accent6"/>
          </a:solidFill>
          <a:ln>
            <a:noFill/>
          </a:ln>
          <a:effectLst>
            <a:outerShdw blurRad="254000" sx="102000" sy="102000" algn="ctr" rotWithShape="0">
              <a:prstClr val="black">
                <a:alpha val="20000"/>
              </a:prstClr>
            </a:outerShdw>
          </a:effectLst>
        </c:spPr>
      </c:pivotFmt>
      <c:pivotFmt>
        <c:idx val="1996"/>
        <c:spPr>
          <a:solidFill>
            <a:schemeClr val="accent6"/>
          </a:solidFill>
          <a:ln>
            <a:noFill/>
          </a:ln>
          <a:effectLst>
            <a:outerShdw blurRad="254000" sx="102000" sy="102000" algn="ctr" rotWithShape="0">
              <a:prstClr val="black">
                <a:alpha val="20000"/>
              </a:prstClr>
            </a:outerShdw>
          </a:effectLst>
        </c:spPr>
      </c:pivotFmt>
      <c:pivotFmt>
        <c:idx val="1997"/>
        <c:spPr>
          <a:solidFill>
            <a:schemeClr val="accent6"/>
          </a:solidFill>
          <a:ln>
            <a:noFill/>
          </a:ln>
          <a:effectLst>
            <a:outerShdw blurRad="254000" sx="102000" sy="102000" algn="ctr" rotWithShape="0">
              <a:prstClr val="black">
                <a:alpha val="20000"/>
              </a:prstClr>
            </a:outerShdw>
          </a:effectLst>
        </c:spPr>
      </c:pivotFmt>
      <c:pivotFmt>
        <c:idx val="1998"/>
        <c:spPr>
          <a:solidFill>
            <a:schemeClr val="accent6"/>
          </a:solidFill>
          <a:ln>
            <a:noFill/>
          </a:ln>
          <a:effectLst>
            <a:outerShdw blurRad="254000" sx="102000" sy="102000" algn="ctr" rotWithShape="0">
              <a:prstClr val="black">
                <a:alpha val="20000"/>
              </a:prstClr>
            </a:outerShdw>
          </a:effectLst>
        </c:spPr>
      </c:pivotFmt>
      <c:pivotFmt>
        <c:idx val="1999"/>
        <c:spPr>
          <a:solidFill>
            <a:schemeClr val="accent6"/>
          </a:solidFill>
          <a:ln>
            <a:noFill/>
          </a:ln>
          <a:effectLst>
            <a:outerShdw blurRad="254000" sx="102000" sy="102000" algn="ctr" rotWithShape="0">
              <a:prstClr val="black">
                <a:alpha val="20000"/>
              </a:prstClr>
            </a:outerShdw>
          </a:effectLst>
        </c:spPr>
      </c:pivotFmt>
      <c:pivotFmt>
        <c:idx val="2000"/>
        <c:spPr>
          <a:solidFill>
            <a:schemeClr val="accent6"/>
          </a:solidFill>
          <a:ln>
            <a:noFill/>
          </a:ln>
          <a:effectLst>
            <a:outerShdw blurRad="254000" sx="102000" sy="102000" algn="ctr" rotWithShape="0">
              <a:prstClr val="black">
                <a:alpha val="20000"/>
              </a:prstClr>
            </a:outerShdw>
          </a:effectLst>
        </c:spPr>
      </c:pivotFmt>
      <c:pivotFmt>
        <c:idx val="20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02"/>
        <c:spPr>
          <a:solidFill>
            <a:schemeClr val="accent6"/>
          </a:solidFill>
          <a:ln>
            <a:noFill/>
          </a:ln>
          <a:effectLst>
            <a:outerShdw blurRad="254000" sx="102000" sy="102000" algn="ctr" rotWithShape="0">
              <a:prstClr val="black">
                <a:alpha val="20000"/>
              </a:prstClr>
            </a:outerShdw>
          </a:effectLst>
        </c:spPr>
      </c:pivotFmt>
      <c:pivotFmt>
        <c:idx val="2003"/>
        <c:spPr>
          <a:solidFill>
            <a:schemeClr val="accent6"/>
          </a:solidFill>
          <a:ln>
            <a:noFill/>
          </a:ln>
          <a:effectLst>
            <a:outerShdw blurRad="254000" sx="102000" sy="102000" algn="ctr" rotWithShape="0">
              <a:prstClr val="black">
                <a:alpha val="20000"/>
              </a:prstClr>
            </a:outerShdw>
          </a:effectLst>
        </c:spPr>
      </c:pivotFmt>
      <c:pivotFmt>
        <c:idx val="2004"/>
        <c:spPr>
          <a:solidFill>
            <a:schemeClr val="accent6"/>
          </a:solidFill>
          <a:ln>
            <a:noFill/>
          </a:ln>
          <a:effectLst>
            <a:outerShdw blurRad="254000" sx="102000" sy="102000" algn="ctr" rotWithShape="0">
              <a:prstClr val="black">
                <a:alpha val="20000"/>
              </a:prstClr>
            </a:outerShdw>
          </a:effectLst>
        </c:spPr>
      </c:pivotFmt>
      <c:pivotFmt>
        <c:idx val="2005"/>
        <c:spPr>
          <a:solidFill>
            <a:schemeClr val="accent6"/>
          </a:solidFill>
          <a:ln>
            <a:noFill/>
          </a:ln>
          <a:effectLst>
            <a:outerShdw blurRad="254000" sx="102000" sy="102000" algn="ctr" rotWithShape="0">
              <a:prstClr val="black">
                <a:alpha val="20000"/>
              </a:prstClr>
            </a:outerShdw>
          </a:effectLst>
        </c:spPr>
      </c:pivotFmt>
      <c:pivotFmt>
        <c:idx val="2006"/>
        <c:spPr>
          <a:solidFill>
            <a:schemeClr val="accent6"/>
          </a:solidFill>
          <a:ln>
            <a:noFill/>
          </a:ln>
          <a:effectLst>
            <a:outerShdw blurRad="254000" sx="102000" sy="102000" algn="ctr" rotWithShape="0">
              <a:prstClr val="black">
                <a:alpha val="20000"/>
              </a:prstClr>
            </a:outerShdw>
          </a:effectLst>
        </c:spPr>
      </c:pivotFmt>
      <c:pivotFmt>
        <c:idx val="2007"/>
        <c:spPr>
          <a:solidFill>
            <a:schemeClr val="accent6"/>
          </a:solidFill>
          <a:ln>
            <a:noFill/>
          </a:ln>
          <a:effectLst>
            <a:outerShdw blurRad="254000" sx="102000" sy="102000" algn="ctr" rotWithShape="0">
              <a:prstClr val="black">
                <a:alpha val="20000"/>
              </a:prstClr>
            </a:outerShdw>
          </a:effectLst>
        </c:spPr>
      </c:pivotFmt>
      <c:pivotFmt>
        <c:idx val="2008"/>
        <c:spPr>
          <a:solidFill>
            <a:schemeClr val="accent6"/>
          </a:solidFill>
          <a:ln>
            <a:noFill/>
          </a:ln>
          <a:effectLst>
            <a:outerShdw blurRad="254000" sx="102000" sy="102000" algn="ctr" rotWithShape="0">
              <a:prstClr val="black">
                <a:alpha val="20000"/>
              </a:prstClr>
            </a:outerShdw>
          </a:effectLst>
        </c:spPr>
      </c:pivotFmt>
      <c:pivotFmt>
        <c:idx val="2009"/>
        <c:spPr>
          <a:solidFill>
            <a:schemeClr val="accent6"/>
          </a:solidFill>
          <a:ln>
            <a:noFill/>
          </a:ln>
          <a:effectLst>
            <a:outerShdw blurRad="254000" sx="102000" sy="102000" algn="ctr" rotWithShape="0">
              <a:prstClr val="black">
                <a:alpha val="20000"/>
              </a:prstClr>
            </a:outerShdw>
          </a:effectLst>
        </c:spPr>
      </c:pivotFmt>
      <c:pivotFmt>
        <c:idx val="2010"/>
        <c:spPr>
          <a:solidFill>
            <a:schemeClr val="accent6"/>
          </a:solidFill>
          <a:ln>
            <a:noFill/>
          </a:ln>
          <a:effectLst>
            <a:outerShdw blurRad="254000" sx="102000" sy="102000" algn="ctr" rotWithShape="0">
              <a:prstClr val="black">
                <a:alpha val="20000"/>
              </a:prstClr>
            </a:outerShdw>
          </a:effectLst>
        </c:spPr>
      </c:pivotFmt>
      <c:pivotFmt>
        <c:idx val="20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12"/>
        <c:spPr>
          <a:solidFill>
            <a:schemeClr val="accent6"/>
          </a:solidFill>
          <a:ln>
            <a:noFill/>
          </a:ln>
          <a:effectLst>
            <a:outerShdw blurRad="254000" sx="102000" sy="102000" algn="ctr" rotWithShape="0">
              <a:prstClr val="black">
                <a:alpha val="20000"/>
              </a:prstClr>
            </a:outerShdw>
          </a:effectLst>
        </c:spPr>
      </c:pivotFmt>
      <c:pivotFmt>
        <c:idx val="2013"/>
        <c:spPr>
          <a:solidFill>
            <a:schemeClr val="accent6"/>
          </a:solidFill>
          <a:ln>
            <a:noFill/>
          </a:ln>
          <a:effectLst>
            <a:outerShdw blurRad="254000" sx="102000" sy="102000" algn="ctr" rotWithShape="0">
              <a:prstClr val="black">
                <a:alpha val="20000"/>
              </a:prstClr>
            </a:outerShdw>
          </a:effectLst>
        </c:spPr>
      </c:pivotFmt>
      <c:pivotFmt>
        <c:idx val="2014"/>
        <c:spPr>
          <a:solidFill>
            <a:schemeClr val="accent6"/>
          </a:solidFill>
          <a:ln>
            <a:noFill/>
          </a:ln>
          <a:effectLst>
            <a:outerShdw blurRad="254000" sx="102000" sy="102000" algn="ctr" rotWithShape="0">
              <a:prstClr val="black">
                <a:alpha val="20000"/>
              </a:prstClr>
            </a:outerShdw>
          </a:effectLst>
        </c:spPr>
      </c:pivotFmt>
      <c:pivotFmt>
        <c:idx val="2015"/>
        <c:spPr>
          <a:solidFill>
            <a:schemeClr val="accent6"/>
          </a:solidFill>
          <a:ln>
            <a:noFill/>
          </a:ln>
          <a:effectLst>
            <a:outerShdw blurRad="254000" sx="102000" sy="102000" algn="ctr" rotWithShape="0">
              <a:prstClr val="black">
                <a:alpha val="20000"/>
              </a:prstClr>
            </a:outerShdw>
          </a:effectLst>
        </c:spPr>
      </c:pivotFmt>
      <c:pivotFmt>
        <c:idx val="2016"/>
        <c:spPr>
          <a:solidFill>
            <a:schemeClr val="accent6"/>
          </a:solidFill>
          <a:ln>
            <a:noFill/>
          </a:ln>
          <a:effectLst>
            <a:outerShdw blurRad="254000" sx="102000" sy="102000" algn="ctr" rotWithShape="0">
              <a:prstClr val="black">
                <a:alpha val="20000"/>
              </a:prstClr>
            </a:outerShdw>
          </a:effectLst>
        </c:spPr>
      </c:pivotFmt>
      <c:pivotFmt>
        <c:idx val="2017"/>
        <c:spPr>
          <a:solidFill>
            <a:schemeClr val="accent6"/>
          </a:solidFill>
          <a:ln>
            <a:noFill/>
          </a:ln>
          <a:effectLst>
            <a:outerShdw blurRad="254000" sx="102000" sy="102000" algn="ctr" rotWithShape="0">
              <a:prstClr val="black">
                <a:alpha val="20000"/>
              </a:prstClr>
            </a:outerShdw>
          </a:effectLst>
        </c:spPr>
      </c:pivotFmt>
      <c:pivotFmt>
        <c:idx val="2018"/>
        <c:spPr>
          <a:solidFill>
            <a:schemeClr val="accent6"/>
          </a:solidFill>
          <a:ln>
            <a:noFill/>
          </a:ln>
          <a:effectLst>
            <a:outerShdw blurRad="254000" sx="102000" sy="102000" algn="ctr" rotWithShape="0">
              <a:prstClr val="black">
                <a:alpha val="20000"/>
              </a:prstClr>
            </a:outerShdw>
          </a:effectLst>
        </c:spPr>
      </c:pivotFmt>
      <c:pivotFmt>
        <c:idx val="2019"/>
        <c:spPr>
          <a:solidFill>
            <a:schemeClr val="accent6"/>
          </a:solidFill>
          <a:ln>
            <a:noFill/>
          </a:ln>
          <a:effectLst>
            <a:outerShdw blurRad="254000" sx="102000" sy="102000" algn="ctr" rotWithShape="0">
              <a:prstClr val="black">
                <a:alpha val="20000"/>
              </a:prstClr>
            </a:outerShdw>
          </a:effectLst>
        </c:spPr>
      </c:pivotFmt>
      <c:pivotFmt>
        <c:idx val="2020"/>
        <c:spPr>
          <a:solidFill>
            <a:schemeClr val="accent6"/>
          </a:solidFill>
          <a:ln>
            <a:noFill/>
          </a:ln>
          <a:effectLst>
            <a:outerShdw blurRad="254000" sx="102000" sy="102000" algn="ctr" rotWithShape="0">
              <a:prstClr val="black">
                <a:alpha val="20000"/>
              </a:prstClr>
            </a:outerShdw>
          </a:effectLst>
        </c:spPr>
      </c:pivotFmt>
      <c:pivotFmt>
        <c:idx val="20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22"/>
        <c:spPr>
          <a:solidFill>
            <a:schemeClr val="accent6"/>
          </a:solidFill>
          <a:ln>
            <a:noFill/>
          </a:ln>
          <a:effectLst>
            <a:outerShdw blurRad="254000" sx="102000" sy="102000" algn="ctr" rotWithShape="0">
              <a:prstClr val="black">
                <a:alpha val="20000"/>
              </a:prstClr>
            </a:outerShdw>
          </a:effectLst>
        </c:spPr>
      </c:pivotFmt>
      <c:pivotFmt>
        <c:idx val="2023"/>
        <c:spPr>
          <a:solidFill>
            <a:schemeClr val="accent6"/>
          </a:solidFill>
          <a:ln>
            <a:noFill/>
          </a:ln>
          <a:effectLst>
            <a:outerShdw blurRad="254000" sx="102000" sy="102000" algn="ctr" rotWithShape="0">
              <a:prstClr val="black">
                <a:alpha val="20000"/>
              </a:prstClr>
            </a:outerShdw>
          </a:effectLst>
        </c:spPr>
      </c:pivotFmt>
      <c:pivotFmt>
        <c:idx val="2024"/>
        <c:spPr>
          <a:solidFill>
            <a:schemeClr val="accent6"/>
          </a:solidFill>
          <a:ln>
            <a:noFill/>
          </a:ln>
          <a:effectLst>
            <a:outerShdw blurRad="254000" sx="102000" sy="102000" algn="ctr" rotWithShape="0">
              <a:prstClr val="black">
                <a:alpha val="20000"/>
              </a:prstClr>
            </a:outerShdw>
          </a:effectLst>
        </c:spPr>
      </c:pivotFmt>
      <c:pivotFmt>
        <c:idx val="2025"/>
        <c:spPr>
          <a:solidFill>
            <a:schemeClr val="accent6"/>
          </a:solidFill>
          <a:ln>
            <a:noFill/>
          </a:ln>
          <a:effectLst>
            <a:outerShdw blurRad="254000" sx="102000" sy="102000" algn="ctr" rotWithShape="0">
              <a:prstClr val="black">
                <a:alpha val="20000"/>
              </a:prstClr>
            </a:outerShdw>
          </a:effectLst>
        </c:spPr>
      </c:pivotFmt>
      <c:pivotFmt>
        <c:idx val="2026"/>
        <c:spPr>
          <a:solidFill>
            <a:schemeClr val="accent6"/>
          </a:solidFill>
          <a:ln>
            <a:noFill/>
          </a:ln>
          <a:effectLst>
            <a:outerShdw blurRad="254000" sx="102000" sy="102000" algn="ctr" rotWithShape="0">
              <a:prstClr val="black">
                <a:alpha val="20000"/>
              </a:prstClr>
            </a:outerShdw>
          </a:effectLst>
        </c:spPr>
      </c:pivotFmt>
      <c:pivotFmt>
        <c:idx val="2027"/>
        <c:spPr>
          <a:solidFill>
            <a:schemeClr val="accent6"/>
          </a:solidFill>
          <a:ln>
            <a:noFill/>
          </a:ln>
          <a:effectLst>
            <a:outerShdw blurRad="254000" sx="102000" sy="102000" algn="ctr" rotWithShape="0">
              <a:prstClr val="black">
                <a:alpha val="20000"/>
              </a:prstClr>
            </a:outerShdw>
          </a:effectLst>
        </c:spPr>
      </c:pivotFmt>
      <c:pivotFmt>
        <c:idx val="2028"/>
        <c:spPr>
          <a:solidFill>
            <a:schemeClr val="accent6"/>
          </a:solidFill>
          <a:ln>
            <a:noFill/>
          </a:ln>
          <a:effectLst>
            <a:outerShdw blurRad="254000" sx="102000" sy="102000" algn="ctr" rotWithShape="0">
              <a:prstClr val="black">
                <a:alpha val="20000"/>
              </a:prstClr>
            </a:outerShdw>
          </a:effectLst>
        </c:spPr>
      </c:pivotFmt>
      <c:pivotFmt>
        <c:idx val="2029"/>
        <c:spPr>
          <a:solidFill>
            <a:schemeClr val="accent6"/>
          </a:solidFill>
          <a:ln>
            <a:noFill/>
          </a:ln>
          <a:effectLst>
            <a:outerShdw blurRad="254000" sx="102000" sy="102000" algn="ctr" rotWithShape="0">
              <a:prstClr val="black">
                <a:alpha val="20000"/>
              </a:prstClr>
            </a:outerShdw>
          </a:effectLst>
        </c:spPr>
      </c:pivotFmt>
      <c:pivotFmt>
        <c:idx val="2030"/>
        <c:spPr>
          <a:solidFill>
            <a:schemeClr val="accent6"/>
          </a:solidFill>
          <a:ln>
            <a:noFill/>
          </a:ln>
          <a:effectLst>
            <a:outerShdw blurRad="254000" sx="102000" sy="102000" algn="ctr" rotWithShape="0">
              <a:prstClr val="black">
                <a:alpha val="20000"/>
              </a:prstClr>
            </a:outerShdw>
          </a:effectLst>
        </c:spPr>
      </c:pivotFmt>
      <c:pivotFmt>
        <c:idx val="20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32"/>
        <c:spPr>
          <a:solidFill>
            <a:schemeClr val="accent6"/>
          </a:solidFill>
          <a:ln>
            <a:noFill/>
          </a:ln>
          <a:effectLst>
            <a:outerShdw blurRad="254000" sx="102000" sy="102000" algn="ctr" rotWithShape="0">
              <a:prstClr val="black">
                <a:alpha val="20000"/>
              </a:prstClr>
            </a:outerShdw>
          </a:effectLst>
        </c:spPr>
      </c:pivotFmt>
      <c:pivotFmt>
        <c:idx val="2033"/>
        <c:spPr>
          <a:solidFill>
            <a:schemeClr val="accent6"/>
          </a:solidFill>
          <a:ln>
            <a:noFill/>
          </a:ln>
          <a:effectLst>
            <a:outerShdw blurRad="254000" sx="102000" sy="102000" algn="ctr" rotWithShape="0">
              <a:prstClr val="black">
                <a:alpha val="20000"/>
              </a:prstClr>
            </a:outerShdw>
          </a:effectLst>
        </c:spPr>
      </c:pivotFmt>
      <c:pivotFmt>
        <c:idx val="2034"/>
        <c:spPr>
          <a:solidFill>
            <a:schemeClr val="accent6"/>
          </a:solidFill>
          <a:ln>
            <a:noFill/>
          </a:ln>
          <a:effectLst>
            <a:outerShdw blurRad="254000" sx="102000" sy="102000" algn="ctr" rotWithShape="0">
              <a:prstClr val="black">
                <a:alpha val="20000"/>
              </a:prstClr>
            </a:outerShdw>
          </a:effectLst>
        </c:spPr>
      </c:pivotFmt>
      <c:pivotFmt>
        <c:idx val="2035"/>
        <c:spPr>
          <a:solidFill>
            <a:schemeClr val="accent6"/>
          </a:solidFill>
          <a:ln>
            <a:noFill/>
          </a:ln>
          <a:effectLst>
            <a:outerShdw blurRad="254000" sx="102000" sy="102000" algn="ctr" rotWithShape="0">
              <a:prstClr val="black">
                <a:alpha val="20000"/>
              </a:prstClr>
            </a:outerShdw>
          </a:effectLst>
        </c:spPr>
      </c:pivotFmt>
      <c:pivotFmt>
        <c:idx val="2036"/>
        <c:spPr>
          <a:solidFill>
            <a:schemeClr val="accent6"/>
          </a:solidFill>
          <a:ln>
            <a:noFill/>
          </a:ln>
          <a:effectLst>
            <a:outerShdw blurRad="254000" sx="102000" sy="102000" algn="ctr" rotWithShape="0">
              <a:prstClr val="black">
                <a:alpha val="20000"/>
              </a:prstClr>
            </a:outerShdw>
          </a:effectLst>
        </c:spPr>
      </c:pivotFmt>
      <c:pivotFmt>
        <c:idx val="2037"/>
        <c:spPr>
          <a:solidFill>
            <a:schemeClr val="accent6"/>
          </a:solidFill>
          <a:ln>
            <a:noFill/>
          </a:ln>
          <a:effectLst>
            <a:outerShdw blurRad="254000" sx="102000" sy="102000" algn="ctr" rotWithShape="0">
              <a:prstClr val="black">
                <a:alpha val="20000"/>
              </a:prstClr>
            </a:outerShdw>
          </a:effectLst>
        </c:spPr>
      </c:pivotFmt>
      <c:pivotFmt>
        <c:idx val="2038"/>
        <c:spPr>
          <a:solidFill>
            <a:schemeClr val="accent6"/>
          </a:solidFill>
          <a:ln>
            <a:noFill/>
          </a:ln>
          <a:effectLst>
            <a:outerShdw blurRad="254000" sx="102000" sy="102000" algn="ctr" rotWithShape="0">
              <a:prstClr val="black">
                <a:alpha val="20000"/>
              </a:prstClr>
            </a:outerShdw>
          </a:effectLst>
        </c:spPr>
      </c:pivotFmt>
      <c:pivotFmt>
        <c:idx val="2039"/>
        <c:spPr>
          <a:solidFill>
            <a:schemeClr val="accent6"/>
          </a:solidFill>
          <a:ln>
            <a:noFill/>
          </a:ln>
          <a:effectLst>
            <a:outerShdw blurRad="254000" sx="102000" sy="102000" algn="ctr" rotWithShape="0">
              <a:prstClr val="black">
                <a:alpha val="20000"/>
              </a:prstClr>
            </a:outerShdw>
          </a:effectLst>
        </c:spPr>
      </c:pivotFmt>
      <c:pivotFmt>
        <c:idx val="2040"/>
        <c:spPr>
          <a:solidFill>
            <a:schemeClr val="accent6"/>
          </a:solidFill>
          <a:ln>
            <a:noFill/>
          </a:ln>
          <a:effectLst>
            <a:outerShdw blurRad="254000" sx="102000" sy="102000" algn="ctr" rotWithShape="0">
              <a:prstClr val="black">
                <a:alpha val="20000"/>
              </a:prstClr>
            </a:outerShdw>
          </a:effectLst>
        </c:spPr>
      </c:pivotFmt>
      <c:pivotFmt>
        <c:idx val="204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42"/>
        <c:spPr>
          <a:solidFill>
            <a:schemeClr val="accent6"/>
          </a:solidFill>
          <a:ln>
            <a:noFill/>
          </a:ln>
          <a:effectLst>
            <a:outerShdw blurRad="254000" sx="102000" sy="102000" algn="ctr" rotWithShape="0">
              <a:prstClr val="black">
                <a:alpha val="20000"/>
              </a:prstClr>
            </a:outerShdw>
          </a:effectLst>
        </c:spPr>
      </c:pivotFmt>
      <c:pivotFmt>
        <c:idx val="2043"/>
        <c:spPr>
          <a:solidFill>
            <a:schemeClr val="accent6"/>
          </a:solidFill>
          <a:ln>
            <a:noFill/>
          </a:ln>
          <a:effectLst>
            <a:outerShdw blurRad="254000" sx="102000" sy="102000" algn="ctr" rotWithShape="0">
              <a:prstClr val="black">
                <a:alpha val="20000"/>
              </a:prstClr>
            </a:outerShdw>
          </a:effectLst>
        </c:spPr>
      </c:pivotFmt>
      <c:pivotFmt>
        <c:idx val="2044"/>
        <c:spPr>
          <a:solidFill>
            <a:schemeClr val="accent6"/>
          </a:solidFill>
          <a:ln>
            <a:noFill/>
          </a:ln>
          <a:effectLst>
            <a:outerShdw blurRad="254000" sx="102000" sy="102000" algn="ctr" rotWithShape="0">
              <a:prstClr val="black">
                <a:alpha val="20000"/>
              </a:prstClr>
            </a:outerShdw>
          </a:effectLst>
        </c:spPr>
      </c:pivotFmt>
      <c:pivotFmt>
        <c:idx val="2045"/>
        <c:spPr>
          <a:solidFill>
            <a:schemeClr val="accent6"/>
          </a:solidFill>
          <a:ln>
            <a:noFill/>
          </a:ln>
          <a:effectLst>
            <a:outerShdw blurRad="254000" sx="102000" sy="102000" algn="ctr" rotWithShape="0">
              <a:prstClr val="black">
                <a:alpha val="20000"/>
              </a:prstClr>
            </a:outerShdw>
          </a:effectLst>
        </c:spPr>
      </c:pivotFmt>
      <c:pivotFmt>
        <c:idx val="2046"/>
        <c:spPr>
          <a:solidFill>
            <a:schemeClr val="accent6"/>
          </a:solidFill>
          <a:ln>
            <a:noFill/>
          </a:ln>
          <a:effectLst>
            <a:outerShdw blurRad="254000" sx="102000" sy="102000" algn="ctr" rotWithShape="0">
              <a:prstClr val="black">
                <a:alpha val="20000"/>
              </a:prstClr>
            </a:outerShdw>
          </a:effectLst>
        </c:spPr>
      </c:pivotFmt>
      <c:pivotFmt>
        <c:idx val="2047"/>
        <c:spPr>
          <a:solidFill>
            <a:schemeClr val="accent6"/>
          </a:solidFill>
          <a:ln>
            <a:noFill/>
          </a:ln>
          <a:effectLst>
            <a:outerShdw blurRad="254000" sx="102000" sy="102000" algn="ctr" rotWithShape="0">
              <a:prstClr val="black">
                <a:alpha val="20000"/>
              </a:prstClr>
            </a:outerShdw>
          </a:effectLst>
        </c:spPr>
      </c:pivotFmt>
      <c:pivotFmt>
        <c:idx val="2048"/>
        <c:spPr>
          <a:solidFill>
            <a:schemeClr val="accent6"/>
          </a:solidFill>
          <a:ln>
            <a:noFill/>
          </a:ln>
          <a:effectLst>
            <a:outerShdw blurRad="254000" sx="102000" sy="102000" algn="ctr" rotWithShape="0">
              <a:prstClr val="black">
                <a:alpha val="20000"/>
              </a:prstClr>
            </a:outerShdw>
          </a:effectLst>
        </c:spPr>
      </c:pivotFmt>
      <c:pivotFmt>
        <c:idx val="2049"/>
        <c:spPr>
          <a:solidFill>
            <a:schemeClr val="accent6"/>
          </a:solidFill>
          <a:ln>
            <a:noFill/>
          </a:ln>
          <a:effectLst>
            <a:outerShdw blurRad="254000" sx="102000" sy="102000" algn="ctr" rotWithShape="0">
              <a:prstClr val="black">
                <a:alpha val="20000"/>
              </a:prstClr>
            </a:outerShdw>
          </a:effectLst>
        </c:spPr>
      </c:pivotFmt>
      <c:pivotFmt>
        <c:idx val="2050"/>
        <c:spPr>
          <a:solidFill>
            <a:schemeClr val="accent6"/>
          </a:solidFill>
          <a:ln>
            <a:noFill/>
          </a:ln>
          <a:effectLst>
            <a:outerShdw blurRad="254000" sx="102000" sy="102000" algn="ctr" rotWithShape="0">
              <a:prstClr val="black">
                <a:alpha val="20000"/>
              </a:prstClr>
            </a:outerShdw>
          </a:effectLst>
        </c:spPr>
      </c:pivotFmt>
      <c:pivotFmt>
        <c:idx val="20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52"/>
        <c:spPr>
          <a:solidFill>
            <a:schemeClr val="accent6"/>
          </a:solidFill>
          <a:ln>
            <a:noFill/>
          </a:ln>
          <a:effectLst>
            <a:outerShdw blurRad="254000" sx="102000" sy="102000" algn="ctr" rotWithShape="0">
              <a:prstClr val="black">
                <a:alpha val="20000"/>
              </a:prstClr>
            </a:outerShdw>
          </a:effectLst>
        </c:spPr>
      </c:pivotFmt>
      <c:pivotFmt>
        <c:idx val="2053"/>
        <c:spPr>
          <a:solidFill>
            <a:schemeClr val="accent6"/>
          </a:solidFill>
          <a:ln>
            <a:noFill/>
          </a:ln>
          <a:effectLst>
            <a:outerShdw blurRad="254000" sx="102000" sy="102000" algn="ctr" rotWithShape="0">
              <a:prstClr val="black">
                <a:alpha val="20000"/>
              </a:prstClr>
            </a:outerShdw>
          </a:effectLst>
        </c:spPr>
      </c:pivotFmt>
      <c:pivotFmt>
        <c:idx val="2054"/>
        <c:spPr>
          <a:solidFill>
            <a:schemeClr val="accent6"/>
          </a:solidFill>
          <a:ln>
            <a:noFill/>
          </a:ln>
          <a:effectLst>
            <a:outerShdw blurRad="254000" sx="102000" sy="102000" algn="ctr" rotWithShape="0">
              <a:prstClr val="black">
                <a:alpha val="20000"/>
              </a:prstClr>
            </a:outerShdw>
          </a:effectLst>
        </c:spPr>
      </c:pivotFmt>
      <c:pivotFmt>
        <c:idx val="2055"/>
        <c:spPr>
          <a:solidFill>
            <a:schemeClr val="accent6"/>
          </a:solidFill>
          <a:ln>
            <a:noFill/>
          </a:ln>
          <a:effectLst>
            <a:outerShdw blurRad="254000" sx="102000" sy="102000" algn="ctr" rotWithShape="0">
              <a:prstClr val="black">
                <a:alpha val="20000"/>
              </a:prstClr>
            </a:outerShdw>
          </a:effectLst>
        </c:spPr>
      </c:pivotFmt>
      <c:pivotFmt>
        <c:idx val="2056"/>
        <c:spPr>
          <a:solidFill>
            <a:schemeClr val="accent6"/>
          </a:solidFill>
          <a:ln>
            <a:noFill/>
          </a:ln>
          <a:effectLst>
            <a:outerShdw blurRad="254000" sx="102000" sy="102000" algn="ctr" rotWithShape="0">
              <a:prstClr val="black">
                <a:alpha val="20000"/>
              </a:prstClr>
            </a:outerShdw>
          </a:effectLst>
        </c:spPr>
      </c:pivotFmt>
      <c:pivotFmt>
        <c:idx val="2057"/>
        <c:spPr>
          <a:solidFill>
            <a:schemeClr val="accent6"/>
          </a:solidFill>
          <a:ln>
            <a:noFill/>
          </a:ln>
          <a:effectLst>
            <a:outerShdw blurRad="254000" sx="102000" sy="102000" algn="ctr" rotWithShape="0">
              <a:prstClr val="black">
                <a:alpha val="20000"/>
              </a:prstClr>
            </a:outerShdw>
          </a:effectLst>
        </c:spPr>
      </c:pivotFmt>
      <c:pivotFmt>
        <c:idx val="2058"/>
        <c:spPr>
          <a:solidFill>
            <a:schemeClr val="accent6"/>
          </a:solidFill>
          <a:ln>
            <a:noFill/>
          </a:ln>
          <a:effectLst>
            <a:outerShdw blurRad="254000" sx="102000" sy="102000" algn="ctr" rotWithShape="0">
              <a:prstClr val="black">
                <a:alpha val="20000"/>
              </a:prstClr>
            </a:outerShdw>
          </a:effectLst>
        </c:spPr>
      </c:pivotFmt>
      <c:pivotFmt>
        <c:idx val="2059"/>
        <c:spPr>
          <a:solidFill>
            <a:schemeClr val="accent6"/>
          </a:solidFill>
          <a:ln>
            <a:noFill/>
          </a:ln>
          <a:effectLst>
            <a:outerShdw blurRad="254000" sx="102000" sy="102000" algn="ctr" rotWithShape="0">
              <a:prstClr val="black">
                <a:alpha val="20000"/>
              </a:prstClr>
            </a:outerShdw>
          </a:effectLst>
        </c:spPr>
      </c:pivotFmt>
      <c:pivotFmt>
        <c:idx val="2060"/>
        <c:spPr>
          <a:solidFill>
            <a:schemeClr val="accent6"/>
          </a:solidFill>
          <a:ln>
            <a:noFill/>
          </a:ln>
          <a:effectLst>
            <a:outerShdw blurRad="254000" sx="102000" sy="102000" algn="ctr" rotWithShape="0">
              <a:prstClr val="black">
                <a:alpha val="20000"/>
              </a:prstClr>
            </a:outerShdw>
          </a:effectLst>
        </c:spPr>
      </c:pivotFmt>
      <c:pivotFmt>
        <c:idx val="20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62"/>
        <c:spPr>
          <a:solidFill>
            <a:schemeClr val="accent6"/>
          </a:solidFill>
          <a:ln>
            <a:noFill/>
          </a:ln>
          <a:effectLst>
            <a:outerShdw blurRad="254000" sx="102000" sy="102000" algn="ctr" rotWithShape="0">
              <a:prstClr val="black">
                <a:alpha val="20000"/>
              </a:prstClr>
            </a:outerShdw>
          </a:effectLst>
        </c:spPr>
      </c:pivotFmt>
      <c:pivotFmt>
        <c:idx val="2063"/>
        <c:spPr>
          <a:solidFill>
            <a:schemeClr val="accent6"/>
          </a:solidFill>
          <a:ln>
            <a:noFill/>
          </a:ln>
          <a:effectLst>
            <a:outerShdw blurRad="254000" sx="102000" sy="102000" algn="ctr" rotWithShape="0">
              <a:prstClr val="black">
                <a:alpha val="20000"/>
              </a:prstClr>
            </a:outerShdw>
          </a:effectLst>
        </c:spPr>
      </c:pivotFmt>
      <c:pivotFmt>
        <c:idx val="2064"/>
        <c:spPr>
          <a:solidFill>
            <a:schemeClr val="accent6"/>
          </a:solidFill>
          <a:ln>
            <a:noFill/>
          </a:ln>
          <a:effectLst>
            <a:outerShdw blurRad="254000" sx="102000" sy="102000" algn="ctr" rotWithShape="0">
              <a:prstClr val="black">
                <a:alpha val="20000"/>
              </a:prstClr>
            </a:outerShdw>
          </a:effectLst>
        </c:spPr>
      </c:pivotFmt>
      <c:pivotFmt>
        <c:idx val="2065"/>
        <c:spPr>
          <a:solidFill>
            <a:schemeClr val="accent6"/>
          </a:solidFill>
          <a:ln>
            <a:noFill/>
          </a:ln>
          <a:effectLst>
            <a:outerShdw blurRad="254000" sx="102000" sy="102000" algn="ctr" rotWithShape="0">
              <a:prstClr val="black">
                <a:alpha val="20000"/>
              </a:prstClr>
            </a:outerShdw>
          </a:effectLst>
        </c:spPr>
      </c:pivotFmt>
      <c:pivotFmt>
        <c:idx val="2066"/>
        <c:spPr>
          <a:solidFill>
            <a:schemeClr val="accent6"/>
          </a:solidFill>
          <a:ln>
            <a:noFill/>
          </a:ln>
          <a:effectLst>
            <a:outerShdw blurRad="254000" sx="102000" sy="102000" algn="ctr" rotWithShape="0">
              <a:prstClr val="black">
                <a:alpha val="20000"/>
              </a:prstClr>
            </a:outerShdw>
          </a:effectLst>
        </c:spPr>
      </c:pivotFmt>
      <c:pivotFmt>
        <c:idx val="2067"/>
        <c:spPr>
          <a:solidFill>
            <a:schemeClr val="accent6"/>
          </a:solidFill>
          <a:ln>
            <a:noFill/>
          </a:ln>
          <a:effectLst>
            <a:outerShdw blurRad="254000" sx="102000" sy="102000" algn="ctr" rotWithShape="0">
              <a:prstClr val="black">
                <a:alpha val="20000"/>
              </a:prstClr>
            </a:outerShdw>
          </a:effectLst>
        </c:spPr>
      </c:pivotFmt>
      <c:pivotFmt>
        <c:idx val="2068"/>
        <c:spPr>
          <a:solidFill>
            <a:schemeClr val="accent6"/>
          </a:solidFill>
          <a:ln>
            <a:noFill/>
          </a:ln>
          <a:effectLst>
            <a:outerShdw blurRad="254000" sx="102000" sy="102000" algn="ctr" rotWithShape="0">
              <a:prstClr val="black">
                <a:alpha val="20000"/>
              </a:prstClr>
            </a:outerShdw>
          </a:effectLst>
        </c:spPr>
      </c:pivotFmt>
      <c:pivotFmt>
        <c:idx val="2069"/>
        <c:spPr>
          <a:solidFill>
            <a:schemeClr val="accent6"/>
          </a:solidFill>
          <a:ln>
            <a:noFill/>
          </a:ln>
          <a:effectLst>
            <a:outerShdw blurRad="254000" sx="102000" sy="102000" algn="ctr" rotWithShape="0">
              <a:prstClr val="black">
                <a:alpha val="20000"/>
              </a:prstClr>
            </a:outerShdw>
          </a:effectLst>
        </c:spPr>
      </c:pivotFmt>
      <c:pivotFmt>
        <c:idx val="2070"/>
        <c:spPr>
          <a:solidFill>
            <a:schemeClr val="accent6"/>
          </a:solidFill>
          <a:ln>
            <a:noFill/>
          </a:ln>
          <a:effectLst>
            <a:outerShdw blurRad="254000" sx="102000" sy="102000" algn="ctr" rotWithShape="0">
              <a:prstClr val="black">
                <a:alpha val="20000"/>
              </a:prstClr>
            </a:outerShdw>
          </a:effectLst>
        </c:spPr>
      </c:pivotFmt>
      <c:pivotFmt>
        <c:idx val="20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72"/>
        <c:spPr>
          <a:solidFill>
            <a:schemeClr val="accent6"/>
          </a:solidFill>
          <a:ln>
            <a:noFill/>
          </a:ln>
          <a:effectLst>
            <a:outerShdw blurRad="254000" sx="102000" sy="102000" algn="ctr" rotWithShape="0">
              <a:prstClr val="black">
                <a:alpha val="20000"/>
              </a:prstClr>
            </a:outerShdw>
          </a:effectLst>
        </c:spPr>
      </c:pivotFmt>
      <c:pivotFmt>
        <c:idx val="2073"/>
        <c:spPr>
          <a:solidFill>
            <a:schemeClr val="accent6"/>
          </a:solidFill>
          <a:ln>
            <a:noFill/>
          </a:ln>
          <a:effectLst>
            <a:outerShdw blurRad="254000" sx="102000" sy="102000" algn="ctr" rotWithShape="0">
              <a:prstClr val="black">
                <a:alpha val="20000"/>
              </a:prstClr>
            </a:outerShdw>
          </a:effectLst>
        </c:spPr>
      </c:pivotFmt>
      <c:pivotFmt>
        <c:idx val="2074"/>
        <c:spPr>
          <a:solidFill>
            <a:schemeClr val="accent6"/>
          </a:solidFill>
          <a:ln>
            <a:noFill/>
          </a:ln>
          <a:effectLst>
            <a:outerShdw blurRad="254000" sx="102000" sy="102000" algn="ctr" rotWithShape="0">
              <a:prstClr val="black">
                <a:alpha val="20000"/>
              </a:prstClr>
            </a:outerShdw>
          </a:effectLst>
        </c:spPr>
      </c:pivotFmt>
      <c:pivotFmt>
        <c:idx val="2075"/>
        <c:spPr>
          <a:solidFill>
            <a:schemeClr val="accent6"/>
          </a:solidFill>
          <a:ln>
            <a:noFill/>
          </a:ln>
          <a:effectLst>
            <a:outerShdw blurRad="254000" sx="102000" sy="102000" algn="ctr" rotWithShape="0">
              <a:prstClr val="black">
                <a:alpha val="20000"/>
              </a:prstClr>
            </a:outerShdw>
          </a:effectLst>
        </c:spPr>
      </c:pivotFmt>
      <c:pivotFmt>
        <c:idx val="2076"/>
        <c:spPr>
          <a:solidFill>
            <a:schemeClr val="accent6"/>
          </a:solidFill>
          <a:ln>
            <a:noFill/>
          </a:ln>
          <a:effectLst>
            <a:outerShdw blurRad="254000" sx="102000" sy="102000" algn="ctr" rotWithShape="0">
              <a:prstClr val="black">
                <a:alpha val="20000"/>
              </a:prstClr>
            </a:outerShdw>
          </a:effectLst>
        </c:spPr>
      </c:pivotFmt>
      <c:pivotFmt>
        <c:idx val="2077"/>
        <c:spPr>
          <a:solidFill>
            <a:schemeClr val="accent6"/>
          </a:solidFill>
          <a:ln>
            <a:noFill/>
          </a:ln>
          <a:effectLst>
            <a:outerShdw blurRad="254000" sx="102000" sy="102000" algn="ctr" rotWithShape="0">
              <a:prstClr val="black">
                <a:alpha val="20000"/>
              </a:prstClr>
            </a:outerShdw>
          </a:effectLst>
        </c:spPr>
      </c:pivotFmt>
      <c:pivotFmt>
        <c:idx val="2078"/>
        <c:spPr>
          <a:solidFill>
            <a:schemeClr val="accent6"/>
          </a:solidFill>
          <a:ln>
            <a:noFill/>
          </a:ln>
          <a:effectLst>
            <a:outerShdw blurRad="254000" sx="102000" sy="102000" algn="ctr" rotWithShape="0">
              <a:prstClr val="black">
                <a:alpha val="20000"/>
              </a:prstClr>
            </a:outerShdw>
          </a:effectLst>
        </c:spPr>
      </c:pivotFmt>
      <c:pivotFmt>
        <c:idx val="2079"/>
        <c:spPr>
          <a:solidFill>
            <a:schemeClr val="accent6"/>
          </a:solidFill>
          <a:ln>
            <a:noFill/>
          </a:ln>
          <a:effectLst>
            <a:outerShdw blurRad="254000" sx="102000" sy="102000" algn="ctr" rotWithShape="0">
              <a:prstClr val="black">
                <a:alpha val="20000"/>
              </a:prstClr>
            </a:outerShdw>
          </a:effectLst>
        </c:spPr>
      </c:pivotFmt>
      <c:pivotFmt>
        <c:idx val="2080"/>
        <c:spPr>
          <a:solidFill>
            <a:schemeClr val="accent6"/>
          </a:solidFill>
          <a:ln>
            <a:noFill/>
          </a:ln>
          <a:effectLst>
            <a:outerShdw blurRad="254000" sx="102000" sy="102000" algn="ctr" rotWithShape="0">
              <a:prstClr val="black">
                <a:alpha val="20000"/>
              </a:prstClr>
            </a:outerShdw>
          </a:effectLst>
        </c:spPr>
      </c:pivotFmt>
      <c:pivotFmt>
        <c:idx val="20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82"/>
        <c:spPr>
          <a:solidFill>
            <a:schemeClr val="accent6"/>
          </a:solidFill>
          <a:ln>
            <a:noFill/>
          </a:ln>
          <a:effectLst>
            <a:outerShdw blurRad="254000" sx="102000" sy="102000" algn="ctr" rotWithShape="0">
              <a:prstClr val="black">
                <a:alpha val="20000"/>
              </a:prstClr>
            </a:outerShdw>
          </a:effectLst>
        </c:spPr>
      </c:pivotFmt>
      <c:pivotFmt>
        <c:idx val="2083"/>
        <c:spPr>
          <a:solidFill>
            <a:schemeClr val="accent6"/>
          </a:solidFill>
          <a:ln>
            <a:noFill/>
          </a:ln>
          <a:effectLst>
            <a:outerShdw blurRad="254000" sx="102000" sy="102000" algn="ctr" rotWithShape="0">
              <a:prstClr val="black">
                <a:alpha val="20000"/>
              </a:prstClr>
            </a:outerShdw>
          </a:effectLst>
        </c:spPr>
      </c:pivotFmt>
      <c:pivotFmt>
        <c:idx val="2084"/>
        <c:spPr>
          <a:solidFill>
            <a:schemeClr val="accent6"/>
          </a:solidFill>
          <a:ln>
            <a:noFill/>
          </a:ln>
          <a:effectLst>
            <a:outerShdw blurRad="254000" sx="102000" sy="102000" algn="ctr" rotWithShape="0">
              <a:prstClr val="black">
                <a:alpha val="20000"/>
              </a:prstClr>
            </a:outerShdw>
          </a:effectLst>
        </c:spPr>
      </c:pivotFmt>
      <c:pivotFmt>
        <c:idx val="2085"/>
        <c:spPr>
          <a:solidFill>
            <a:schemeClr val="accent6"/>
          </a:solidFill>
          <a:ln>
            <a:noFill/>
          </a:ln>
          <a:effectLst>
            <a:outerShdw blurRad="254000" sx="102000" sy="102000" algn="ctr" rotWithShape="0">
              <a:prstClr val="black">
                <a:alpha val="20000"/>
              </a:prstClr>
            </a:outerShdw>
          </a:effectLst>
        </c:spPr>
      </c:pivotFmt>
      <c:pivotFmt>
        <c:idx val="2086"/>
        <c:spPr>
          <a:solidFill>
            <a:schemeClr val="accent6"/>
          </a:solidFill>
          <a:ln>
            <a:noFill/>
          </a:ln>
          <a:effectLst>
            <a:outerShdw blurRad="254000" sx="102000" sy="102000" algn="ctr" rotWithShape="0">
              <a:prstClr val="black">
                <a:alpha val="20000"/>
              </a:prstClr>
            </a:outerShdw>
          </a:effectLst>
        </c:spPr>
      </c:pivotFmt>
      <c:pivotFmt>
        <c:idx val="2087"/>
        <c:spPr>
          <a:solidFill>
            <a:schemeClr val="accent6"/>
          </a:solidFill>
          <a:ln>
            <a:noFill/>
          </a:ln>
          <a:effectLst>
            <a:outerShdw blurRad="254000" sx="102000" sy="102000" algn="ctr" rotWithShape="0">
              <a:prstClr val="black">
                <a:alpha val="20000"/>
              </a:prstClr>
            </a:outerShdw>
          </a:effectLst>
        </c:spPr>
      </c:pivotFmt>
      <c:pivotFmt>
        <c:idx val="2088"/>
        <c:spPr>
          <a:solidFill>
            <a:schemeClr val="accent6"/>
          </a:solidFill>
          <a:ln>
            <a:noFill/>
          </a:ln>
          <a:effectLst>
            <a:outerShdw blurRad="254000" sx="102000" sy="102000" algn="ctr" rotWithShape="0">
              <a:prstClr val="black">
                <a:alpha val="20000"/>
              </a:prstClr>
            </a:outerShdw>
          </a:effectLst>
        </c:spPr>
      </c:pivotFmt>
      <c:pivotFmt>
        <c:idx val="2089"/>
        <c:spPr>
          <a:solidFill>
            <a:schemeClr val="accent6"/>
          </a:solidFill>
          <a:ln>
            <a:noFill/>
          </a:ln>
          <a:effectLst>
            <a:outerShdw blurRad="254000" sx="102000" sy="102000" algn="ctr" rotWithShape="0">
              <a:prstClr val="black">
                <a:alpha val="20000"/>
              </a:prstClr>
            </a:outerShdw>
          </a:effectLst>
        </c:spPr>
      </c:pivotFmt>
      <c:pivotFmt>
        <c:idx val="2090"/>
        <c:spPr>
          <a:solidFill>
            <a:schemeClr val="accent6"/>
          </a:solidFill>
          <a:ln>
            <a:noFill/>
          </a:ln>
          <a:effectLst>
            <a:outerShdw blurRad="254000" sx="102000" sy="102000" algn="ctr" rotWithShape="0">
              <a:prstClr val="black">
                <a:alpha val="20000"/>
              </a:prstClr>
            </a:outerShdw>
          </a:effectLst>
        </c:spPr>
      </c:pivotFmt>
      <c:pivotFmt>
        <c:idx val="20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92"/>
        <c:spPr>
          <a:solidFill>
            <a:schemeClr val="accent6"/>
          </a:solidFill>
          <a:ln>
            <a:noFill/>
          </a:ln>
          <a:effectLst>
            <a:outerShdw blurRad="254000" sx="102000" sy="102000" algn="ctr" rotWithShape="0">
              <a:prstClr val="black">
                <a:alpha val="20000"/>
              </a:prstClr>
            </a:outerShdw>
          </a:effectLst>
        </c:spPr>
      </c:pivotFmt>
      <c:pivotFmt>
        <c:idx val="2093"/>
        <c:spPr>
          <a:solidFill>
            <a:schemeClr val="accent6"/>
          </a:solidFill>
          <a:ln>
            <a:noFill/>
          </a:ln>
          <a:effectLst>
            <a:outerShdw blurRad="254000" sx="102000" sy="102000" algn="ctr" rotWithShape="0">
              <a:prstClr val="black">
                <a:alpha val="20000"/>
              </a:prstClr>
            </a:outerShdw>
          </a:effectLst>
        </c:spPr>
      </c:pivotFmt>
      <c:pivotFmt>
        <c:idx val="2094"/>
        <c:spPr>
          <a:solidFill>
            <a:schemeClr val="accent6"/>
          </a:solidFill>
          <a:ln>
            <a:noFill/>
          </a:ln>
          <a:effectLst>
            <a:outerShdw blurRad="254000" sx="102000" sy="102000" algn="ctr" rotWithShape="0">
              <a:prstClr val="black">
                <a:alpha val="20000"/>
              </a:prstClr>
            </a:outerShdw>
          </a:effectLst>
        </c:spPr>
      </c:pivotFmt>
      <c:pivotFmt>
        <c:idx val="2095"/>
        <c:spPr>
          <a:solidFill>
            <a:schemeClr val="accent6"/>
          </a:solidFill>
          <a:ln>
            <a:noFill/>
          </a:ln>
          <a:effectLst>
            <a:outerShdw blurRad="254000" sx="102000" sy="102000" algn="ctr" rotWithShape="0">
              <a:prstClr val="black">
                <a:alpha val="20000"/>
              </a:prstClr>
            </a:outerShdw>
          </a:effectLst>
        </c:spPr>
      </c:pivotFmt>
      <c:pivotFmt>
        <c:idx val="2096"/>
        <c:spPr>
          <a:solidFill>
            <a:schemeClr val="accent6"/>
          </a:solidFill>
          <a:ln>
            <a:noFill/>
          </a:ln>
          <a:effectLst>
            <a:outerShdw blurRad="254000" sx="102000" sy="102000" algn="ctr" rotWithShape="0">
              <a:prstClr val="black">
                <a:alpha val="20000"/>
              </a:prstClr>
            </a:outerShdw>
          </a:effectLst>
        </c:spPr>
      </c:pivotFmt>
      <c:pivotFmt>
        <c:idx val="2097"/>
        <c:spPr>
          <a:solidFill>
            <a:schemeClr val="accent6"/>
          </a:solidFill>
          <a:ln>
            <a:noFill/>
          </a:ln>
          <a:effectLst>
            <a:outerShdw blurRad="254000" sx="102000" sy="102000" algn="ctr" rotWithShape="0">
              <a:prstClr val="black">
                <a:alpha val="20000"/>
              </a:prstClr>
            </a:outerShdw>
          </a:effectLst>
        </c:spPr>
      </c:pivotFmt>
      <c:pivotFmt>
        <c:idx val="2098"/>
        <c:spPr>
          <a:solidFill>
            <a:schemeClr val="accent6"/>
          </a:solidFill>
          <a:ln>
            <a:noFill/>
          </a:ln>
          <a:effectLst>
            <a:outerShdw blurRad="254000" sx="102000" sy="102000" algn="ctr" rotWithShape="0">
              <a:prstClr val="black">
                <a:alpha val="20000"/>
              </a:prstClr>
            </a:outerShdw>
          </a:effectLst>
        </c:spPr>
      </c:pivotFmt>
      <c:pivotFmt>
        <c:idx val="2099"/>
        <c:spPr>
          <a:solidFill>
            <a:schemeClr val="accent6"/>
          </a:solidFill>
          <a:ln>
            <a:noFill/>
          </a:ln>
          <a:effectLst>
            <a:outerShdw blurRad="254000" sx="102000" sy="102000" algn="ctr" rotWithShape="0">
              <a:prstClr val="black">
                <a:alpha val="20000"/>
              </a:prstClr>
            </a:outerShdw>
          </a:effectLst>
        </c:spPr>
      </c:pivotFmt>
      <c:pivotFmt>
        <c:idx val="2100"/>
        <c:spPr>
          <a:solidFill>
            <a:schemeClr val="accent6"/>
          </a:solidFill>
          <a:ln>
            <a:noFill/>
          </a:ln>
          <a:effectLst>
            <a:outerShdw blurRad="254000" sx="102000" sy="102000" algn="ctr" rotWithShape="0">
              <a:prstClr val="black">
                <a:alpha val="20000"/>
              </a:prstClr>
            </a:outerShdw>
          </a:effectLst>
        </c:spPr>
      </c:pivotFmt>
      <c:pivotFmt>
        <c:idx val="21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02"/>
        <c:spPr>
          <a:solidFill>
            <a:schemeClr val="accent6"/>
          </a:solidFill>
          <a:ln>
            <a:noFill/>
          </a:ln>
          <a:effectLst>
            <a:outerShdw blurRad="254000" sx="102000" sy="102000" algn="ctr" rotWithShape="0">
              <a:prstClr val="black">
                <a:alpha val="20000"/>
              </a:prstClr>
            </a:outerShdw>
          </a:effectLst>
        </c:spPr>
      </c:pivotFmt>
      <c:pivotFmt>
        <c:idx val="2103"/>
        <c:spPr>
          <a:solidFill>
            <a:schemeClr val="accent6"/>
          </a:solidFill>
          <a:ln>
            <a:noFill/>
          </a:ln>
          <a:effectLst>
            <a:outerShdw blurRad="254000" sx="102000" sy="102000" algn="ctr" rotWithShape="0">
              <a:prstClr val="black">
                <a:alpha val="20000"/>
              </a:prstClr>
            </a:outerShdw>
          </a:effectLst>
        </c:spPr>
      </c:pivotFmt>
      <c:pivotFmt>
        <c:idx val="2104"/>
        <c:spPr>
          <a:solidFill>
            <a:schemeClr val="accent6"/>
          </a:solidFill>
          <a:ln>
            <a:noFill/>
          </a:ln>
          <a:effectLst>
            <a:outerShdw blurRad="254000" sx="102000" sy="102000" algn="ctr" rotWithShape="0">
              <a:prstClr val="black">
                <a:alpha val="20000"/>
              </a:prstClr>
            </a:outerShdw>
          </a:effectLst>
        </c:spPr>
      </c:pivotFmt>
      <c:pivotFmt>
        <c:idx val="2105"/>
        <c:spPr>
          <a:solidFill>
            <a:schemeClr val="accent6"/>
          </a:solidFill>
          <a:ln>
            <a:noFill/>
          </a:ln>
          <a:effectLst>
            <a:outerShdw blurRad="254000" sx="102000" sy="102000" algn="ctr" rotWithShape="0">
              <a:prstClr val="black">
                <a:alpha val="20000"/>
              </a:prstClr>
            </a:outerShdw>
          </a:effectLst>
        </c:spPr>
      </c:pivotFmt>
      <c:pivotFmt>
        <c:idx val="2106"/>
        <c:spPr>
          <a:solidFill>
            <a:schemeClr val="accent6"/>
          </a:solidFill>
          <a:ln>
            <a:noFill/>
          </a:ln>
          <a:effectLst>
            <a:outerShdw blurRad="254000" sx="102000" sy="102000" algn="ctr" rotWithShape="0">
              <a:prstClr val="black">
                <a:alpha val="20000"/>
              </a:prstClr>
            </a:outerShdw>
          </a:effectLst>
        </c:spPr>
      </c:pivotFmt>
      <c:pivotFmt>
        <c:idx val="2107"/>
        <c:spPr>
          <a:solidFill>
            <a:schemeClr val="accent6"/>
          </a:solidFill>
          <a:ln>
            <a:noFill/>
          </a:ln>
          <a:effectLst>
            <a:outerShdw blurRad="254000" sx="102000" sy="102000" algn="ctr" rotWithShape="0">
              <a:prstClr val="black">
                <a:alpha val="20000"/>
              </a:prstClr>
            </a:outerShdw>
          </a:effectLst>
        </c:spPr>
      </c:pivotFmt>
      <c:pivotFmt>
        <c:idx val="2108"/>
        <c:spPr>
          <a:solidFill>
            <a:schemeClr val="accent6"/>
          </a:solidFill>
          <a:ln>
            <a:noFill/>
          </a:ln>
          <a:effectLst>
            <a:outerShdw blurRad="254000" sx="102000" sy="102000" algn="ctr" rotWithShape="0">
              <a:prstClr val="black">
                <a:alpha val="20000"/>
              </a:prstClr>
            </a:outerShdw>
          </a:effectLst>
        </c:spPr>
      </c:pivotFmt>
      <c:pivotFmt>
        <c:idx val="2109"/>
        <c:spPr>
          <a:solidFill>
            <a:schemeClr val="accent6"/>
          </a:solidFill>
          <a:ln>
            <a:noFill/>
          </a:ln>
          <a:effectLst>
            <a:outerShdw blurRad="254000" sx="102000" sy="102000" algn="ctr" rotWithShape="0">
              <a:prstClr val="black">
                <a:alpha val="20000"/>
              </a:prstClr>
            </a:outerShdw>
          </a:effectLst>
        </c:spPr>
      </c:pivotFmt>
      <c:pivotFmt>
        <c:idx val="2110"/>
        <c:spPr>
          <a:solidFill>
            <a:schemeClr val="accent6"/>
          </a:solidFill>
          <a:ln>
            <a:noFill/>
          </a:ln>
          <a:effectLst>
            <a:outerShdw blurRad="254000" sx="102000" sy="102000" algn="ctr" rotWithShape="0">
              <a:prstClr val="black">
                <a:alpha val="20000"/>
              </a:prstClr>
            </a:outerShdw>
          </a:effectLst>
        </c:spPr>
      </c:pivotFmt>
      <c:pivotFmt>
        <c:idx val="21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12"/>
        <c:spPr>
          <a:solidFill>
            <a:schemeClr val="accent6"/>
          </a:solidFill>
          <a:ln>
            <a:noFill/>
          </a:ln>
          <a:effectLst>
            <a:outerShdw blurRad="254000" sx="102000" sy="102000" algn="ctr" rotWithShape="0">
              <a:prstClr val="black">
                <a:alpha val="20000"/>
              </a:prstClr>
            </a:outerShdw>
          </a:effectLst>
        </c:spPr>
      </c:pivotFmt>
      <c:pivotFmt>
        <c:idx val="2113"/>
        <c:spPr>
          <a:solidFill>
            <a:schemeClr val="accent6"/>
          </a:solidFill>
          <a:ln>
            <a:noFill/>
          </a:ln>
          <a:effectLst>
            <a:outerShdw blurRad="254000" sx="102000" sy="102000" algn="ctr" rotWithShape="0">
              <a:prstClr val="black">
                <a:alpha val="20000"/>
              </a:prstClr>
            </a:outerShdw>
          </a:effectLst>
        </c:spPr>
      </c:pivotFmt>
      <c:pivotFmt>
        <c:idx val="2114"/>
        <c:spPr>
          <a:solidFill>
            <a:schemeClr val="accent6"/>
          </a:solidFill>
          <a:ln>
            <a:noFill/>
          </a:ln>
          <a:effectLst>
            <a:outerShdw blurRad="254000" sx="102000" sy="102000" algn="ctr" rotWithShape="0">
              <a:prstClr val="black">
                <a:alpha val="20000"/>
              </a:prstClr>
            </a:outerShdw>
          </a:effectLst>
        </c:spPr>
      </c:pivotFmt>
      <c:pivotFmt>
        <c:idx val="2115"/>
        <c:spPr>
          <a:solidFill>
            <a:schemeClr val="accent6"/>
          </a:solidFill>
          <a:ln>
            <a:noFill/>
          </a:ln>
          <a:effectLst>
            <a:outerShdw blurRad="254000" sx="102000" sy="102000" algn="ctr" rotWithShape="0">
              <a:prstClr val="black">
                <a:alpha val="20000"/>
              </a:prstClr>
            </a:outerShdw>
          </a:effectLst>
        </c:spPr>
      </c:pivotFmt>
      <c:pivotFmt>
        <c:idx val="2116"/>
        <c:spPr>
          <a:solidFill>
            <a:schemeClr val="accent6"/>
          </a:solidFill>
          <a:ln>
            <a:noFill/>
          </a:ln>
          <a:effectLst>
            <a:outerShdw blurRad="254000" sx="102000" sy="102000" algn="ctr" rotWithShape="0">
              <a:prstClr val="black">
                <a:alpha val="20000"/>
              </a:prstClr>
            </a:outerShdw>
          </a:effectLst>
        </c:spPr>
      </c:pivotFmt>
      <c:pivotFmt>
        <c:idx val="2117"/>
        <c:spPr>
          <a:solidFill>
            <a:schemeClr val="accent6"/>
          </a:solidFill>
          <a:ln>
            <a:noFill/>
          </a:ln>
          <a:effectLst>
            <a:outerShdw blurRad="254000" sx="102000" sy="102000" algn="ctr" rotWithShape="0">
              <a:prstClr val="black">
                <a:alpha val="20000"/>
              </a:prstClr>
            </a:outerShdw>
          </a:effectLst>
        </c:spPr>
      </c:pivotFmt>
      <c:pivotFmt>
        <c:idx val="2118"/>
        <c:spPr>
          <a:solidFill>
            <a:schemeClr val="accent6"/>
          </a:solidFill>
          <a:ln>
            <a:noFill/>
          </a:ln>
          <a:effectLst>
            <a:outerShdw blurRad="254000" sx="102000" sy="102000" algn="ctr" rotWithShape="0">
              <a:prstClr val="black">
                <a:alpha val="20000"/>
              </a:prstClr>
            </a:outerShdw>
          </a:effectLst>
        </c:spPr>
      </c:pivotFmt>
      <c:pivotFmt>
        <c:idx val="2119"/>
        <c:spPr>
          <a:solidFill>
            <a:schemeClr val="accent6"/>
          </a:solidFill>
          <a:ln>
            <a:noFill/>
          </a:ln>
          <a:effectLst>
            <a:outerShdw blurRad="254000" sx="102000" sy="102000" algn="ctr" rotWithShape="0">
              <a:prstClr val="black">
                <a:alpha val="20000"/>
              </a:prstClr>
            </a:outerShdw>
          </a:effectLst>
        </c:spPr>
      </c:pivotFmt>
      <c:pivotFmt>
        <c:idx val="2120"/>
        <c:spPr>
          <a:solidFill>
            <a:schemeClr val="accent6"/>
          </a:solidFill>
          <a:ln>
            <a:noFill/>
          </a:ln>
          <a:effectLst>
            <a:outerShdw blurRad="254000" sx="102000" sy="102000" algn="ctr" rotWithShape="0">
              <a:prstClr val="black">
                <a:alpha val="20000"/>
              </a:prstClr>
            </a:outerShdw>
          </a:effectLst>
        </c:spPr>
      </c:pivotFmt>
      <c:pivotFmt>
        <c:idx val="21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22"/>
        <c:spPr>
          <a:solidFill>
            <a:schemeClr val="accent6"/>
          </a:solidFill>
          <a:ln>
            <a:noFill/>
          </a:ln>
          <a:effectLst>
            <a:outerShdw blurRad="254000" sx="102000" sy="102000" algn="ctr" rotWithShape="0">
              <a:prstClr val="black">
                <a:alpha val="20000"/>
              </a:prstClr>
            </a:outerShdw>
          </a:effectLst>
        </c:spPr>
      </c:pivotFmt>
      <c:pivotFmt>
        <c:idx val="2123"/>
        <c:spPr>
          <a:solidFill>
            <a:schemeClr val="accent6"/>
          </a:solidFill>
          <a:ln>
            <a:noFill/>
          </a:ln>
          <a:effectLst>
            <a:outerShdw blurRad="254000" sx="102000" sy="102000" algn="ctr" rotWithShape="0">
              <a:prstClr val="black">
                <a:alpha val="20000"/>
              </a:prstClr>
            </a:outerShdw>
          </a:effectLst>
        </c:spPr>
      </c:pivotFmt>
      <c:pivotFmt>
        <c:idx val="2124"/>
        <c:spPr>
          <a:solidFill>
            <a:schemeClr val="accent6"/>
          </a:solidFill>
          <a:ln>
            <a:noFill/>
          </a:ln>
          <a:effectLst>
            <a:outerShdw blurRad="254000" sx="102000" sy="102000" algn="ctr" rotWithShape="0">
              <a:prstClr val="black">
                <a:alpha val="20000"/>
              </a:prstClr>
            </a:outerShdw>
          </a:effectLst>
        </c:spPr>
      </c:pivotFmt>
      <c:pivotFmt>
        <c:idx val="2125"/>
        <c:spPr>
          <a:solidFill>
            <a:schemeClr val="accent6"/>
          </a:solidFill>
          <a:ln>
            <a:noFill/>
          </a:ln>
          <a:effectLst>
            <a:outerShdw blurRad="254000" sx="102000" sy="102000" algn="ctr" rotWithShape="0">
              <a:prstClr val="black">
                <a:alpha val="20000"/>
              </a:prstClr>
            </a:outerShdw>
          </a:effectLst>
        </c:spPr>
      </c:pivotFmt>
      <c:pivotFmt>
        <c:idx val="2126"/>
        <c:spPr>
          <a:solidFill>
            <a:schemeClr val="accent6"/>
          </a:solidFill>
          <a:ln>
            <a:noFill/>
          </a:ln>
          <a:effectLst>
            <a:outerShdw blurRad="254000" sx="102000" sy="102000" algn="ctr" rotWithShape="0">
              <a:prstClr val="black">
                <a:alpha val="20000"/>
              </a:prstClr>
            </a:outerShdw>
          </a:effectLst>
        </c:spPr>
      </c:pivotFmt>
      <c:pivotFmt>
        <c:idx val="2127"/>
        <c:spPr>
          <a:solidFill>
            <a:schemeClr val="accent6"/>
          </a:solidFill>
          <a:ln>
            <a:noFill/>
          </a:ln>
          <a:effectLst>
            <a:outerShdw blurRad="254000" sx="102000" sy="102000" algn="ctr" rotWithShape="0">
              <a:prstClr val="black">
                <a:alpha val="20000"/>
              </a:prstClr>
            </a:outerShdw>
          </a:effectLst>
        </c:spPr>
      </c:pivotFmt>
      <c:pivotFmt>
        <c:idx val="2128"/>
        <c:spPr>
          <a:solidFill>
            <a:schemeClr val="accent6"/>
          </a:solidFill>
          <a:ln>
            <a:noFill/>
          </a:ln>
          <a:effectLst>
            <a:outerShdw blurRad="254000" sx="102000" sy="102000" algn="ctr" rotWithShape="0">
              <a:prstClr val="black">
                <a:alpha val="20000"/>
              </a:prstClr>
            </a:outerShdw>
          </a:effectLst>
        </c:spPr>
      </c:pivotFmt>
      <c:pivotFmt>
        <c:idx val="2129"/>
        <c:spPr>
          <a:solidFill>
            <a:schemeClr val="accent6"/>
          </a:solidFill>
          <a:ln>
            <a:noFill/>
          </a:ln>
          <a:effectLst>
            <a:outerShdw blurRad="254000" sx="102000" sy="102000" algn="ctr" rotWithShape="0">
              <a:prstClr val="black">
                <a:alpha val="20000"/>
              </a:prstClr>
            </a:outerShdw>
          </a:effectLst>
        </c:spPr>
      </c:pivotFmt>
      <c:pivotFmt>
        <c:idx val="2130"/>
        <c:spPr>
          <a:solidFill>
            <a:schemeClr val="accent6"/>
          </a:solidFill>
          <a:ln>
            <a:noFill/>
          </a:ln>
          <a:effectLst>
            <a:outerShdw blurRad="254000" sx="102000" sy="102000" algn="ctr" rotWithShape="0">
              <a:prstClr val="black">
                <a:alpha val="20000"/>
              </a:prstClr>
            </a:outerShdw>
          </a:effectLst>
        </c:spPr>
      </c:pivotFmt>
      <c:pivotFmt>
        <c:idx val="21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32"/>
        <c:spPr>
          <a:solidFill>
            <a:schemeClr val="accent6"/>
          </a:solidFill>
          <a:ln>
            <a:noFill/>
          </a:ln>
          <a:effectLst>
            <a:outerShdw blurRad="254000" sx="102000" sy="102000" algn="ctr" rotWithShape="0">
              <a:prstClr val="black">
                <a:alpha val="20000"/>
              </a:prstClr>
            </a:outerShdw>
          </a:effectLst>
        </c:spPr>
      </c:pivotFmt>
      <c:pivotFmt>
        <c:idx val="2133"/>
        <c:spPr>
          <a:solidFill>
            <a:schemeClr val="accent6"/>
          </a:solidFill>
          <a:ln>
            <a:noFill/>
          </a:ln>
          <a:effectLst>
            <a:outerShdw blurRad="254000" sx="102000" sy="102000" algn="ctr" rotWithShape="0">
              <a:prstClr val="black">
                <a:alpha val="20000"/>
              </a:prstClr>
            </a:outerShdw>
          </a:effectLst>
        </c:spPr>
      </c:pivotFmt>
      <c:pivotFmt>
        <c:idx val="2134"/>
        <c:spPr>
          <a:solidFill>
            <a:schemeClr val="accent6"/>
          </a:solidFill>
          <a:ln>
            <a:noFill/>
          </a:ln>
          <a:effectLst>
            <a:outerShdw blurRad="254000" sx="102000" sy="102000" algn="ctr" rotWithShape="0">
              <a:prstClr val="black">
                <a:alpha val="20000"/>
              </a:prstClr>
            </a:outerShdw>
          </a:effectLst>
        </c:spPr>
      </c:pivotFmt>
      <c:pivotFmt>
        <c:idx val="2135"/>
        <c:spPr>
          <a:solidFill>
            <a:schemeClr val="accent6"/>
          </a:solidFill>
          <a:ln>
            <a:noFill/>
          </a:ln>
          <a:effectLst>
            <a:outerShdw blurRad="254000" sx="102000" sy="102000" algn="ctr" rotWithShape="0">
              <a:prstClr val="black">
                <a:alpha val="20000"/>
              </a:prstClr>
            </a:outerShdw>
          </a:effectLst>
        </c:spPr>
      </c:pivotFmt>
      <c:pivotFmt>
        <c:idx val="2136"/>
        <c:spPr>
          <a:solidFill>
            <a:schemeClr val="accent6"/>
          </a:solidFill>
          <a:ln>
            <a:noFill/>
          </a:ln>
          <a:effectLst>
            <a:outerShdw blurRad="254000" sx="102000" sy="102000" algn="ctr" rotWithShape="0">
              <a:prstClr val="black">
                <a:alpha val="20000"/>
              </a:prstClr>
            </a:outerShdw>
          </a:effectLst>
        </c:spPr>
      </c:pivotFmt>
      <c:pivotFmt>
        <c:idx val="2137"/>
        <c:spPr>
          <a:solidFill>
            <a:schemeClr val="accent6"/>
          </a:solidFill>
          <a:ln>
            <a:noFill/>
          </a:ln>
          <a:effectLst>
            <a:outerShdw blurRad="254000" sx="102000" sy="102000" algn="ctr" rotWithShape="0">
              <a:prstClr val="black">
                <a:alpha val="20000"/>
              </a:prstClr>
            </a:outerShdw>
          </a:effectLst>
        </c:spPr>
      </c:pivotFmt>
      <c:pivotFmt>
        <c:idx val="2138"/>
        <c:spPr>
          <a:solidFill>
            <a:schemeClr val="accent6"/>
          </a:solidFill>
          <a:ln>
            <a:noFill/>
          </a:ln>
          <a:effectLst>
            <a:outerShdw blurRad="254000" sx="102000" sy="102000" algn="ctr" rotWithShape="0">
              <a:prstClr val="black">
                <a:alpha val="20000"/>
              </a:prstClr>
            </a:outerShdw>
          </a:effectLst>
        </c:spPr>
      </c:pivotFmt>
      <c:pivotFmt>
        <c:idx val="2139"/>
        <c:spPr>
          <a:solidFill>
            <a:schemeClr val="accent6"/>
          </a:solidFill>
          <a:ln>
            <a:noFill/>
          </a:ln>
          <a:effectLst>
            <a:outerShdw blurRad="254000" sx="102000" sy="102000" algn="ctr" rotWithShape="0">
              <a:prstClr val="black">
                <a:alpha val="20000"/>
              </a:prstClr>
            </a:outerShdw>
          </a:effectLst>
        </c:spPr>
      </c:pivotFmt>
      <c:pivotFmt>
        <c:idx val="2140"/>
        <c:spPr>
          <a:solidFill>
            <a:schemeClr val="accent6"/>
          </a:solidFill>
          <a:ln>
            <a:noFill/>
          </a:ln>
          <a:effectLst>
            <a:outerShdw blurRad="254000" sx="102000" sy="102000" algn="ctr" rotWithShape="0">
              <a:prstClr val="black">
                <a:alpha val="20000"/>
              </a:prstClr>
            </a:outerShdw>
          </a:effectLst>
        </c:spPr>
      </c:pivotFmt>
      <c:pivotFmt>
        <c:idx val="214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42"/>
        <c:spPr>
          <a:solidFill>
            <a:schemeClr val="accent6"/>
          </a:solidFill>
          <a:ln>
            <a:noFill/>
          </a:ln>
          <a:effectLst>
            <a:outerShdw blurRad="254000" sx="102000" sy="102000" algn="ctr" rotWithShape="0">
              <a:prstClr val="black">
                <a:alpha val="20000"/>
              </a:prstClr>
            </a:outerShdw>
          </a:effectLst>
        </c:spPr>
      </c:pivotFmt>
      <c:pivotFmt>
        <c:idx val="2143"/>
        <c:spPr>
          <a:solidFill>
            <a:schemeClr val="accent6"/>
          </a:solidFill>
          <a:ln>
            <a:noFill/>
          </a:ln>
          <a:effectLst>
            <a:outerShdw blurRad="254000" sx="102000" sy="102000" algn="ctr" rotWithShape="0">
              <a:prstClr val="black">
                <a:alpha val="20000"/>
              </a:prstClr>
            </a:outerShdw>
          </a:effectLst>
        </c:spPr>
      </c:pivotFmt>
      <c:pivotFmt>
        <c:idx val="2144"/>
        <c:spPr>
          <a:solidFill>
            <a:schemeClr val="accent6"/>
          </a:solidFill>
          <a:ln>
            <a:noFill/>
          </a:ln>
          <a:effectLst>
            <a:outerShdw blurRad="254000" sx="102000" sy="102000" algn="ctr" rotWithShape="0">
              <a:prstClr val="black">
                <a:alpha val="20000"/>
              </a:prstClr>
            </a:outerShdw>
          </a:effectLst>
        </c:spPr>
      </c:pivotFmt>
      <c:pivotFmt>
        <c:idx val="2145"/>
        <c:spPr>
          <a:solidFill>
            <a:schemeClr val="accent6"/>
          </a:solidFill>
          <a:ln>
            <a:noFill/>
          </a:ln>
          <a:effectLst>
            <a:outerShdw blurRad="254000" sx="102000" sy="102000" algn="ctr" rotWithShape="0">
              <a:prstClr val="black">
                <a:alpha val="20000"/>
              </a:prstClr>
            </a:outerShdw>
          </a:effectLst>
        </c:spPr>
      </c:pivotFmt>
      <c:pivotFmt>
        <c:idx val="2146"/>
        <c:spPr>
          <a:solidFill>
            <a:schemeClr val="accent6"/>
          </a:solidFill>
          <a:ln>
            <a:noFill/>
          </a:ln>
          <a:effectLst>
            <a:outerShdw blurRad="254000" sx="102000" sy="102000" algn="ctr" rotWithShape="0">
              <a:prstClr val="black">
                <a:alpha val="20000"/>
              </a:prstClr>
            </a:outerShdw>
          </a:effectLst>
        </c:spPr>
      </c:pivotFmt>
      <c:pivotFmt>
        <c:idx val="2147"/>
        <c:spPr>
          <a:solidFill>
            <a:schemeClr val="accent6"/>
          </a:solidFill>
          <a:ln>
            <a:noFill/>
          </a:ln>
          <a:effectLst>
            <a:outerShdw blurRad="254000" sx="102000" sy="102000" algn="ctr" rotWithShape="0">
              <a:prstClr val="black">
                <a:alpha val="20000"/>
              </a:prstClr>
            </a:outerShdw>
          </a:effectLst>
        </c:spPr>
      </c:pivotFmt>
      <c:pivotFmt>
        <c:idx val="2148"/>
        <c:spPr>
          <a:solidFill>
            <a:schemeClr val="accent6"/>
          </a:solidFill>
          <a:ln>
            <a:noFill/>
          </a:ln>
          <a:effectLst>
            <a:outerShdw blurRad="254000" sx="102000" sy="102000" algn="ctr" rotWithShape="0">
              <a:prstClr val="black">
                <a:alpha val="20000"/>
              </a:prstClr>
            </a:outerShdw>
          </a:effectLst>
        </c:spPr>
      </c:pivotFmt>
      <c:pivotFmt>
        <c:idx val="2149"/>
        <c:spPr>
          <a:solidFill>
            <a:schemeClr val="accent6"/>
          </a:solidFill>
          <a:ln>
            <a:noFill/>
          </a:ln>
          <a:effectLst>
            <a:outerShdw blurRad="254000" sx="102000" sy="102000" algn="ctr" rotWithShape="0">
              <a:prstClr val="black">
                <a:alpha val="20000"/>
              </a:prstClr>
            </a:outerShdw>
          </a:effectLst>
        </c:spPr>
      </c:pivotFmt>
      <c:pivotFmt>
        <c:idx val="2150"/>
        <c:spPr>
          <a:solidFill>
            <a:schemeClr val="accent6"/>
          </a:solidFill>
          <a:ln>
            <a:noFill/>
          </a:ln>
          <a:effectLst>
            <a:outerShdw blurRad="254000" sx="102000" sy="102000" algn="ctr" rotWithShape="0">
              <a:prstClr val="black">
                <a:alpha val="20000"/>
              </a:prstClr>
            </a:outerShdw>
          </a:effectLst>
        </c:spPr>
      </c:pivotFmt>
      <c:pivotFmt>
        <c:idx val="21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52"/>
        <c:spPr>
          <a:solidFill>
            <a:schemeClr val="accent6"/>
          </a:solidFill>
          <a:ln>
            <a:noFill/>
          </a:ln>
          <a:effectLst>
            <a:outerShdw blurRad="254000" sx="102000" sy="102000" algn="ctr" rotWithShape="0">
              <a:prstClr val="black">
                <a:alpha val="20000"/>
              </a:prstClr>
            </a:outerShdw>
          </a:effectLst>
        </c:spPr>
      </c:pivotFmt>
      <c:pivotFmt>
        <c:idx val="2153"/>
        <c:spPr>
          <a:solidFill>
            <a:schemeClr val="accent6"/>
          </a:solidFill>
          <a:ln>
            <a:noFill/>
          </a:ln>
          <a:effectLst>
            <a:outerShdw blurRad="254000" sx="102000" sy="102000" algn="ctr" rotWithShape="0">
              <a:prstClr val="black">
                <a:alpha val="20000"/>
              </a:prstClr>
            </a:outerShdw>
          </a:effectLst>
        </c:spPr>
      </c:pivotFmt>
      <c:pivotFmt>
        <c:idx val="2154"/>
        <c:spPr>
          <a:solidFill>
            <a:schemeClr val="accent6"/>
          </a:solidFill>
          <a:ln>
            <a:noFill/>
          </a:ln>
          <a:effectLst>
            <a:outerShdw blurRad="254000" sx="102000" sy="102000" algn="ctr" rotWithShape="0">
              <a:prstClr val="black">
                <a:alpha val="20000"/>
              </a:prstClr>
            </a:outerShdw>
          </a:effectLst>
        </c:spPr>
      </c:pivotFmt>
      <c:pivotFmt>
        <c:idx val="2155"/>
        <c:spPr>
          <a:solidFill>
            <a:schemeClr val="accent6"/>
          </a:solidFill>
          <a:ln>
            <a:noFill/>
          </a:ln>
          <a:effectLst>
            <a:outerShdw blurRad="254000" sx="102000" sy="102000" algn="ctr" rotWithShape="0">
              <a:prstClr val="black">
                <a:alpha val="20000"/>
              </a:prstClr>
            </a:outerShdw>
          </a:effectLst>
        </c:spPr>
      </c:pivotFmt>
      <c:pivotFmt>
        <c:idx val="2156"/>
        <c:spPr>
          <a:solidFill>
            <a:schemeClr val="accent6"/>
          </a:solidFill>
          <a:ln>
            <a:noFill/>
          </a:ln>
          <a:effectLst>
            <a:outerShdw blurRad="254000" sx="102000" sy="102000" algn="ctr" rotWithShape="0">
              <a:prstClr val="black">
                <a:alpha val="20000"/>
              </a:prstClr>
            </a:outerShdw>
          </a:effectLst>
        </c:spPr>
      </c:pivotFmt>
      <c:pivotFmt>
        <c:idx val="2157"/>
        <c:spPr>
          <a:solidFill>
            <a:schemeClr val="accent6"/>
          </a:solidFill>
          <a:ln>
            <a:noFill/>
          </a:ln>
          <a:effectLst>
            <a:outerShdw blurRad="254000" sx="102000" sy="102000" algn="ctr" rotWithShape="0">
              <a:prstClr val="black">
                <a:alpha val="20000"/>
              </a:prstClr>
            </a:outerShdw>
          </a:effectLst>
        </c:spPr>
      </c:pivotFmt>
      <c:pivotFmt>
        <c:idx val="2158"/>
        <c:spPr>
          <a:solidFill>
            <a:schemeClr val="accent6"/>
          </a:solidFill>
          <a:ln>
            <a:noFill/>
          </a:ln>
          <a:effectLst>
            <a:outerShdw blurRad="254000" sx="102000" sy="102000" algn="ctr" rotWithShape="0">
              <a:prstClr val="black">
                <a:alpha val="20000"/>
              </a:prstClr>
            </a:outerShdw>
          </a:effectLst>
        </c:spPr>
      </c:pivotFmt>
      <c:pivotFmt>
        <c:idx val="2159"/>
        <c:spPr>
          <a:solidFill>
            <a:schemeClr val="accent6"/>
          </a:solidFill>
          <a:ln>
            <a:noFill/>
          </a:ln>
          <a:effectLst>
            <a:outerShdw blurRad="254000" sx="102000" sy="102000" algn="ctr" rotWithShape="0">
              <a:prstClr val="black">
                <a:alpha val="20000"/>
              </a:prstClr>
            </a:outerShdw>
          </a:effectLst>
        </c:spPr>
      </c:pivotFmt>
      <c:pivotFmt>
        <c:idx val="2160"/>
        <c:spPr>
          <a:solidFill>
            <a:schemeClr val="accent6"/>
          </a:solidFill>
          <a:ln>
            <a:noFill/>
          </a:ln>
          <a:effectLst>
            <a:outerShdw blurRad="254000" sx="102000" sy="102000" algn="ctr" rotWithShape="0">
              <a:prstClr val="black">
                <a:alpha val="20000"/>
              </a:prstClr>
            </a:outerShdw>
          </a:effectLst>
        </c:spPr>
      </c:pivotFmt>
      <c:pivotFmt>
        <c:idx val="21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62"/>
        <c:spPr>
          <a:solidFill>
            <a:schemeClr val="accent6"/>
          </a:solidFill>
          <a:ln>
            <a:noFill/>
          </a:ln>
          <a:effectLst>
            <a:outerShdw blurRad="254000" sx="102000" sy="102000" algn="ctr" rotWithShape="0">
              <a:prstClr val="black">
                <a:alpha val="20000"/>
              </a:prstClr>
            </a:outerShdw>
          </a:effectLst>
        </c:spPr>
      </c:pivotFmt>
      <c:pivotFmt>
        <c:idx val="2163"/>
        <c:spPr>
          <a:solidFill>
            <a:schemeClr val="accent6"/>
          </a:solidFill>
          <a:ln>
            <a:noFill/>
          </a:ln>
          <a:effectLst>
            <a:outerShdw blurRad="254000" sx="102000" sy="102000" algn="ctr" rotWithShape="0">
              <a:prstClr val="black">
                <a:alpha val="20000"/>
              </a:prstClr>
            </a:outerShdw>
          </a:effectLst>
        </c:spPr>
      </c:pivotFmt>
      <c:pivotFmt>
        <c:idx val="2164"/>
        <c:spPr>
          <a:solidFill>
            <a:schemeClr val="accent6"/>
          </a:solidFill>
          <a:ln>
            <a:noFill/>
          </a:ln>
          <a:effectLst>
            <a:outerShdw blurRad="254000" sx="102000" sy="102000" algn="ctr" rotWithShape="0">
              <a:prstClr val="black">
                <a:alpha val="20000"/>
              </a:prstClr>
            </a:outerShdw>
          </a:effectLst>
        </c:spPr>
      </c:pivotFmt>
      <c:pivotFmt>
        <c:idx val="2165"/>
        <c:spPr>
          <a:solidFill>
            <a:schemeClr val="accent6"/>
          </a:solidFill>
          <a:ln>
            <a:noFill/>
          </a:ln>
          <a:effectLst>
            <a:outerShdw blurRad="254000" sx="102000" sy="102000" algn="ctr" rotWithShape="0">
              <a:prstClr val="black">
                <a:alpha val="20000"/>
              </a:prstClr>
            </a:outerShdw>
          </a:effectLst>
        </c:spPr>
      </c:pivotFmt>
      <c:pivotFmt>
        <c:idx val="2166"/>
        <c:spPr>
          <a:solidFill>
            <a:schemeClr val="accent6"/>
          </a:solidFill>
          <a:ln>
            <a:noFill/>
          </a:ln>
          <a:effectLst>
            <a:outerShdw blurRad="254000" sx="102000" sy="102000" algn="ctr" rotWithShape="0">
              <a:prstClr val="black">
                <a:alpha val="20000"/>
              </a:prstClr>
            </a:outerShdw>
          </a:effectLst>
        </c:spPr>
      </c:pivotFmt>
      <c:pivotFmt>
        <c:idx val="2167"/>
        <c:spPr>
          <a:solidFill>
            <a:schemeClr val="accent6"/>
          </a:solidFill>
          <a:ln>
            <a:noFill/>
          </a:ln>
          <a:effectLst>
            <a:outerShdw blurRad="254000" sx="102000" sy="102000" algn="ctr" rotWithShape="0">
              <a:prstClr val="black">
                <a:alpha val="20000"/>
              </a:prstClr>
            </a:outerShdw>
          </a:effectLst>
        </c:spPr>
      </c:pivotFmt>
      <c:pivotFmt>
        <c:idx val="2168"/>
        <c:spPr>
          <a:solidFill>
            <a:schemeClr val="accent6"/>
          </a:solidFill>
          <a:ln>
            <a:noFill/>
          </a:ln>
          <a:effectLst>
            <a:outerShdw blurRad="254000" sx="102000" sy="102000" algn="ctr" rotWithShape="0">
              <a:prstClr val="black">
                <a:alpha val="20000"/>
              </a:prstClr>
            </a:outerShdw>
          </a:effectLst>
        </c:spPr>
      </c:pivotFmt>
      <c:pivotFmt>
        <c:idx val="2169"/>
        <c:spPr>
          <a:solidFill>
            <a:schemeClr val="accent6"/>
          </a:solidFill>
          <a:ln>
            <a:noFill/>
          </a:ln>
          <a:effectLst>
            <a:outerShdw blurRad="254000" sx="102000" sy="102000" algn="ctr" rotWithShape="0">
              <a:prstClr val="black">
                <a:alpha val="20000"/>
              </a:prstClr>
            </a:outerShdw>
          </a:effectLst>
        </c:spPr>
      </c:pivotFmt>
      <c:pivotFmt>
        <c:idx val="2170"/>
        <c:spPr>
          <a:solidFill>
            <a:schemeClr val="accent6"/>
          </a:solidFill>
          <a:ln>
            <a:noFill/>
          </a:ln>
          <a:effectLst>
            <a:outerShdw blurRad="254000" sx="102000" sy="102000" algn="ctr" rotWithShape="0">
              <a:prstClr val="black">
                <a:alpha val="20000"/>
              </a:prstClr>
            </a:outerShdw>
          </a:effectLst>
        </c:spPr>
      </c:pivotFmt>
      <c:pivotFmt>
        <c:idx val="21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72"/>
        <c:spPr>
          <a:solidFill>
            <a:schemeClr val="accent6"/>
          </a:solidFill>
          <a:ln>
            <a:noFill/>
          </a:ln>
          <a:effectLst>
            <a:outerShdw blurRad="254000" sx="102000" sy="102000" algn="ctr" rotWithShape="0">
              <a:prstClr val="black">
                <a:alpha val="20000"/>
              </a:prstClr>
            </a:outerShdw>
          </a:effectLst>
        </c:spPr>
      </c:pivotFmt>
      <c:pivotFmt>
        <c:idx val="2173"/>
        <c:spPr>
          <a:solidFill>
            <a:schemeClr val="accent6"/>
          </a:solidFill>
          <a:ln>
            <a:noFill/>
          </a:ln>
          <a:effectLst>
            <a:outerShdw blurRad="254000" sx="102000" sy="102000" algn="ctr" rotWithShape="0">
              <a:prstClr val="black">
                <a:alpha val="20000"/>
              </a:prstClr>
            </a:outerShdw>
          </a:effectLst>
        </c:spPr>
      </c:pivotFmt>
      <c:pivotFmt>
        <c:idx val="2174"/>
        <c:spPr>
          <a:solidFill>
            <a:schemeClr val="accent6"/>
          </a:solidFill>
          <a:ln>
            <a:noFill/>
          </a:ln>
          <a:effectLst>
            <a:outerShdw blurRad="254000" sx="102000" sy="102000" algn="ctr" rotWithShape="0">
              <a:prstClr val="black">
                <a:alpha val="20000"/>
              </a:prstClr>
            </a:outerShdw>
          </a:effectLst>
        </c:spPr>
      </c:pivotFmt>
      <c:pivotFmt>
        <c:idx val="2175"/>
        <c:spPr>
          <a:solidFill>
            <a:schemeClr val="accent6"/>
          </a:solidFill>
          <a:ln>
            <a:noFill/>
          </a:ln>
          <a:effectLst>
            <a:outerShdw blurRad="254000" sx="102000" sy="102000" algn="ctr" rotWithShape="0">
              <a:prstClr val="black">
                <a:alpha val="20000"/>
              </a:prstClr>
            </a:outerShdw>
          </a:effectLst>
        </c:spPr>
      </c:pivotFmt>
      <c:pivotFmt>
        <c:idx val="2176"/>
        <c:spPr>
          <a:solidFill>
            <a:schemeClr val="accent6"/>
          </a:solidFill>
          <a:ln>
            <a:noFill/>
          </a:ln>
          <a:effectLst>
            <a:outerShdw blurRad="254000" sx="102000" sy="102000" algn="ctr" rotWithShape="0">
              <a:prstClr val="black">
                <a:alpha val="20000"/>
              </a:prstClr>
            </a:outerShdw>
          </a:effectLst>
        </c:spPr>
      </c:pivotFmt>
      <c:pivotFmt>
        <c:idx val="2177"/>
        <c:spPr>
          <a:solidFill>
            <a:schemeClr val="accent6"/>
          </a:solidFill>
          <a:ln>
            <a:noFill/>
          </a:ln>
          <a:effectLst>
            <a:outerShdw blurRad="254000" sx="102000" sy="102000" algn="ctr" rotWithShape="0">
              <a:prstClr val="black">
                <a:alpha val="20000"/>
              </a:prstClr>
            </a:outerShdw>
          </a:effectLst>
        </c:spPr>
      </c:pivotFmt>
      <c:pivotFmt>
        <c:idx val="2178"/>
        <c:spPr>
          <a:solidFill>
            <a:schemeClr val="accent6"/>
          </a:solidFill>
          <a:ln>
            <a:noFill/>
          </a:ln>
          <a:effectLst>
            <a:outerShdw blurRad="254000" sx="102000" sy="102000" algn="ctr" rotWithShape="0">
              <a:prstClr val="black">
                <a:alpha val="20000"/>
              </a:prstClr>
            </a:outerShdw>
          </a:effectLst>
        </c:spPr>
      </c:pivotFmt>
      <c:pivotFmt>
        <c:idx val="2179"/>
        <c:spPr>
          <a:solidFill>
            <a:schemeClr val="accent6"/>
          </a:solidFill>
          <a:ln>
            <a:noFill/>
          </a:ln>
          <a:effectLst>
            <a:outerShdw blurRad="254000" sx="102000" sy="102000" algn="ctr" rotWithShape="0">
              <a:prstClr val="black">
                <a:alpha val="20000"/>
              </a:prstClr>
            </a:outerShdw>
          </a:effectLst>
        </c:spPr>
      </c:pivotFmt>
      <c:pivotFmt>
        <c:idx val="2180"/>
        <c:spPr>
          <a:solidFill>
            <a:schemeClr val="accent6"/>
          </a:solidFill>
          <a:ln>
            <a:noFill/>
          </a:ln>
          <a:effectLst>
            <a:outerShdw blurRad="254000" sx="102000" sy="102000" algn="ctr" rotWithShape="0">
              <a:prstClr val="black">
                <a:alpha val="20000"/>
              </a:prstClr>
            </a:outerShdw>
          </a:effectLst>
        </c:spPr>
      </c:pivotFmt>
      <c:pivotFmt>
        <c:idx val="21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82"/>
        <c:spPr>
          <a:solidFill>
            <a:schemeClr val="accent6"/>
          </a:solidFill>
          <a:ln>
            <a:noFill/>
          </a:ln>
          <a:effectLst>
            <a:outerShdw blurRad="254000" sx="102000" sy="102000" algn="ctr" rotWithShape="0">
              <a:prstClr val="black">
                <a:alpha val="20000"/>
              </a:prstClr>
            </a:outerShdw>
          </a:effectLst>
        </c:spPr>
      </c:pivotFmt>
      <c:pivotFmt>
        <c:idx val="2183"/>
        <c:spPr>
          <a:solidFill>
            <a:schemeClr val="accent6"/>
          </a:solidFill>
          <a:ln>
            <a:noFill/>
          </a:ln>
          <a:effectLst>
            <a:outerShdw blurRad="254000" sx="102000" sy="102000" algn="ctr" rotWithShape="0">
              <a:prstClr val="black">
                <a:alpha val="20000"/>
              </a:prstClr>
            </a:outerShdw>
          </a:effectLst>
        </c:spPr>
      </c:pivotFmt>
      <c:pivotFmt>
        <c:idx val="2184"/>
        <c:spPr>
          <a:solidFill>
            <a:schemeClr val="accent6"/>
          </a:solidFill>
          <a:ln>
            <a:noFill/>
          </a:ln>
          <a:effectLst>
            <a:outerShdw blurRad="254000" sx="102000" sy="102000" algn="ctr" rotWithShape="0">
              <a:prstClr val="black">
                <a:alpha val="20000"/>
              </a:prstClr>
            </a:outerShdw>
          </a:effectLst>
        </c:spPr>
      </c:pivotFmt>
      <c:pivotFmt>
        <c:idx val="2185"/>
        <c:spPr>
          <a:solidFill>
            <a:schemeClr val="accent6"/>
          </a:solidFill>
          <a:ln>
            <a:noFill/>
          </a:ln>
          <a:effectLst>
            <a:outerShdw blurRad="254000" sx="102000" sy="102000" algn="ctr" rotWithShape="0">
              <a:prstClr val="black">
                <a:alpha val="20000"/>
              </a:prstClr>
            </a:outerShdw>
          </a:effectLst>
        </c:spPr>
      </c:pivotFmt>
      <c:pivotFmt>
        <c:idx val="2186"/>
        <c:spPr>
          <a:solidFill>
            <a:schemeClr val="accent6"/>
          </a:solidFill>
          <a:ln>
            <a:noFill/>
          </a:ln>
          <a:effectLst>
            <a:outerShdw blurRad="254000" sx="102000" sy="102000" algn="ctr" rotWithShape="0">
              <a:prstClr val="black">
                <a:alpha val="20000"/>
              </a:prstClr>
            </a:outerShdw>
          </a:effectLst>
        </c:spPr>
      </c:pivotFmt>
      <c:pivotFmt>
        <c:idx val="2187"/>
        <c:spPr>
          <a:solidFill>
            <a:schemeClr val="accent6"/>
          </a:solidFill>
          <a:ln>
            <a:noFill/>
          </a:ln>
          <a:effectLst>
            <a:outerShdw blurRad="254000" sx="102000" sy="102000" algn="ctr" rotWithShape="0">
              <a:prstClr val="black">
                <a:alpha val="20000"/>
              </a:prstClr>
            </a:outerShdw>
          </a:effectLst>
        </c:spPr>
      </c:pivotFmt>
      <c:pivotFmt>
        <c:idx val="2188"/>
        <c:spPr>
          <a:solidFill>
            <a:schemeClr val="accent6"/>
          </a:solidFill>
          <a:ln>
            <a:noFill/>
          </a:ln>
          <a:effectLst>
            <a:outerShdw blurRad="254000" sx="102000" sy="102000" algn="ctr" rotWithShape="0">
              <a:prstClr val="black">
                <a:alpha val="20000"/>
              </a:prstClr>
            </a:outerShdw>
          </a:effectLst>
        </c:spPr>
      </c:pivotFmt>
      <c:pivotFmt>
        <c:idx val="2189"/>
        <c:spPr>
          <a:solidFill>
            <a:schemeClr val="accent6"/>
          </a:solidFill>
          <a:ln>
            <a:noFill/>
          </a:ln>
          <a:effectLst>
            <a:outerShdw blurRad="254000" sx="102000" sy="102000" algn="ctr" rotWithShape="0">
              <a:prstClr val="black">
                <a:alpha val="20000"/>
              </a:prstClr>
            </a:outerShdw>
          </a:effectLst>
        </c:spPr>
      </c:pivotFmt>
      <c:pivotFmt>
        <c:idx val="2190"/>
        <c:spPr>
          <a:solidFill>
            <a:schemeClr val="accent6"/>
          </a:solidFill>
          <a:ln>
            <a:noFill/>
          </a:ln>
          <a:effectLst>
            <a:outerShdw blurRad="254000" sx="102000" sy="102000" algn="ctr" rotWithShape="0">
              <a:prstClr val="black">
                <a:alpha val="20000"/>
              </a:prstClr>
            </a:outerShdw>
          </a:effectLst>
        </c:spPr>
      </c:pivotFmt>
      <c:pivotFmt>
        <c:idx val="21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92"/>
        <c:spPr>
          <a:solidFill>
            <a:schemeClr val="accent6"/>
          </a:solidFill>
          <a:ln>
            <a:noFill/>
          </a:ln>
          <a:effectLst>
            <a:outerShdw blurRad="254000" sx="102000" sy="102000" algn="ctr" rotWithShape="0">
              <a:prstClr val="black">
                <a:alpha val="20000"/>
              </a:prstClr>
            </a:outerShdw>
          </a:effectLst>
        </c:spPr>
      </c:pivotFmt>
      <c:pivotFmt>
        <c:idx val="2193"/>
        <c:spPr>
          <a:solidFill>
            <a:schemeClr val="accent6"/>
          </a:solidFill>
          <a:ln>
            <a:noFill/>
          </a:ln>
          <a:effectLst>
            <a:outerShdw blurRad="254000" sx="102000" sy="102000" algn="ctr" rotWithShape="0">
              <a:prstClr val="black">
                <a:alpha val="20000"/>
              </a:prstClr>
            </a:outerShdw>
          </a:effectLst>
        </c:spPr>
      </c:pivotFmt>
      <c:pivotFmt>
        <c:idx val="2194"/>
        <c:spPr>
          <a:solidFill>
            <a:schemeClr val="accent6"/>
          </a:solidFill>
          <a:ln>
            <a:noFill/>
          </a:ln>
          <a:effectLst>
            <a:outerShdw blurRad="254000" sx="102000" sy="102000" algn="ctr" rotWithShape="0">
              <a:prstClr val="black">
                <a:alpha val="20000"/>
              </a:prstClr>
            </a:outerShdw>
          </a:effectLst>
        </c:spPr>
      </c:pivotFmt>
      <c:pivotFmt>
        <c:idx val="2195"/>
        <c:spPr>
          <a:solidFill>
            <a:schemeClr val="accent6"/>
          </a:solidFill>
          <a:ln>
            <a:noFill/>
          </a:ln>
          <a:effectLst>
            <a:outerShdw blurRad="254000" sx="102000" sy="102000" algn="ctr" rotWithShape="0">
              <a:prstClr val="black">
                <a:alpha val="20000"/>
              </a:prstClr>
            </a:outerShdw>
          </a:effectLst>
        </c:spPr>
      </c:pivotFmt>
      <c:pivotFmt>
        <c:idx val="2196"/>
        <c:spPr>
          <a:solidFill>
            <a:schemeClr val="accent6"/>
          </a:solidFill>
          <a:ln>
            <a:noFill/>
          </a:ln>
          <a:effectLst>
            <a:outerShdw blurRad="254000" sx="102000" sy="102000" algn="ctr" rotWithShape="0">
              <a:prstClr val="black">
                <a:alpha val="20000"/>
              </a:prstClr>
            </a:outerShdw>
          </a:effectLst>
        </c:spPr>
      </c:pivotFmt>
      <c:pivotFmt>
        <c:idx val="2197"/>
        <c:spPr>
          <a:solidFill>
            <a:schemeClr val="accent6"/>
          </a:solidFill>
          <a:ln>
            <a:noFill/>
          </a:ln>
          <a:effectLst>
            <a:outerShdw blurRad="254000" sx="102000" sy="102000" algn="ctr" rotWithShape="0">
              <a:prstClr val="black">
                <a:alpha val="20000"/>
              </a:prstClr>
            </a:outerShdw>
          </a:effectLst>
        </c:spPr>
      </c:pivotFmt>
      <c:pivotFmt>
        <c:idx val="2198"/>
        <c:spPr>
          <a:solidFill>
            <a:schemeClr val="accent6"/>
          </a:solidFill>
          <a:ln>
            <a:noFill/>
          </a:ln>
          <a:effectLst>
            <a:outerShdw blurRad="254000" sx="102000" sy="102000" algn="ctr" rotWithShape="0">
              <a:prstClr val="black">
                <a:alpha val="20000"/>
              </a:prstClr>
            </a:outerShdw>
          </a:effectLst>
        </c:spPr>
      </c:pivotFmt>
      <c:pivotFmt>
        <c:idx val="2199"/>
        <c:spPr>
          <a:solidFill>
            <a:schemeClr val="accent6"/>
          </a:solidFill>
          <a:ln>
            <a:noFill/>
          </a:ln>
          <a:effectLst>
            <a:outerShdw blurRad="254000" sx="102000" sy="102000" algn="ctr" rotWithShape="0">
              <a:prstClr val="black">
                <a:alpha val="20000"/>
              </a:prstClr>
            </a:outerShdw>
          </a:effectLst>
        </c:spPr>
      </c:pivotFmt>
      <c:pivotFmt>
        <c:idx val="2200"/>
        <c:spPr>
          <a:solidFill>
            <a:schemeClr val="accent6"/>
          </a:solidFill>
          <a:ln>
            <a:noFill/>
          </a:ln>
          <a:effectLst>
            <a:outerShdw blurRad="254000" sx="102000" sy="102000" algn="ctr" rotWithShape="0">
              <a:prstClr val="black">
                <a:alpha val="20000"/>
              </a:prstClr>
            </a:outerShdw>
          </a:effectLst>
        </c:spPr>
      </c:pivotFmt>
      <c:pivotFmt>
        <c:idx val="22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02"/>
        <c:spPr>
          <a:solidFill>
            <a:schemeClr val="accent6"/>
          </a:solidFill>
          <a:ln>
            <a:noFill/>
          </a:ln>
          <a:effectLst>
            <a:outerShdw blurRad="254000" sx="102000" sy="102000" algn="ctr" rotWithShape="0">
              <a:prstClr val="black">
                <a:alpha val="20000"/>
              </a:prstClr>
            </a:outerShdw>
          </a:effectLst>
        </c:spPr>
      </c:pivotFmt>
      <c:pivotFmt>
        <c:idx val="2203"/>
        <c:spPr>
          <a:solidFill>
            <a:schemeClr val="accent6"/>
          </a:solidFill>
          <a:ln>
            <a:noFill/>
          </a:ln>
          <a:effectLst>
            <a:outerShdw blurRad="254000" sx="102000" sy="102000" algn="ctr" rotWithShape="0">
              <a:prstClr val="black">
                <a:alpha val="20000"/>
              </a:prstClr>
            </a:outerShdw>
          </a:effectLst>
        </c:spPr>
      </c:pivotFmt>
      <c:pivotFmt>
        <c:idx val="2204"/>
        <c:spPr>
          <a:solidFill>
            <a:schemeClr val="accent6"/>
          </a:solidFill>
          <a:ln>
            <a:noFill/>
          </a:ln>
          <a:effectLst>
            <a:outerShdw blurRad="254000" sx="102000" sy="102000" algn="ctr" rotWithShape="0">
              <a:prstClr val="black">
                <a:alpha val="20000"/>
              </a:prstClr>
            </a:outerShdw>
          </a:effectLst>
        </c:spPr>
      </c:pivotFmt>
      <c:pivotFmt>
        <c:idx val="2205"/>
        <c:spPr>
          <a:solidFill>
            <a:schemeClr val="accent6"/>
          </a:solidFill>
          <a:ln>
            <a:noFill/>
          </a:ln>
          <a:effectLst>
            <a:outerShdw blurRad="254000" sx="102000" sy="102000" algn="ctr" rotWithShape="0">
              <a:prstClr val="black">
                <a:alpha val="20000"/>
              </a:prstClr>
            </a:outerShdw>
          </a:effectLst>
        </c:spPr>
      </c:pivotFmt>
      <c:pivotFmt>
        <c:idx val="2206"/>
        <c:spPr>
          <a:solidFill>
            <a:schemeClr val="accent6"/>
          </a:solidFill>
          <a:ln>
            <a:noFill/>
          </a:ln>
          <a:effectLst>
            <a:outerShdw blurRad="254000" sx="102000" sy="102000" algn="ctr" rotWithShape="0">
              <a:prstClr val="black">
                <a:alpha val="20000"/>
              </a:prstClr>
            </a:outerShdw>
          </a:effectLst>
        </c:spPr>
      </c:pivotFmt>
      <c:pivotFmt>
        <c:idx val="2207"/>
        <c:spPr>
          <a:solidFill>
            <a:schemeClr val="accent6"/>
          </a:solidFill>
          <a:ln>
            <a:noFill/>
          </a:ln>
          <a:effectLst>
            <a:outerShdw blurRad="254000" sx="102000" sy="102000" algn="ctr" rotWithShape="0">
              <a:prstClr val="black">
                <a:alpha val="20000"/>
              </a:prstClr>
            </a:outerShdw>
          </a:effectLst>
        </c:spPr>
      </c:pivotFmt>
      <c:pivotFmt>
        <c:idx val="2208"/>
        <c:spPr>
          <a:solidFill>
            <a:schemeClr val="accent6"/>
          </a:solidFill>
          <a:ln>
            <a:noFill/>
          </a:ln>
          <a:effectLst>
            <a:outerShdw blurRad="254000" sx="102000" sy="102000" algn="ctr" rotWithShape="0">
              <a:prstClr val="black">
                <a:alpha val="20000"/>
              </a:prstClr>
            </a:outerShdw>
          </a:effectLst>
        </c:spPr>
      </c:pivotFmt>
      <c:pivotFmt>
        <c:idx val="2209"/>
        <c:spPr>
          <a:solidFill>
            <a:schemeClr val="accent6"/>
          </a:solidFill>
          <a:ln>
            <a:noFill/>
          </a:ln>
          <a:effectLst>
            <a:outerShdw blurRad="254000" sx="102000" sy="102000" algn="ctr" rotWithShape="0">
              <a:prstClr val="black">
                <a:alpha val="20000"/>
              </a:prstClr>
            </a:outerShdw>
          </a:effectLst>
        </c:spPr>
      </c:pivotFmt>
      <c:pivotFmt>
        <c:idx val="2210"/>
        <c:spPr>
          <a:solidFill>
            <a:schemeClr val="accent6"/>
          </a:solidFill>
          <a:ln>
            <a:noFill/>
          </a:ln>
          <a:effectLst>
            <a:outerShdw blurRad="254000" sx="102000" sy="102000" algn="ctr" rotWithShape="0">
              <a:prstClr val="black">
                <a:alpha val="20000"/>
              </a:prstClr>
            </a:outerShdw>
          </a:effectLst>
        </c:spPr>
      </c:pivotFmt>
      <c:pivotFmt>
        <c:idx val="22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12"/>
        <c:spPr>
          <a:solidFill>
            <a:schemeClr val="accent6"/>
          </a:solidFill>
          <a:ln>
            <a:noFill/>
          </a:ln>
          <a:effectLst>
            <a:outerShdw blurRad="254000" sx="102000" sy="102000" algn="ctr" rotWithShape="0">
              <a:prstClr val="black">
                <a:alpha val="20000"/>
              </a:prstClr>
            </a:outerShdw>
          </a:effectLst>
        </c:spPr>
      </c:pivotFmt>
      <c:pivotFmt>
        <c:idx val="2213"/>
        <c:spPr>
          <a:solidFill>
            <a:schemeClr val="accent6"/>
          </a:solidFill>
          <a:ln>
            <a:noFill/>
          </a:ln>
          <a:effectLst>
            <a:outerShdw blurRad="254000" sx="102000" sy="102000" algn="ctr" rotWithShape="0">
              <a:prstClr val="black">
                <a:alpha val="20000"/>
              </a:prstClr>
            </a:outerShdw>
          </a:effectLst>
        </c:spPr>
      </c:pivotFmt>
      <c:pivotFmt>
        <c:idx val="2214"/>
        <c:spPr>
          <a:solidFill>
            <a:schemeClr val="accent6"/>
          </a:solidFill>
          <a:ln>
            <a:noFill/>
          </a:ln>
          <a:effectLst>
            <a:outerShdw blurRad="254000" sx="102000" sy="102000" algn="ctr" rotWithShape="0">
              <a:prstClr val="black">
                <a:alpha val="20000"/>
              </a:prstClr>
            </a:outerShdw>
          </a:effectLst>
        </c:spPr>
      </c:pivotFmt>
      <c:pivotFmt>
        <c:idx val="2215"/>
        <c:spPr>
          <a:solidFill>
            <a:schemeClr val="accent6"/>
          </a:solidFill>
          <a:ln>
            <a:noFill/>
          </a:ln>
          <a:effectLst>
            <a:outerShdw blurRad="254000" sx="102000" sy="102000" algn="ctr" rotWithShape="0">
              <a:prstClr val="black">
                <a:alpha val="20000"/>
              </a:prstClr>
            </a:outerShdw>
          </a:effectLst>
        </c:spPr>
      </c:pivotFmt>
      <c:pivotFmt>
        <c:idx val="2216"/>
        <c:spPr>
          <a:solidFill>
            <a:schemeClr val="accent6"/>
          </a:solidFill>
          <a:ln>
            <a:noFill/>
          </a:ln>
          <a:effectLst>
            <a:outerShdw blurRad="254000" sx="102000" sy="102000" algn="ctr" rotWithShape="0">
              <a:prstClr val="black">
                <a:alpha val="20000"/>
              </a:prstClr>
            </a:outerShdw>
          </a:effectLst>
        </c:spPr>
      </c:pivotFmt>
      <c:pivotFmt>
        <c:idx val="2217"/>
        <c:spPr>
          <a:solidFill>
            <a:schemeClr val="accent6"/>
          </a:solidFill>
          <a:ln>
            <a:noFill/>
          </a:ln>
          <a:effectLst>
            <a:outerShdw blurRad="254000" sx="102000" sy="102000" algn="ctr" rotWithShape="0">
              <a:prstClr val="black">
                <a:alpha val="20000"/>
              </a:prstClr>
            </a:outerShdw>
          </a:effectLst>
        </c:spPr>
      </c:pivotFmt>
      <c:pivotFmt>
        <c:idx val="2218"/>
        <c:spPr>
          <a:solidFill>
            <a:schemeClr val="accent6"/>
          </a:solidFill>
          <a:ln>
            <a:noFill/>
          </a:ln>
          <a:effectLst>
            <a:outerShdw blurRad="254000" sx="102000" sy="102000" algn="ctr" rotWithShape="0">
              <a:prstClr val="black">
                <a:alpha val="20000"/>
              </a:prstClr>
            </a:outerShdw>
          </a:effectLst>
        </c:spPr>
      </c:pivotFmt>
      <c:pivotFmt>
        <c:idx val="2219"/>
        <c:spPr>
          <a:solidFill>
            <a:schemeClr val="accent6"/>
          </a:solidFill>
          <a:ln>
            <a:noFill/>
          </a:ln>
          <a:effectLst>
            <a:outerShdw blurRad="254000" sx="102000" sy="102000" algn="ctr" rotWithShape="0">
              <a:prstClr val="black">
                <a:alpha val="20000"/>
              </a:prstClr>
            </a:outerShdw>
          </a:effectLst>
        </c:spPr>
      </c:pivotFmt>
      <c:pivotFmt>
        <c:idx val="2220"/>
        <c:spPr>
          <a:solidFill>
            <a:schemeClr val="accent6"/>
          </a:solidFill>
          <a:ln>
            <a:noFill/>
          </a:ln>
          <a:effectLst>
            <a:outerShdw blurRad="254000" sx="102000" sy="102000" algn="ctr" rotWithShape="0">
              <a:prstClr val="black">
                <a:alpha val="20000"/>
              </a:prstClr>
            </a:outerShdw>
          </a:effectLst>
        </c:spPr>
      </c:pivotFmt>
      <c:pivotFmt>
        <c:idx val="22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22"/>
        <c:spPr>
          <a:solidFill>
            <a:schemeClr val="accent6"/>
          </a:solidFill>
          <a:ln>
            <a:noFill/>
          </a:ln>
          <a:effectLst>
            <a:outerShdw blurRad="254000" sx="102000" sy="102000" algn="ctr" rotWithShape="0">
              <a:prstClr val="black">
                <a:alpha val="20000"/>
              </a:prstClr>
            </a:outerShdw>
          </a:effectLst>
        </c:spPr>
      </c:pivotFmt>
      <c:pivotFmt>
        <c:idx val="2223"/>
        <c:spPr>
          <a:solidFill>
            <a:schemeClr val="accent6"/>
          </a:solidFill>
          <a:ln>
            <a:noFill/>
          </a:ln>
          <a:effectLst>
            <a:outerShdw blurRad="254000" sx="102000" sy="102000" algn="ctr" rotWithShape="0">
              <a:prstClr val="black">
                <a:alpha val="20000"/>
              </a:prstClr>
            </a:outerShdw>
          </a:effectLst>
        </c:spPr>
      </c:pivotFmt>
      <c:pivotFmt>
        <c:idx val="2224"/>
        <c:spPr>
          <a:solidFill>
            <a:schemeClr val="accent6"/>
          </a:solidFill>
          <a:ln>
            <a:noFill/>
          </a:ln>
          <a:effectLst>
            <a:outerShdw blurRad="254000" sx="102000" sy="102000" algn="ctr" rotWithShape="0">
              <a:prstClr val="black">
                <a:alpha val="20000"/>
              </a:prstClr>
            </a:outerShdw>
          </a:effectLst>
        </c:spPr>
      </c:pivotFmt>
      <c:pivotFmt>
        <c:idx val="2225"/>
        <c:spPr>
          <a:solidFill>
            <a:schemeClr val="accent6"/>
          </a:solidFill>
          <a:ln>
            <a:noFill/>
          </a:ln>
          <a:effectLst>
            <a:outerShdw blurRad="254000" sx="102000" sy="102000" algn="ctr" rotWithShape="0">
              <a:prstClr val="black">
                <a:alpha val="20000"/>
              </a:prstClr>
            </a:outerShdw>
          </a:effectLst>
        </c:spPr>
      </c:pivotFmt>
      <c:pivotFmt>
        <c:idx val="2226"/>
        <c:spPr>
          <a:solidFill>
            <a:schemeClr val="accent6"/>
          </a:solidFill>
          <a:ln>
            <a:noFill/>
          </a:ln>
          <a:effectLst>
            <a:outerShdw blurRad="254000" sx="102000" sy="102000" algn="ctr" rotWithShape="0">
              <a:prstClr val="black">
                <a:alpha val="20000"/>
              </a:prstClr>
            </a:outerShdw>
          </a:effectLst>
        </c:spPr>
      </c:pivotFmt>
      <c:pivotFmt>
        <c:idx val="2227"/>
        <c:spPr>
          <a:solidFill>
            <a:schemeClr val="accent6"/>
          </a:solidFill>
          <a:ln>
            <a:noFill/>
          </a:ln>
          <a:effectLst>
            <a:outerShdw blurRad="254000" sx="102000" sy="102000" algn="ctr" rotWithShape="0">
              <a:prstClr val="black">
                <a:alpha val="20000"/>
              </a:prstClr>
            </a:outerShdw>
          </a:effectLst>
        </c:spPr>
      </c:pivotFmt>
      <c:pivotFmt>
        <c:idx val="2228"/>
        <c:spPr>
          <a:solidFill>
            <a:schemeClr val="accent6"/>
          </a:solidFill>
          <a:ln>
            <a:noFill/>
          </a:ln>
          <a:effectLst>
            <a:outerShdw blurRad="254000" sx="102000" sy="102000" algn="ctr" rotWithShape="0">
              <a:prstClr val="black">
                <a:alpha val="20000"/>
              </a:prstClr>
            </a:outerShdw>
          </a:effectLst>
        </c:spPr>
      </c:pivotFmt>
      <c:pivotFmt>
        <c:idx val="2229"/>
        <c:spPr>
          <a:solidFill>
            <a:schemeClr val="accent6"/>
          </a:solidFill>
          <a:ln>
            <a:noFill/>
          </a:ln>
          <a:effectLst>
            <a:outerShdw blurRad="254000" sx="102000" sy="102000" algn="ctr" rotWithShape="0">
              <a:prstClr val="black">
                <a:alpha val="20000"/>
              </a:prstClr>
            </a:outerShdw>
          </a:effectLst>
        </c:spPr>
      </c:pivotFmt>
      <c:pivotFmt>
        <c:idx val="2230"/>
        <c:spPr>
          <a:solidFill>
            <a:schemeClr val="accent6"/>
          </a:solidFill>
          <a:ln>
            <a:noFill/>
          </a:ln>
          <a:effectLst>
            <a:outerShdw blurRad="254000" sx="102000" sy="102000" algn="ctr" rotWithShape="0">
              <a:prstClr val="black">
                <a:alpha val="20000"/>
              </a:prstClr>
            </a:outerShdw>
          </a:effectLst>
        </c:spPr>
      </c:pivotFmt>
      <c:pivotFmt>
        <c:idx val="22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32"/>
        <c:spPr>
          <a:solidFill>
            <a:schemeClr val="accent6"/>
          </a:solidFill>
          <a:ln>
            <a:noFill/>
          </a:ln>
          <a:effectLst>
            <a:outerShdw blurRad="254000" sx="102000" sy="102000" algn="ctr" rotWithShape="0">
              <a:prstClr val="black">
                <a:alpha val="20000"/>
              </a:prstClr>
            </a:outerShdw>
          </a:effectLst>
        </c:spPr>
      </c:pivotFmt>
      <c:pivotFmt>
        <c:idx val="2233"/>
        <c:spPr>
          <a:solidFill>
            <a:schemeClr val="accent6"/>
          </a:solidFill>
          <a:ln>
            <a:noFill/>
          </a:ln>
          <a:effectLst>
            <a:outerShdw blurRad="254000" sx="102000" sy="102000" algn="ctr" rotWithShape="0">
              <a:prstClr val="black">
                <a:alpha val="20000"/>
              </a:prstClr>
            </a:outerShdw>
          </a:effectLst>
        </c:spPr>
      </c:pivotFmt>
      <c:pivotFmt>
        <c:idx val="2234"/>
        <c:spPr>
          <a:solidFill>
            <a:schemeClr val="accent6"/>
          </a:solidFill>
          <a:ln>
            <a:noFill/>
          </a:ln>
          <a:effectLst>
            <a:outerShdw blurRad="254000" sx="102000" sy="102000" algn="ctr" rotWithShape="0">
              <a:prstClr val="black">
                <a:alpha val="20000"/>
              </a:prstClr>
            </a:outerShdw>
          </a:effectLst>
        </c:spPr>
      </c:pivotFmt>
      <c:pivotFmt>
        <c:idx val="2235"/>
        <c:spPr>
          <a:solidFill>
            <a:schemeClr val="accent6"/>
          </a:solidFill>
          <a:ln>
            <a:noFill/>
          </a:ln>
          <a:effectLst>
            <a:outerShdw blurRad="254000" sx="102000" sy="102000" algn="ctr" rotWithShape="0">
              <a:prstClr val="black">
                <a:alpha val="20000"/>
              </a:prstClr>
            </a:outerShdw>
          </a:effectLst>
        </c:spPr>
      </c:pivotFmt>
      <c:pivotFmt>
        <c:idx val="2236"/>
        <c:spPr>
          <a:solidFill>
            <a:schemeClr val="accent6"/>
          </a:solidFill>
          <a:ln>
            <a:noFill/>
          </a:ln>
          <a:effectLst>
            <a:outerShdw blurRad="254000" sx="102000" sy="102000" algn="ctr" rotWithShape="0">
              <a:prstClr val="black">
                <a:alpha val="20000"/>
              </a:prstClr>
            </a:outerShdw>
          </a:effectLst>
        </c:spPr>
      </c:pivotFmt>
      <c:pivotFmt>
        <c:idx val="2237"/>
        <c:spPr>
          <a:solidFill>
            <a:schemeClr val="accent6"/>
          </a:solidFill>
          <a:ln>
            <a:noFill/>
          </a:ln>
          <a:effectLst>
            <a:outerShdw blurRad="254000" sx="102000" sy="102000" algn="ctr" rotWithShape="0">
              <a:prstClr val="black">
                <a:alpha val="20000"/>
              </a:prstClr>
            </a:outerShdw>
          </a:effectLst>
        </c:spPr>
      </c:pivotFmt>
      <c:pivotFmt>
        <c:idx val="2238"/>
        <c:spPr>
          <a:solidFill>
            <a:schemeClr val="accent6"/>
          </a:solidFill>
          <a:ln>
            <a:noFill/>
          </a:ln>
          <a:effectLst>
            <a:outerShdw blurRad="254000" sx="102000" sy="102000" algn="ctr" rotWithShape="0">
              <a:prstClr val="black">
                <a:alpha val="20000"/>
              </a:prstClr>
            </a:outerShdw>
          </a:effectLst>
        </c:spPr>
      </c:pivotFmt>
      <c:pivotFmt>
        <c:idx val="2239"/>
        <c:spPr>
          <a:solidFill>
            <a:schemeClr val="accent6"/>
          </a:solidFill>
          <a:ln>
            <a:noFill/>
          </a:ln>
          <a:effectLst>
            <a:outerShdw blurRad="254000" sx="102000" sy="102000" algn="ctr" rotWithShape="0">
              <a:prstClr val="black">
                <a:alpha val="20000"/>
              </a:prstClr>
            </a:outerShdw>
          </a:effectLst>
        </c:spPr>
      </c:pivotFmt>
      <c:pivotFmt>
        <c:idx val="2240"/>
        <c:spPr>
          <a:solidFill>
            <a:schemeClr val="accent6"/>
          </a:solidFill>
          <a:ln>
            <a:noFill/>
          </a:ln>
          <a:effectLst>
            <a:outerShdw blurRad="254000" sx="102000" sy="102000" algn="ctr" rotWithShape="0">
              <a:prstClr val="black">
                <a:alpha val="20000"/>
              </a:prstClr>
            </a:outerShdw>
          </a:effectLst>
        </c:spPr>
      </c:pivotFmt>
      <c:pivotFmt>
        <c:idx val="224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42"/>
        <c:spPr>
          <a:solidFill>
            <a:schemeClr val="accent6"/>
          </a:solidFill>
          <a:ln>
            <a:noFill/>
          </a:ln>
          <a:effectLst>
            <a:outerShdw blurRad="254000" sx="102000" sy="102000" algn="ctr" rotWithShape="0">
              <a:prstClr val="black">
                <a:alpha val="20000"/>
              </a:prstClr>
            </a:outerShdw>
          </a:effectLst>
        </c:spPr>
      </c:pivotFmt>
      <c:pivotFmt>
        <c:idx val="2243"/>
        <c:spPr>
          <a:solidFill>
            <a:schemeClr val="accent6"/>
          </a:solidFill>
          <a:ln>
            <a:noFill/>
          </a:ln>
          <a:effectLst>
            <a:outerShdw blurRad="254000" sx="102000" sy="102000" algn="ctr" rotWithShape="0">
              <a:prstClr val="black">
                <a:alpha val="20000"/>
              </a:prstClr>
            </a:outerShdw>
          </a:effectLst>
        </c:spPr>
      </c:pivotFmt>
      <c:pivotFmt>
        <c:idx val="2244"/>
        <c:spPr>
          <a:solidFill>
            <a:schemeClr val="accent6"/>
          </a:solidFill>
          <a:ln>
            <a:noFill/>
          </a:ln>
          <a:effectLst>
            <a:outerShdw blurRad="254000" sx="102000" sy="102000" algn="ctr" rotWithShape="0">
              <a:prstClr val="black">
                <a:alpha val="20000"/>
              </a:prstClr>
            </a:outerShdw>
          </a:effectLst>
        </c:spPr>
      </c:pivotFmt>
      <c:pivotFmt>
        <c:idx val="2245"/>
        <c:spPr>
          <a:solidFill>
            <a:schemeClr val="accent6"/>
          </a:solidFill>
          <a:ln>
            <a:noFill/>
          </a:ln>
          <a:effectLst>
            <a:outerShdw blurRad="254000" sx="102000" sy="102000" algn="ctr" rotWithShape="0">
              <a:prstClr val="black">
                <a:alpha val="20000"/>
              </a:prstClr>
            </a:outerShdw>
          </a:effectLst>
        </c:spPr>
      </c:pivotFmt>
      <c:pivotFmt>
        <c:idx val="2246"/>
        <c:spPr>
          <a:solidFill>
            <a:schemeClr val="accent6"/>
          </a:solidFill>
          <a:ln>
            <a:noFill/>
          </a:ln>
          <a:effectLst>
            <a:outerShdw blurRad="254000" sx="102000" sy="102000" algn="ctr" rotWithShape="0">
              <a:prstClr val="black">
                <a:alpha val="20000"/>
              </a:prstClr>
            </a:outerShdw>
          </a:effectLst>
        </c:spPr>
      </c:pivotFmt>
      <c:pivotFmt>
        <c:idx val="2247"/>
        <c:spPr>
          <a:solidFill>
            <a:schemeClr val="accent6"/>
          </a:solidFill>
          <a:ln>
            <a:noFill/>
          </a:ln>
          <a:effectLst>
            <a:outerShdw blurRad="254000" sx="102000" sy="102000" algn="ctr" rotWithShape="0">
              <a:prstClr val="black">
                <a:alpha val="20000"/>
              </a:prstClr>
            </a:outerShdw>
          </a:effectLst>
        </c:spPr>
      </c:pivotFmt>
      <c:pivotFmt>
        <c:idx val="2248"/>
        <c:spPr>
          <a:solidFill>
            <a:schemeClr val="accent6"/>
          </a:solidFill>
          <a:ln>
            <a:noFill/>
          </a:ln>
          <a:effectLst>
            <a:outerShdw blurRad="254000" sx="102000" sy="102000" algn="ctr" rotWithShape="0">
              <a:prstClr val="black">
                <a:alpha val="20000"/>
              </a:prstClr>
            </a:outerShdw>
          </a:effectLst>
        </c:spPr>
      </c:pivotFmt>
      <c:pivotFmt>
        <c:idx val="2249"/>
        <c:spPr>
          <a:solidFill>
            <a:schemeClr val="accent6"/>
          </a:solidFill>
          <a:ln>
            <a:noFill/>
          </a:ln>
          <a:effectLst>
            <a:outerShdw blurRad="254000" sx="102000" sy="102000" algn="ctr" rotWithShape="0">
              <a:prstClr val="black">
                <a:alpha val="20000"/>
              </a:prstClr>
            </a:outerShdw>
          </a:effectLst>
        </c:spPr>
      </c:pivotFmt>
      <c:pivotFmt>
        <c:idx val="2250"/>
        <c:spPr>
          <a:solidFill>
            <a:schemeClr val="accent6"/>
          </a:solidFill>
          <a:ln>
            <a:noFill/>
          </a:ln>
          <a:effectLst>
            <a:outerShdw blurRad="254000" sx="102000" sy="102000" algn="ctr" rotWithShape="0">
              <a:prstClr val="black">
                <a:alpha val="20000"/>
              </a:prstClr>
            </a:outerShdw>
          </a:effectLst>
        </c:spPr>
      </c:pivotFmt>
      <c:pivotFmt>
        <c:idx val="22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52"/>
        <c:spPr>
          <a:solidFill>
            <a:schemeClr val="accent6"/>
          </a:solidFill>
          <a:ln>
            <a:noFill/>
          </a:ln>
          <a:effectLst>
            <a:outerShdw blurRad="254000" sx="102000" sy="102000" algn="ctr" rotWithShape="0">
              <a:prstClr val="black">
                <a:alpha val="20000"/>
              </a:prstClr>
            </a:outerShdw>
          </a:effectLst>
        </c:spPr>
      </c:pivotFmt>
      <c:pivotFmt>
        <c:idx val="2253"/>
        <c:spPr>
          <a:solidFill>
            <a:schemeClr val="accent6"/>
          </a:solidFill>
          <a:ln>
            <a:noFill/>
          </a:ln>
          <a:effectLst>
            <a:outerShdw blurRad="254000" sx="102000" sy="102000" algn="ctr" rotWithShape="0">
              <a:prstClr val="black">
                <a:alpha val="20000"/>
              </a:prstClr>
            </a:outerShdw>
          </a:effectLst>
        </c:spPr>
      </c:pivotFmt>
      <c:pivotFmt>
        <c:idx val="2254"/>
        <c:spPr>
          <a:solidFill>
            <a:schemeClr val="accent6"/>
          </a:solidFill>
          <a:ln>
            <a:noFill/>
          </a:ln>
          <a:effectLst>
            <a:outerShdw blurRad="254000" sx="102000" sy="102000" algn="ctr" rotWithShape="0">
              <a:prstClr val="black">
                <a:alpha val="20000"/>
              </a:prstClr>
            </a:outerShdw>
          </a:effectLst>
        </c:spPr>
      </c:pivotFmt>
      <c:pivotFmt>
        <c:idx val="2255"/>
        <c:spPr>
          <a:solidFill>
            <a:schemeClr val="accent6"/>
          </a:solidFill>
          <a:ln>
            <a:noFill/>
          </a:ln>
          <a:effectLst>
            <a:outerShdw blurRad="254000" sx="102000" sy="102000" algn="ctr" rotWithShape="0">
              <a:prstClr val="black">
                <a:alpha val="20000"/>
              </a:prstClr>
            </a:outerShdw>
          </a:effectLst>
        </c:spPr>
      </c:pivotFmt>
      <c:pivotFmt>
        <c:idx val="2256"/>
        <c:spPr>
          <a:solidFill>
            <a:schemeClr val="accent6"/>
          </a:solidFill>
          <a:ln>
            <a:noFill/>
          </a:ln>
          <a:effectLst>
            <a:outerShdw blurRad="254000" sx="102000" sy="102000" algn="ctr" rotWithShape="0">
              <a:prstClr val="black">
                <a:alpha val="20000"/>
              </a:prstClr>
            </a:outerShdw>
          </a:effectLst>
        </c:spPr>
      </c:pivotFmt>
      <c:pivotFmt>
        <c:idx val="2257"/>
        <c:spPr>
          <a:solidFill>
            <a:schemeClr val="accent6"/>
          </a:solidFill>
          <a:ln>
            <a:noFill/>
          </a:ln>
          <a:effectLst>
            <a:outerShdw blurRad="254000" sx="102000" sy="102000" algn="ctr" rotWithShape="0">
              <a:prstClr val="black">
                <a:alpha val="20000"/>
              </a:prstClr>
            </a:outerShdw>
          </a:effectLst>
        </c:spPr>
      </c:pivotFmt>
      <c:pivotFmt>
        <c:idx val="2258"/>
        <c:spPr>
          <a:solidFill>
            <a:schemeClr val="accent6"/>
          </a:solidFill>
          <a:ln>
            <a:noFill/>
          </a:ln>
          <a:effectLst>
            <a:outerShdw blurRad="254000" sx="102000" sy="102000" algn="ctr" rotWithShape="0">
              <a:prstClr val="black">
                <a:alpha val="20000"/>
              </a:prstClr>
            </a:outerShdw>
          </a:effectLst>
        </c:spPr>
      </c:pivotFmt>
      <c:pivotFmt>
        <c:idx val="2259"/>
        <c:spPr>
          <a:solidFill>
            <a:schemeClr val="accent6"/>
          </a:solidFill>
          <a:ln>
            <a:noFill/>
          </a:ln>
          <a:effectLst>
            <a:outerShdw blurRad="254000" sx="102000" sy="102000" algn="ctr" rotWithShape="0">
              <a:prstClr val="black">
                <a:alpha val="20000"/>
              </a:prstClr>
            </a:outerShdw>
          </a:effectLst>
        </c:spPr>
      </c:pivotFmt>
      <c:pivotFmt>
        <c:idx val="2260"/>
        <c:spPr>
          <a:solidFill>
            <a:schemeClr val="accent6"/>
          </a:solidFill>
          <a:ln>
            <a:noFill/>
          </a:ln>
          <a:effectLst>
            <a:outerShdw blurRad="254000" sx="102000" sy="102000" algn="ctr" rotWithShape="0">
              <a:prstClr val="black">
                <a:alpha val="20000"/>
              </a:prstClr>
            </a:outerShdw>
          </a:effectLst>
        </c:spPr>
      </c:pivotFmt>
      <c:pivotFmt>
        <c:idx val="22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62"/>
        <c:spPr>
          <a:solidFill>
            <a:schemeClr val="accent6"/>
          </a:solidFill>
          <a:ln>
            <a:noFill/>
          </a:ln>
          <a:effectLst>
            <a:outerShdw blurRad="254000" sx="102000" sy="102000" algn="ctr" rotWithShape="0">
              <a:prstClr val="black">
                <a:alpha val="20000"/>
              </a:prstClr>
            </a:outerShdw>
          </a:effectLst>
        </c:spPr>
      </c:pivotFmt>
      <c:pivotFmt>
        <c:idx val="2263"/>
        <c:spPr>
          <a:solidFill>
            <a:schemeClr val="accent6"/>
          </a:solidFill>
          <a:ln>
            <a:noFill/>
          </a:ln>
          <a:effectLst>
            <a:outerShdw blurRad="254000" sx="102000" sy="102000" algn="ctr" rotWithShape="0">
              <a:prstClr val="black">
                <a:alpha val="20000"/>
              </a:prstClr>
            </a:outerShdw>
          </a:effectLst>
        </c:spPr>
      </c:pivotFmt>
      <c:pivotFmt>
        <c:idx val="2264"/>
        <c:spPr>
          <a:solidFill>
            <a:schemeClr val="accent6"/>
          </a:solidFill>
          <a:ln>
            <a:noFill/>
          </a:ln>
          <a:effectLst>
            <a:outerShdw blurRad="254000" sx="102000" sy="102000" algn="ctr" rotWithShape="0">
              <a:prstClr val="black">
                <a:alpha val="20000"/>
              </a:prstClr>
            </a:outerShdw>
          </a:effectLst>
        </c:spPr>
      </c:pivotFmt>
      <c:pivotFmt>
        <c:idx val="2265"/>
        <c:spPr>
          <a:solidFill>
            <a:schemeClr val="accent6"/>
          </a:solidFill>
          <a:ln>
            <a:noFill/>
          </a:ln>
          <a:effectLst>
            <a:outerShdw blurRad="254000" sx="102000" sy="102000" algn="ctr" rotWithShape="0">
              <a:prstClr val="black">
                <a:alpha val="20000"/>
              </a:prstClr>
            </a:outerShdw>
          </a:effectLst>
        </c:spPr>
      </c:pivotFmt>
      <c:pivotFmt>
        <c:idx val="2266"/>
        <c:spPr>
          <a:solidFill>
            <a:schemeClr val="accent6"/>
          </a:solidFill>
          <a:ln>
            <a:noFill/>
          </a:ln>
          <a:effectLst>
            <a:outerShdw blurRad="254000" sx="102000" sy="102000" algn="ctr" rotWithShape="0">
              <a:prstClr val="black">
                <a:alpha val="20000"/>
              </a:prstClr>
            </a:outerShdw>
          </a:effectLst>
        </c:spPr>
      </c:pivotFmt>
      <c:pivotFmt>
        <c:idx val="2267"/>
        <c:spPr>
          <a:solidFill>
            <a:schemeClr val="accent6"/>
          </a:solidFill>
          <a:ln>
            <a:noFill/>
          </a:ln>
          <a:effectLst>
            <a:outerShdw blurRad="254000" sx="102000" sy="102000" algn="ctr" rotWithShape="0">
              <a:prstClr val="black">
                <a:alpha val="20000"/>
              </a:prstClr>
            </a:outerShdw>
          </a:effectLst>
        </c:spPr>
      </c:pivotFmt>
      <c:pivotFmt>
        <c:idx val="2268"/>
        <c:spPr>
          <a:solidFill>
            <a:schemeClr val="accent6"/>
          </a:solidFill>
          <a:ln>
            <a:noFill/>
          </a:ln>
          <a:effectLst>
            <a:outerShdw blurRad="254000" sx="102000" sy="102000" algn="ctr" rotWithShape="0">
              <a:prstClr val="black">
                <a:alpha val="20000"/>
              </a:prstClr>
            </a:outerShdw>
          </a:effectLst>
        </c:spPr>
      </c:pivotFmt>
      <c:pivotFmt>
        <c:idx val="2269"/>
        <c:spPr>
          <a:solidFill>
            <a:schemeClr val="accent6"/>
          </a:solidFill>
          <a:ln>
            <a:noFill/>
          </a:ln>
          <a:effectLst>
            <a:outerShdw blurRad="254000" sx="102000" sy="102000" algn="ctr" rotWithShape="0">
              <a:prstClr val="black">
                <a:alpha val="20000"/>
              </a:prstClr>
            </a:outerShdw>
          </a:effectLst>
        </c:spPr>
      </c:pivotFmt>
      <c:pivotFmt>
        <c:idx val="2270"/>
        <c:spPr>
          <a:solidFill>
            <a:schemeClr val="accent6"/>
          </a:solidFill>
          <a:ln>
            <a:noFill/>
          </a:ln>
          <a:effectLst>
            <a:outerShdw blurRad="254000" sx="102000" sy="102000" algn="ctr" rotWithShape="0">
              <a:prstClr val="black">
                <a:alpha val="20000"/>
              </a:prstClr>
            </a:outerShdw>
          </a:effectLst>
        </c:spPr>
      </c:pivotFmt>
      <c:pivotFmt>
        <c:idx val="22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72"/>
        <c:spPr>
          <a:solidFill>
            <a:schemeClr val="accent6"/>
          </a:solidFill>
          <a:ln>
            <a:noFill/>
          </a:ln>
          <a:effectLst>
            <a:outerShdw blurRad="254000" sx="102000" sy="102000" algn="ctr" rotWithShape="0">
              <a:prstClr val="black">
                <a:alpha val="20000"/>
              </a:prstClr>
            </a:outerShdw>
          </a:effectLst>
        </c:spPr>
      </c:pivotFmt>
      <c:pivotFmt>
        <c:idx val="2273"/>
        <c:spPr>
          <a:solidFill>
            <a:schemeClr val="accent6"/>
          </a:solidFill>
          <a:ln>
            <a:noFill/>
          </a:ln>
          <a:effectLst>
            <a:outerShdw blurRad="254000" sx="102000" sy="102000" algn="ctr" rotWithShape="0">
              <a:prstClr val="black">
                <a:alpha val="20000"/>
              </a:prstClr>
            </a:outerShdw>
          </a:effectLst>
        </c:spPr>
      </c:pivotFmt>
      <c:pivotFmt>
        <c:idx val="2274"/>
        <c:spPr>
          <a:solidFill>
            <a:schemeClr val="accent6"/>
          </a:solidFill>
          <a:ln>
            <a:noFill/>
          </a:ln>
          <a:effectLst>
            <a:outerShdw blurRad="254000" sx="102000" sy="102000" algn="ctr" rotWithShape="0">
              <a:prstClr val="black">
                <a:alpha val="20000"/>
              </a:prstClr>
            </a:outerShdw>
          </a:effectLst>
        </c:spPr>
      </c:pivotFmt>
      <c:pivotFmt>
        <c:idx val="2275"/>
        <c:spPr>
          <a:solidFill>
            <a:schemeClr val="accent6"/>
          </a:solidFill>
          <a:ln>
            <a:noFill/>
          </a:ln>
          <a:effectLst>
            <a:outerShdw blurRad="254000" sx="102000" sy="102000" algn="ctr" rotWithShape="0">
              <a:prstClr val="black">
                <a:alpha val="20000"/>
              </a:prstClr>
            </a:outerShdw>
          </a:effectLst>
        </c:spPr>
      </c:pivotFmt>
      <c:pivotFmt>
        <c:idx val="2276"/>
        <c:spPr>
          <a:solidFill>
            <a:schemeClr val="accent6"/>
          </a:solidFill>
          <a:ln>
            <a:noFill/>
          </a:ln>
          <a:effectLst>
            <a:outerShdw blurRad="254000" sx="102000" sy="102000" algn="ctr" rotWithShape="0">
              <a:prstClr val="black">
                <a:alpha val="20000"/>
              </a:prstClr>
            </a:outerShdw>
          </a:effectLst>
        </c:spPr>
      </c:pivotFmt>
      <c:pivotFmt>
        <c:idx val="2277"/>
        <c:spPr>
          <a:solidFill>
            <a:schemeClr val="accent6"/>
          </a:solidFill>
          <a:ln>
            <a:noFill/>
          </a:ln>
          <a:effectLst>
            <a:outerShdw blurRad="254000" sx="102000" sy="102000" algn="ctr" rotWithShape="0">
              <a:prstClr val="black">
                <a:alpha val="20000"/>
              </a:prstClr>
            </a:outerShdw>
          </a:effectLst>
        </c:spPr>
      </c:pivotFmt>
      <c:pivotFmt>
        <c:idx val="2278"/>
        <c:spPr>
          <a:solidFill>
            <a:schemeClr val="accent6"/>
          </a:solidFill>
          <a:ln>
            <a:noFill/>
          </a:ln>
          <a:effectLst>
            <a:outerShdw blurRad="254000" sx="102000" sy="102000" algn="ctr" rotWithShape="0">
              <a:prstClr val="black">
                <a:alpha val="20000"/>
              </a:prstClr>
            </a:outerShdw>
          </a:effectLst>
        </c:spPr>
      </c:pivotFmt>
      <c:pivotFmt>
        <c:idx val="2279"/>
        <c:spPr>
          <a:solidFill>
            <a:schemeClr val="accent6"/>
          </a:solidFill>
          <a:ln>
            <a:noFill/>
          </a:ln>
          <a:effectLst>
            <a:outerShdw blurRad="254000" sx="102000" sy="102000" algn="ctr" rotWithShape="0">
              <a:prstClr val="black">
                <a:alpha val="20000"/>
              </a:prstClr>
            </a:outerShdw>
          </a:effectLst>
        </c:spPr>
      </c:pivotFmt>
      <c:pivotFmt>
        <c:idx val="2280"/>
        <c:spPr>
          <a:solidFill>
            <a:schemeClr val="accent6"/>
          </a:solidFill>
          <a:ln>
            <a:noFill/>
          </a:ln>
          <a:effectLst>
            <a:outerShdw blurRad="254000" sx="102000" sy="102000" algn="ctr" rotWithShape="0">
              <a:prstClr val="black">
                <a:alpha val="20000"/>
              </a:prstClr>
            </a:outerShdw>
          </a:effectLst>
        </c:spPr>
      </c:pivotFmt>
      <c:pivotFmt>
        <c:idx val="22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82"/>
        <c:spPr>
          <a:solidFill>
            <a:schemeClr val="accent6"/>
          </a:solidFill>
          <a:ln>
            <a:noFill/>
          </a:ln>
          <a:effectLst>
            <a:outerShdw blurRad="254000" sx="102000" sy="102000" algn="ctr" rotWithShape="0">
              <a:prstClr val="black">
                <a:alpha val="20000"/>
              </a:prstClr>
            </a:outerShdw>
          </a:effectLst>
        </c:spPr>
      </c:pivotFmt>
      <c:pivotFmt>
        <c:idx val="2283"/>
        <c:spPr>
          <a:solidFill>
            <a:schemeClr val="accent6"/>
          </a:solidFill>
          <a:ln>
            <a:noFill/>
          </a:ln>
          <a:effectLst>
            <a:outerShdw blurRad="254000" sx="102000" sy="102000" algn="ctr" rotWithShape="0">
              <a:prstClr val="black">
                <a:alpha val="20000"/>
              </a:prstClr>
            </a:outerShdw>
          </a:effectLst>
        </c:spPr>
      </c:pivotFmt>
      <c:pivotFmt>
        <c:idx val="2284"/>
        <c:spPr>
          <a:solidFill>
            <a:schemeClr val="accent6"/>
          </a:solidFill>
          <a:ln>
            <a:noFill/>
          </a:ln>
          <a:effectLst>
            <a:outerShdw blurRad="254000" sx="102000" sy="102000" algn="ctr" rotWithShape="0">
              <a:prstClr val="black">
                <a:alpha val="20000"/>
              </a:prstClr>
            </a:outerShdw>
          </a:effectLst>
        </c:spPr>
      </c:pivotFmt>
      <c:pivotFmt>
        <c:idx val="2285"/>
        <c:spPr>
          <a:solidFill>
            <a:schemeClr val="accent6"/>
          </a:solidFill>
          <a:ln>
            <a:noFill/>
          </a:ln>
          <a:effectLst>
            <a:outerShdw blurRad="254000" sx="102000" sy="102000" algn="ctr" rotWithShape="0">
              <a:prstClr val="black">
                <a:alpha val="20000"/>
              </a:prstClr>
            </a:outerShdw>
          </a:effectLst>
        </c:spPr>
      </c:pivotFmt>
      <c:pivotFmt>
        <c:idx val="2286"/>
        <c:spPr>
          <a:solidFill>
            <a:schemeClr val="accent6"/>
          </a:solidFill>
          <a:ln>
            <a:noFill/>
          </a:ln>
          <a:effectLst>
            <a:outerShdw blurRad="254000" sx="102000" sy="102000" algn="ctr" rotWithShape="0">
              <a:prstClr val="black">
                <a:alpha val="20000"/>
              </a:prstClr>
            </a:outerShdw>
          </a:effectLst>
        </c:spPr>
      </c:pivotFmt>
      <c:pivotFmt>
        <c:idx val="2287"/>
        <c:spPr>
          <a:solidFill>
            <a:schemeClr val="accent6"/>
          </a:solidFill>
          <a:ln>
            <a:noFill/>
          </a:ln>
          <a:effectLst>
            <a:outerShdw blurRad="254000" sx="102000" sy="102000" algn="ctr" rotWithShape="0">
              <a:prstClr val="black">
                <a:alpha val="20000"/>
              </a:prstClr>
            </a:outerShdw>
          </a:effectLst>
        </c:spPr>
      </c:pivotFmt>
      <c:pivotFmt>
        <c:idx val="2288"/>
        <c:spPr>
          <a:solidFill>
            <a:schemeClr val="accent6"/>
          </a:solidFill>
          <a:ln>
            <a:noFill/>
          </a:ln>
          <a:effectLst>
            <a:outerShdw blurRad="254000" sx="102000" sy="102000" algn="ctr" rotWithShape="0">
              <a:prstClr val="black">
                <a:alpha val="20000"/>
              </a:prstClr>
            </a:outerShdw>
          </a:effectLst>
        </c:spPr>
      </c:pivotFmt>
      <c:pivotFmt>
        <c:idx val="2289"/>
        <c:spPr>
          <a:solidFill>
            <a:schemeClr val="accent6"/>
          </a:solidFill>
          <a:ln>
            <a:noFill/>
          </a:ln>
          <a:effectLst>
            <a:outerShdw blurRad="254000" sx="102000" sy="102000" algn="ctr" rotWithShape="0">
              <a:prstClr val="black">
                <a:alpha val="20000"/>
              </a:prstClr>
            </a:outerShdw>
          </a:effectLst>
        </c:spPr>
      </c:pivotFmt>
      <c:pivotFmt>
        <c:idx val="2290"/>
        <c:spPr>
          <a:solidFill>
            <a:schemeClr val="accent6"/>
          </a:solidFill>
          <a:ln>
            <a:noFill/>
          </a:ln>
          <a:effectLst>
            <a:outerShdw blurRad="254000" sx="102000" sy="102000" algn="ctr" rotWithShape="0">
              <a:prstClr val="black">
                <a:alpha val="20000"/>
              </a:prstClr>
            </a:outerShdw>
          </a:effectLst>
        </c:spPr>
      </c:pivotFmt>
      <c:pivotFmt>
        <c:idx val="22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92"/>
        <c:spPr>
          <a:solidFill>
            <a:schemeClr val="accent6"/>
          </a:solidFill>
          <a:ln>
            <a:noFill/>
          </a:ln>
          <a:effectLst>
            <a:outerShdw blurRad="254000" sx="102000" sy="102000" algn="ctr" rotWithShape="0">
              <a:prstClr val="black">
                <a:alpha val="20000"/>
              </a:prstClr>
            </a:outerShdw>
          </a:effectLst>
        </c:spPr>
      </c:pivotFmt>
      <c:pivotFmt>
        <c:idx val="2293"/>
        <c:spPr>
          <a:solidFill>
            <a:schemeClr val="accent6"/>
          </a:solidFill>
          <a:ln>
            <a:noFill/>
          </a:ln>
          <a:effectLst>
            <a:outerShdw blurRad="254000" sx="102000" sy="102000" algn="ctr" rotWithShape="0">
              <a:prstClr val="black">
                <a:alpha val="20000"/>
              </a:prstClr>
            </a:outerShdw>
          </a:effectLst>
        </c:spPr>
      </c:pivotFmt>
      <c:pivotFmt>
        <c:idx val="2294"/>
        <c:spPr>
          <a:solidFill>
            <a:schemeClr val="accent6"/>
          </a:solidFill>
          <a:ln>
            <a:noFill/>
          </a:ln>
          <a:effectLst>
            <a:outerShdw blurRad="254000" sx="102000" sy="102000" algn="ctr" rotWithShape="0">
              <a:prstClr val="black">
                <a:alpha val="20000"/>
              </a:prstClr>
            </a:outerShdw>
          </a:effectLst>
        </c:spPr>
      </c:pivotFmt>
      <c:pivotFmt>
        <c:idx val="2295"/>
        <c:spPr>
          <a:solidFill>
            <a:schemeClr val="accent6"/>
          </a:solidFill>
          <a:ln>
            <a:noFill/>
          </a:ln>
          <a:effectLst>
            <a:outerShdw blurRad="254000" sx="102000" sy="102000" algn="ctr" rotWithShape="0">
              <a:prstClr val="black">
                <a:alpha val="20000"/>
              </a:prstClr>
            </a:outerShdw>
          </a:effectLst>
        </c:spPr>
      </c:pivotFmt>
      <c:pivotFmt>
        <c:idx val="2296"/>
        <c:spPr>
          <a:solidFill>
            <a:schemeClr val="accent6"/>
          </a:solidFill>
          <a:ln>
            <a:noFill/>
          </a:ln>
          <a:effectLst>
            <a:outerShdw blurRad="254000" sx="102000" sy="102000" algn="ctr" rotWithShape="0">
              <a:prstClr val="black">
                <a:alpha val="20000"/>
              </a:prstClr>
            </a:outerShdw>
          </a:effectLst>
        </c:spPr>
      </c:pivotFmt>
      <c:pivotFmt>
        <c:idx val="2297"/>
        <c:spPr>
          <a:solidFill>
            <a:schemeClr val="accent6"/>
          </a:solidFill>
          <a:ln>
            <a:noFill/>
          </a:ln>
          <a:effectLst>
            <a:outerShdw blurRad="254000" sx="102000" sy="102000" algn="ctr" rotWithShape="0">
              <a:prstClr val="black">
                <a:alpha val="20000"/>
              </a:prstClr>
            </a:outerShdw>
          </a:effectLst>
        </c:spPr>
      </c:pivotFmt>
      <c:pivotFmt>
        <c:idx val="2298"/>
        <c:spPr>
          <a:solidFill>
            <a:schemeClr val="accent6"/>
          </a:solidFill>
          <a:ln>
            <a:noFill/>
          </a:ln>
          <a:effectLst>
            <a:outerShdw blurRad="254000" sx="102000" sy="102000" algn="ctr" rotWithShape="0">
              <a:prstClr val="black">
                <a:alpha val="20000"/>
              </a:prstClr>
            </a:outerShdw>
          </a:effectLst>
        </c:spPr>
      </c:pivotFmt>
      <c:pivotFmt>
        <c:idx val="2299"/>
        <c:spPr>
          <a:solidFill>
            <a:schemeClr val="accent6"/>
          </a:solidFill>
          <a:ln>
            <a:noFill/>
          </a:ln>
          <a:effectLst>
            <a:outerShdw blurRad="254000" sx="102000" sy="102000" algn="ctr" rotWithShape="0">
              <a:prstClr val="black">
                <a:alpha val="20000"/>
              </a:prstClr>
            </a:outerShdw>
          </a:effectLst>
        </c:spPr>
      </c:pivotFmt>
      <c:pivotFmt>
        <c:idx val="2300"/>
        <c:spPr>
          <a:solidFill>
            <a:schemeClr val="accent6"/>
          </a:solidFill>
          <a:ln>
            <a:noFill/>
          </a:ln>
          <a:effectLst>
            <a:outerShdw blurRad="254000" sx="102000" sy="102000" algn="ctr" rotWithShape="0">
              <a:prstClr val="black">
                <a:alpha val="20000"/>
              </a:prstClr>
            </a:outerShdw>
          </a:effectLst>
        </c:spPr>
      </c:pivotFmt>
      <c:pivotFmt>
        <c:idx val="23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02"/>
        <c:spPr>
          <a:solidFill>
            <a:schemeClr val="accent6"/>
          </a:solidFill>
          <a:ln>
            <a:noFill/>
          </a:ln>
          <a:effectLst>
            <a:outerShdw blurRad="254000" sx="102000" sy="102000" algn="ctr" rotWithShape="0">
              <a:prstClr val="black">
                <a:alpha val="20000"/>
              </a:prstClr>
            </a:outerShdw>
          </a:effectLst>
        </c:spPr>
      </c:pivotFmt>
      <c:pivotFmt>
        <c:idx val="2303"/>
        <c:spPr>
          <a:solidFill>
            <a:schemeClr val="accent6"/>
          </a:solidFill>
          <a:ln>
            <a:noFill/>
          </a:ln>
          <a:effectLst>
            <a:outerShdw blurRad="254000" sx="102000" sy="102000" algn="ctr" rotWithShape="0">
              <a:prstClr val="black">
                <a:alpha val="20000"/>
              </a:prstClr>
            </a:outerShdw>
          </a:effectLst>
        </c:spPr>
      </c:pivotFmt>
      <c:pivotFmt>
        <c:idx val="2304"/>
        <c:spPr>
          <a:solidFill>
            <a:schemeClr val="accent6"/>
          </a:solidFill>
          <a:ln>
            <a:noFill/>
          </a:ln>
          <a:effectLst>
            <a:outerShdw blurRad="254000" sx="102000" sy="102000" algn="ctr" rotWithShape="0">
              <a:prstClr val="black">
                <a:alpha val="20000"/>
              </a:prstClr>
            </a:outerShdw>
          </a:effectLst>
        </c:spPr>
      </c:pivotFmt>
      <c:pivotFmt>
        <c:idx val="2305"/>
        <c:spPr>
          <a:solidFill>
            <a:schemeClr val="accent6"/>
          </a:solidFill>
          <a:ln>
            <a:noFill/>
          </a:ln>
          <a:effectLst>
            <a:outerShdw blurRad="254000" sx="102000" sy="102000" algn="ctr" rotWithShape="0">
              <a:prstClr val="black">
                <a:alpha val="20000"/>
              </a:prstClr>
            </a:outerShdw>
          </a:effectLst>
        </c:spPr>
      </c:pivotFmt>
      <c:pivotFmt>
        <c:idx val="2306"/>
        <c:spPr>
          <a:solidFill>
            <a:schemeClr val="accent6"/>
          </a:solidFill>
          <a:ln>
            <a:noFill/>
          </a:ln>
          <a:effectLst>
            <a:outerShdw blurRad="254000" sx="102000" sy="102000" algn="ctr" rotWithShape="0">
              <a:prstClr val="black">
                <a:alpha val="20000"/>
              </a:prstClr>
            </a:outerShdw>
          </a:effectLst>
        </c:spPr>
      </c:pivotFmt>
      <c:pivotFmt>
        <c:idx val="2307"/>
        <c:spPr>
          <a:solidFill>
            <a:schemeClr val="accent6"/>
          </a:solidFill>
          <a:ln>
            <a:noFill/>
          </a:ln>
          <a:effectLst>
            <a:outerShdw blurRad="254000" sx="102000" sy="102000" algn="ctr" rotWithShape="0">
              <a:prstClr val="black">
                <a:alpha val="20000"/>
              </a:prstClr>
            </a:outerShdw>
          </a:effectLst>
        </c:spPr>
      </c:pivotFmt>
      <c:pivotFmt>
        <c:idx val="2308"/>
        <c:spPr>
          <a:solidFill>
            <a:schemeClr val="accent6"/>
          </a:solidFill>
          <a:ln>
            <a:noFill/>
          </a:ln>
          <a:effectLst>
            <a:outerShdw blurRad="254000" sx="102000" sy="102000" algn="ctr" rotWithShape="0">
              <a:prstClr val="black">
                <a:alpha val="20000"/>
              </a:prstClr>
            </a:outerShdw>
          </a:effectLst>
        </c:spPr>
      </c:pivotFmt>
      <c:pivotFmt>
        <c:idx val="2309"/>
        <c:spPr>
          <a:solidFill>
            <a:schemeClr val="accent6"/>
          </a:solidFill>
          <a:ln>
            <a:noFill/>
          </a:ln>
          <a:effectLst>
            <a:outerShdw blurRad="254000" sx="102000" sy="102000" algn="ctr" rotWithShape="0">
              <a:prstClr val="black">
                <a:alpha val="20000"/>
              </a:prstClr>
            </a:outerShdw>
          </a:effectLst>
        </c:spPr>
      </c:pivotFmt>
      <c:pivotFmt>
        <c:idx val="2310"/>
        <c:spPr>
          <a:solidFill>
            <a:schemeClr val="accent6"/>
          </a:solidFill>
          <a:ln>
            <a:noFill/>
          </a:ln>
          <a:effectLst>
            <a:outerShdw blurRad="254000" sx="102000" sy="102000" algn="ctr" rotWithShape="0">
              <a:prstClr val="black">
                <a:alpha val="20000"/>
              </a:prstClr>
            </a:outerShdw>
          </a:effectLst>
        </c:spPr>
      </c:pivotFmt>
      <c:pivotFmt>
        <c:idx val="23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12"/>
        <c:spPr>
          <a:solidFill>
            <a:schemeClr val="accent6"/>
          </a:solidFill>
          <a:ln>
            <a:noFill/>
          </a:ln>
          <a:effectLst>
            <a:outerShdw blurRad="254000" sx="102000" sy="102000" algn="ctr" rotWithShape="0">
              <a:prstClr val="black">
                <a:alpha val="20000"/>
              </a:prstClr>
            </a:outerShdw>
          </a:effectLst>
        </c:spPr>
      </c:pivotFmt>
      <c:pivotFmt>
        <c:idx val="2313"/>
        <c:spPr>
          <a:solidFill>
            <a:schemeClr val="accent6"/>
          </a:solidFill>
          <a:ln>
            <a:noFill/>
          </a:ln>
          <a:effectLst>
            <a:outerShdw blurRad="254000" sx="102000" sy="102000" algn="ctr" rotWithShape="0">
              <a:prstClr val="black">
                <a:alpha val="20000"/>
              </a:prstClr>
            </a:outerShdw>
          </a:effectLst>
        </c:spPr>
      </c:pivotFmt>
      <c:pivotFmt>
        <c:idx val="2314"/>
        <c:spPr>
          <a:solidFill>
            <a:schemeClr val="accent6"/>
          </a:solidFill>
          <a:ln>
            <a:noFill/>
          </a:ln>
          <a:effectLst>
            <a:outerShdw blurRad="254000" sx="102000" sy="102000" algn="ctr" rotWithShape="0">
              <a:prstClr val="black">
                <a:alpha val="20000"/>
              </a:prstClr>
            </a:outerShdw>
          </a:effectLst>
        </c:spPr>
      </c:pivotFmt>
      <c:pivotFmt>
        <c:idx val="2315"/>
        <c:spPr>
          <a:solidFill>
            <a:schemeClr val="accent6"/>
          </a:solidFill>
          <a:ln>
            <a:noFill/>
          </a:ln>
          <a:effectLst>
            <a:outerShdw blurRad="254000" sx="102000" sy="102000" algn="ctr" rotWithShape="0">
              <a:prstClr val="black">
                <a:alpha val="20000"/>
              </a:prstClr>
            </a:outerShdw>
          </a:effectLst>
        </c:spPr>
      </c:pivotFmt>
      <c:pivotFmt>
        <c:idx val="2316"/>
        <c:spPr>
          <a:solidFill>
            <a:schemeClr val="accent6"/>
          </a:solidFill>
          <a:ln>
            <a:noFill/>
          </a:ln>
          <a:effectLst>
            <a:outerShdw blurRad="254000" sx="102000" sy="102000" algn="ctr" rotWithShape="0">
              <a:prstClr val="black">
                <a:alpha val="20000"/>
              </a:prstClr>
            </a:outerShdw>
          </a:effectLst>
        </c:spPr>
      </c:pivotFmt>
      <c:pivotFmt>
        <c:idx val="2317"/>
        <c:spPr>
          <a:solidFill>
            <a:schemeClr val="accent6"/>
          </a:solidFill>
          <a:ln>
            <a:noFill/>
          </a:ln>
          <a:effectLst>
            <a:outerShdw blurRad="254000" sx="102000" sy="102000" algn="ctr" rotWithShape="0">
              <a:prstClr val="black">
                <a:alpha val="20000"/>
              </a:prstClr>
            </a:outerShdw>
          </a:effectLst>
        </c:spPr>
      </c:pivotFmt>
      <c:pivotFmt>
        <c:idx val="2318"/>
        <c:spPr>
          <a:solidFill>
            <a:schemeClr val="accent6"/>
          </a:solidFill>
          <a:ln>
            <a:noFill/>
          </a:ln>
          <a:effectLst>
            <a:outerShdw blurRad="254000" sx="102000" sy="102000" algn="ctr" rotWithShape="0">
              <a:prstClr val="black">
                <a:alpha val="20000"/>
              </a:prstClr>
            </a:outerShdw>
          </a:effectLst>
        </c:spPr>
      </c:pivotFmt>
      <c:pivotFmt>
        <c:idx val="2319"/>
        <c:spPr>
          <a:solidFill>
            <a:schemeClr val="accent6"/>
          </a:solidFill>
          <a:ln>
            <a:noFill/>
          </a:ln>
          <a:effectLst>
            <a:outerShdw blurRad="254000" sx="102000" sy="102000" algn="ctr" rotWithShape="0">
              <a:prstClr val="black">
                <a:alpha val="20000"/>
              </a:prstClr>
            </a:outerShdw>
          </a:effectLst>
        </c:spPr>
      </c:pivotFmt>
      <c:pivotFmt>
        <c:idx val="2320"/>
        <c:spPr>
          <a:solidFill>
            <a:schemeClr val="accent6"/>
          </a:solidFill>
          <a:ln>
            <a:noFill/>
          </a:ln>
          <a:effectLst>
            <a:outerShdw blurRad="254000" sx="102000" sy="102000" algn="ctr" rotWithShape="0">
              <a:prstClr val="black">
                <a:alpha val="20000"/>
              </a:prstClr>
            </a:outerShdw>
          </a:effectLst>
        </c:spPr>
      </c:pivotFmt>
      <c:pivotFmt>
        <c:idx val="23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22"/>
        <c:spPr>
          <a:solidFill>
            <a:schemeClr val="accent6"/>
          </a:solidFill>
          <a:ln>
            <a:noFill/>
          </a:ln>
          <a:effectLst>
            <a:outerShdw blurRad="254000" sx="102000" sy="102000" algn="ctr" rotWithShape="0">
              <a:prstClr val="black">
                <a:alpha val="20000"/>
              </a:prstClr>
            </a:outerShdw>
          </a:effectLst>
        </c:spPr>
      </c:pivotFmt>
      <c:pivotFmt>
        <c:idx val="2323"/>
        <c:spPr>
          <a:solidFill>
            <a:schemeClr val="accent6"/>
          </a:solidFill>
          <a:ln>
            <a:noFill/>
          </a:ln>
          <a:effectLst>
            <a:outerShdw blurRad="254000" sx="102000" sy="102000" algn="ctr" rotWithShape="0">
              <a:prstClr val="black">
                <a:alpha val="20000"/>
              </a:prstClr>
            </a:outerShdw>
          </a:effectLst>
        </c:spPr>
      </c:pivotFmt>
      <c:pivotFmt>
        <c:idx val="2324"/>
        <c:spPr>
          <a:solidFill>
            <a:schemeClr val="accent6"/>
          </a:solidFill>
          <a:ln>
            <a:noFill/>
          </a:ln>
          <a:effectLst>
            <a:outerShdw blurRad="254000" sx="102000" sy="102000" algn="ctr" rotWithShape="0">
              <a:prstClr val="black">
                <a:alpha val="20000"/>
              </a:prstClr>
            </a:outerShdw>
          </a:effectLst>
        </c:spPr>
      </c:pivotFmt>
      <c:pivotFmt>
        <c:idx val="2325"/>
        <c:spPr>
          <a:solidFill>
            <a:schemeClr val="accent6"/>
          </a:solidFill>
          <a:ln>
            <a:noFill/>
          </a:ln>
          <a:effectLst>
            <a:outerShdw blurRad="254000" sx="102000" sy="102000" algn="ctr" rotWithShape="0">
              <a:prstClr val="black">
                <a:alpha val="20000"/>
              </a:prstClr>
            </a:outerShdw>
          </a:effectLst>
        </c:spPr>
      </c:pivotFmt>
      <c:pivotFmt>
        <c:idx val="2326"/>
        <c:spPr>
          <a:solidFill>
            <a:schemeClr val="accent6"/>
          </a:solidFill>
          <a:ln>
            <a:noFill/>
          </a:ln>
          <a:effectLst>
            <a:outerShdw blurRad="254000" sx="102000" sy="102000" algn="ctr" rotWithShape="0">
              <a:prstClr val="black">
                <a:alpha val="20000"/>
              </a:prstClr>
            </a:outerShdw>
          </a:effectLst>
        </c:spPr>
      </c:pivotFmt>
      <c:pivotFmt>
        <c:idx val="2327"/>
        <c:spPr>
          <a:solidFill>
            <a:schemeClr val="accent6"/>
          </a:solidFill>
          <a:ln>
            <a:noFill/>
          </a:ln>
          <a:effectLst>
            <a:outerShdw blurRad="254000" sx="102000" sy="102000" algn="ctr" rotWithShape="0">
              <a:prstClr val="black">
                <a:alpha val="20000"/>
              </a:prstClr>
            </a:outerShdw>
          </a:effectLst>
        </c:spPr>
      </c:pivotFmt>
      <c:pivotFmt>
        <c:idx val="2328"/>
        <c:spPr>
          <a:solidFill>
            <a:schemeClr val="accent6"/>
          </a:solidFill>
          <a:ln>
            <a:noFill/>
          </a:ln>
          <a:effectLst>
            <a:outerShdw blurRad="254000" sx="102000" sy="102000" algn="ctr" rotWithShape="0">
              <a:prstClr val="black">
                <a:alpha val="20000"/>
              </a:prstClr>
            </a:outerShdw>
          </a:effectLst>
        </c:spPr>
      </c:pivotFmt>
      <c:pivotFmt>
        <c:idx val="2329"/>
        <c:spPr>
          <a:solidFill>
            <a:schemeClr val="accent6"/>
          </a:solidFill>
          <a:ln>
            <a:noFill/>
          </a:ln>
          <a:effectLst>
            <a:outerShdw blurRad="254000" sx="102000" sy="102000" algn="ctr" rotWithShape="0">
              <a:prstClr val="black">
                <a:alpha val="20000"/>
              </a:prstClr>
            </a:outerShdw>
          </a:effectLst>
        </c:spPr>
      </c:pivotFmt>
      <c:pivotFmt>
        <c:idx val="2330"/>
        <c:spPr>
          <a:solidFill>
            <a:schemeClr val="accent6"/>
          </a:solidFill>
          <a:ln>
            <a:noFill/>
          </a:ln>
          <a:effectLst>
            <a:outerShdw blurRad="254000" sx="102000" sy="102000" algn="ctr" rotWithShape="0">
              <a:prstClr val="black">
                <a:alpha val="20000"/>
              </a:prstClr>
            </a:outerShdw>
          </a:effectLst>
        </c:spPr>
      </c:pivotFmt>
      <c:pivotFmt>
        <c:idx val="23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32"/>
        <c:spPr>
          <a:solidFill>
            <a:schemeClr val="accent6"/>
          </a:solidFill>
          <a:ln>
            <a:noFill/>
          </a:ln>
          <a:effectLst>
            <a:outerShdw blurRad="254000" sx="102000" sy="102000" algn="ctr" rotWithShape="0">
              <a:prstClr val="black">
                <a:alpha val="20000"/>
              </a:prstClr>
            </a:outerShdw>
          </a:effectLst>
        </c:spPr>
      </c:pivotFmt>
      <c:pivotFmt>
        <c:idx val="2333"/>
        <c:spPr>
          <a:solidFill>
            <a:schemeClr val="accent6"/>
          </a:solidFill>
          <a:ln>
            <a:noFill/>
          </a:ln>
          <a:effectLst>
            <a:outerShdw blurRad="254000" sx="102000" sy="102000" algn="ctr" rotWithShape="0">
              <a:prstClr val="black">
                <a:alpha val="20000"/>
              </a:prstClr>
            </a:outerShdw>
          </a:effectLst>
        </c:spPr>
      </c:pivotFmt>
      <c:pivotFmt>
        <c:idx val="2334"/>
        <c:spPr>
          <a:solidFill>
            <a:schemeClr val="accent6"/>
          </a:solidFill>
          <a:ln>
            <a:noFill/>
          </a:ln>
          <a:effectLst>
            <a:outerShdw blurRad="254000" sx="102000" sy="102000" algn="ctr" rotWithShape="0">
              <a:prstClr val="black">
                <a:alpha val="20000"/>
              </a:prstClr>
            </a:outerShdw>
          </a:effectLst>
        </c:spPr>
      </c:pivotFmt>
      <c:pivotFmt>
        <c:idx val="2335"/>
        <c:spPr>
          <a:solidFill>
            <a:schemeClr val="accent6"/>
          </a:solidFill>
          <a:ln>
            <a:noFill/>
          </a:ln>
          <a:effectLst>
            <a:outerShdw blurRad="254000" sx="102000" sy="102000" algn="ctr" rotWithShape="0">
              <a:prstClr val="black">
                <a:alpha val="20000"/>
              </a:prstClr>
            </a:outerShdw>
          </a:effectLst>
        </c:spPr>
      </c:pivotFmt>
      <c:pivotFmt>
        <c:idx val="2336"/>
        <c:spPr>
          <a:solidFill>
            <a:schemeClr val="accent6"/>
          </a:solidFill>
          <a:ln>
            <a:noFill/>
          </a:ln>
          <a:effectLst>
            <a:outerShdw blurRad="254000" sx="102000" sy="102000" algn="ctr" rotWithShape="0">
              <a:prstClr val="black">
                <a:alpha val="20000"/>
              </a:prstClr>
            </a:outerShdw>
          </a:effectLst>
        </c:spPr>
      </c:pivotFmt>
      <c:pivotFmt>
        <c:idx val="2337"/>
        <c:spPr>
          <a:solidFill>
            <a:schemeClr val="accent6"/>
          </a:solidFill>
          <a:ln>
            <a:noFill/>
          </a:ln>
          <a:effectLst>
            <a:outerShdw blurRad="254000" sx="102000" sy="102000" algn="ctr" rotWithShape="0">
              <a:prstClr val="black">
                <a:alpha val="20000"/>
              </a:prstClr>
            </a:outerShdw>
          </a:effectLst>
        </c:spPr>
      </c:pivotFmt>
      <c:pivotFmt>
        <c:idx val="2338"/>
        <c:spPr>
          <a:solidFill>
            <a:schemeClr val="accent6"/>
          </a:solidFill>
          <a:ln>
            <a:noFill/>
          </a:ln>
          <a:effectLst>
            <a:outerShdw blurRad="254000" sx="102000" sy="102000" algn="ctr" rotWithShape="0">
              <a:prstClr val="black">
                <a:alpha val="20000"/>
              </a:prstClr>
            </a:outerShdw>
          </a:effectLst>
        </c:spPr>
      </c:pivotFmt>
      <c:pivotFmt>
        <c:idx val="2339"/>
        <c:spPr>
          <a:solidFill>
            <a:schemeClr val="accent6"/>
          </a:solidFill>
          <a:ln>
            <a:noFill/>
          </a:ln>
          <a:effectLst>
            <a:outerShdw blurRad="254000" sx="102000" sy="102000" algn="ctr" rotWithShape="0">
              <a:prstClr val="black">
                <a:alpha val="20000"/>
              </a:prstClr>
            </a:outerShdw>
          </a:effectLst>
        </c:spPr>
      </c:pivotFmt>
      <c:pivotFmt>
        <c:idx val="2340"/>
        <c:spPr>
          <a:solidFill>
            <a:schemeClr val="accent6"/>
          </a:solidFill>
          <a:ln>
            <a:noFill/>
          </a:ln>
          <a:effectLst>
            <a:outerShdw blurRad="254000" sx="102000" sy="102000" algn="ctr" rotWithShape="0">
              <a:prstClr val="black">
                <a:alpha val="20000"/>
              </a:prstClr>
            </a:outerShdw>
          </a:effectLst>
        </c:spPr>
      </c:pivotFmt>
      <c:pivotFmt>
        <c:idx val="234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42"/>
        <c:spPr>
          <a:solidFill>
            <a:schemeClr val="accent6"/>
          </a:solidFill>
          <a:ln>
            <a:noFill/>
          </a:ln>
          <a:effectLst>
            <a:outerShdw blurRad="254000" sx="102000" sy="102000" algn="ctr" rotWithShape="0">
              <a:prstClr val="black">
                <a:alpha val="20000"/>
              </a:prstClr>
            </a:outerShdw>
          </a:effectLst>
        </c:spPr>
      </c:pivotFmt>
      <c:pivotFmt>
        <c:idx val="2343"/>
        <c:spPr>
          <a:solidFill>
            <a:schemeClr val="accent6"/>
          </a:solidFill>
          <a:ln>
            <a:noFill/>
          </a:ln>
          <a:effectLst>
            <a:outerShdw blurRad="254000" sx="102000" sy="102000" algn="ctr" rotWithShape="0">
              <a:prstClr val="black">
                <a:alpha val="20000"/>
              </a:prstClr>
            </a:outerShdw>
          </a:effectLst>
        </c:spPr>
      </c:pivotFmt>
      <c:pivotFmt>
        <c:idx val="2344"/>
        <c:spPr>
          <a:solidFill>
            <a:schemeClr val="accent6"/>
          </a:solidFill>
          <a:ln>
            <a:noFill/>
          </a:ln>
          <a:effectLst>
            <a:outerShdw blurRad="254000" sx="102000" sy="102000" algn="ctr" rotWithShape="0">
              <a:prstClr val="black">
                <a:alpha val="20000"/>
              </a:prstClr>
            </a:outerShdw>
          </a:effectLst>
        </c:spPr>
      </c:pivotFmt>
      <c:pivotFmt>
        <c:idx val="2345"/>
        <c:spPr>
          <a:solidFill>
            <a:schemeClr val="accent6"/>
          </a:solidFill>
          <a:ln>
            <a:noFill/>
          </a:ln>
          <a:effectLst>
            <a:outerShdw blurRad="254000" sx="102000" sy="102000" algn="ctr" rotWithShape="0">
              <a:prstClr val="black">
                <a:alpha val="20000"/>
              </a:prstClr>
            </a:outerShdw>
          </a:effectLst>
        </c:spPr>
      </c:pivotFmt>
      <c:pivotFmt>
        <c:idx val="2346"/>
        <c:spPr>
          <a:solidFill>
            <a:schemeClr val="accent6"/>
          </a:solidFill>
          <a:ln>
            <a:noFill/>
          </a:ln>
          <a:effectLst>
            <a:outerShdw blurRad="254000" sx="102000" sy="102000" algn="ctr" rotWithShape="0">
              <a:prstClr val="black">
                <a:alpha val="20000"/>
              </a:prstClr>
            </a:outerShdw>
          </a:effectLst>
        </c:spPr>
      </c:pivotFmt>
      <c:pivotFmt>
        <c:idx val="2347"/>
        <c:spPr>
          <a:solidFill>
            <a:schemeClr val="accent6"/>
          </a:solidFill>
          <a:ln>
            <a:noFill/>
          </a:ln>
          <a:effectLst>
            <a:outerShdw blurRad="254000" sx="102000" sy="102000" algn="ctr" rotWithShape="0">
              <a:prstClr val="black">
                <a:alpha val="20000"/>
              </a:prstClr>
            </a:outerShdw>
          </a:effectLst>
        </c:spPr>
      </c:pivotFmt>
      <c:pivotFmt>
        <c:idx val="2348"/>
        <c:spPr>
          <a:solidFill>
            <a:schemeClr val="accent6"/>
          </a:solidFill>
          <a:ln>
            <a:noFill/>
          </a:ln>
          <a:effectLst>
            <a:outerShdw blurRad="254000" sx="102000" sy="102000" algn="ctr" rotWithShape="0">
              <a:prstClr val="black">
                <a:alpha val="20000"/>
              </a:prstClr>
            </a:outerShdw>
          </a:effectLst>
        </c:spPr>
      </c:pivotFmt>
      <c:pivotFmt>
        <c:idx val="2349"/>
        <c:spPr>
          <a:solidFill>
            <a:schemeClr val="accent6"/>
          </a:solidFill>
          <a:ln>
            <a:noFill/>
          </a:ln>
          <a:effectLst>
            <a:outerShdw blurRad="254000" sx="102000" sy="102000" algn="ctr" rotWithShape="0">
              <a:prstClr val="black">
                <a:alpha val="20000"/>
              </a:prstClr>
            </a:outerShdw>
          </a:effectLst>
        </c:spPr>
      </c:pivotFmt>
      <c:pivotFmt>
        <c:idx val="2350"/>
        <c:spPr>
          <a:solidFill>
            <a:schemeClr val="accent6"/>
          </a:solidFill>
          <a:ln>
            <a:noFill/>
          </a:ln>
          <a:effectLst>
            <a:outerShdw blurRad="254000" sx="102000" sy="102000" algn="ctr" rotWithShape="0">
              <a:prstClr val="black">
                <a:alpha val="20000"/>
              </a:prstClr>
            </a:outerShdw>
          </a:effectLst>
        </c:spPr>
      </c:pivotFmt>
      <c:pivotFmt>
        <c:idx val="23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52"/>
        <c:spPr>
          <a:solidFill>
            <a:schemeClr val="accent6"/>
          </a:solidFill>
          <a:ln>
            <a:noFill/>
          </a:ln>
          <a:effectLst>
            <a:outerShdw blurRad="254000" sx="102000" sy="102000" algn="ctr" rotWithShape="0">
              <a:prstClr val="black">
                <a:alpha val="20000"/>
              </a:prstClr>
            </a:outerShdw>
          </a:effectLst>
        </c:spPr>
      </c:pivotFmt>
      <c:pivotFmt>
        <c:idx val="2353"/>
        <c:spPr>
          <a:solidFill>
            <a:schemeClr val="accent6"/>
          </a:solidFill>
          <a:ln>
            <a:noFill/>
          </a:ln>
          <a:effectLst>
            <a:outerShdw blurRad="254000" sx="102000" sy="102000" algn="ctr" rotWithShape="0">
              <a:prstClr val="black">
                <a:alpha val="20000"/>
              </a:prstClr>
            </a:outerShdw>
          </a:effectLst>
        </c:spPr>
      </c:pivotFmt>
      <c:pivotFmt>
        <c:idx val="2354"/>
        <c:spPr>
          <a:solidFill>
            <a:schemeClr val="accent6"/>
          </a:solidFill>
          <a:ln>
            <a:noFill/>
          </a:ln>
          <a:effectLst>
            <a:outerShdw blurRad="254000" sx="102000" sy="102000" algn="ctr" rotWithShape="0">
              <a:prstClr val="black">
                <a:alpha val="20000"/>
              </a:prstClr>
            </a:outerShdw>
          </a:effectLst>
        </c:spPr>
      </c:pivotFmt>
      <c:pivotFmt>
        <c:idx val="2355"/>
        <c:spPr>
          <a:solidFill>
            <a:schemeClr val="accent6"/>
          </a:solidFill>
          <a:ln>
            <a:noFill/>
          </a:ln>
          <a:effectLst>
            <a:outerShdw blurRad="254000" sx="102000" sy="102000" algn="ctr" rotWithShape="0">
              <a:prstClr val="black">
                <a:alpha val="20000"/>
              </a:prstClr>
            </a:outerShdw>
          </a:effectLst>
        </c:spPr>
      </c:pivotFmt>
      <c:pivotFmt>
        <c:idx val="2356"/>
        <c:spPr>
          <a:solidFill>
            <a:schemeClr val="accent6"/>
          </a:solidFill>
          <a:ln>
            <a:noFill/>
          </a:ln>
          <a:effectLst>
            <a:outerShdw blurRad="254000" sx="102000" sy="102000" algn="ctr" rotWithShape="0">
              <a:prstClr val="black">
                <a:alpha val="20000"/>
              </a:prstClr>
            </a:outerShdw>
          </a:effectLst>
        </c:spPr>
      </c:pivotFmt>
      <c:pivotFmt>
        <c:idx val="2357"/>
        <c:spPr>
          <a:solidFill>
            <a:schemeClr val="accent6"/>
          </a:solidFill>
          <a:ln>
            <a:noFill/>
          </a:ln>
          <a:effectLst>
            <a:outerShdw blurRad="254000" sx="102000" sy="102000" algn="ctr" rotWithShape="0">
              <a:prstClr val="black">
                <a:alpha val="20000"/>
              </a:prstClr>
            </a:outerShdw>
          </a:effectLst>
        </c:spPr>
      </c:pivotFmt>
      <c:pivotFmt>
        <c:idx val="2358"/>
        <c:spPr>
          <a:solidFill>
            <a:schemeClr val="accent6"/>
          </a:solidFill>
          <a:ln>
            <a:noFill/>
          </a:ln>
          <a:effectLst>
            <a:outerShdw blurRad="254000" sx="102000" sy="102000" algn="ctr" rotWithShape="0">
              <a:prstClr val="black">
                <a:alpha val="20000"/>
              </a:prstClr>
            </a:outerShdw>
          </a:effectLst>
        </c:spPr>
      </c:pivotFmt>
      <c:pivotFmt>
        <c:idx val="2359"/>
        <c:spPr>
          <a:solidFill>
            <a:schemeClr val="accent6"/>
          </a:solidFill>
          <a:ln>
            <a:noFill/>
          </a:ln>
          <a:effectLst>
            <a:outerShdw blurRad="254000" sx="102000" sy="102000" algn="ctr" rotWithShape="0">
              <a:prstClr val="black">
                <a:alpha val="20000"/>
              </a:prstClr>
            </a:outerShdw>
          </a:effectLst>
        </c:spPr>
      </c:pivotFmt>
      <c:pivotFmt>
        <c:idx val="2360"/>
        <c:spPr>
          <a:solidFill>
            <a:schemeClr val="accent6"/>
          </a:solidFill>
          <a:ln>
            <a:noFill/>
          </a:ln>
          <a:effectLst>
            <a:outerShdw blurRad="254000" sx="102000" sy="102000" algn="ctr" rotWithShape="0">
              <a:prstClr val="black">
                <a:alpha val="20000"/>
              </a:prstClr>
            </a:outerShdw>
          </a:effectLst>
        </c:spPr>
      </c:pivotFmt>
      <c:pivotFmt>
        <c:idx val="23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6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6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6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6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6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67"/>
        <c:spPr>
          <a:solidFill>
            <a:schemeClr val="accent6"/>
          </a:solidFill>
          <a:ln>
            <a:noFill/>
          </a:ln>
          <a:effectLst>
            <a:outerShdw blurRad="254000" sx="102000" sy="102000" algn="ctr" rotWithShape="0">
              <a:prstClr val="black">
                <a:alpha val="20000"/>
              </a:prstClr>
            </a:outerShdw>
          </a:effectLst>
        </c:spPr>
      </c:pivotFmt>
      <c:pivotFmt>
        <c:idx val="2368"/>
        <c:spPr>
          <a:solidFill>
            <a:schemeClr val="accent6"/>
          </a:solidFill>
          <a:ln>
            <a:noFill/>
          </a:ln>
          <a:effectLst>
            <a:outerShdw blurRad="254000" sx="102000" sy="102000" algn="ctr" rotWithShape="0">
              <a:prstClr val="black">
                <a:alpha val="20000"/>
              </a:prstClr>
            </a:outerShdw>
          </a:effectLst>
        </c:spPr>
      </c:pivotFmt>
      <c:pivotFmt>
        <c:idx val="2369"/>
        <c:spPr>
          <a:solidFill>
            <a:schemeClr val="accent6"/>
          </a:solidFill>
          <a:ln>
            <a:noFill/>
          </a:ln>
          <a:effectLst>
            <a:outerShdw blurRad="254000" sx="102000" sy="102000" algn="ctr" rotWithShape="0">
              <a:prstClr val="black">
                <a:alpha val="20000"/>
              </a:prstClr>
            </a:outerShdw>
          </a:effectLst>
        </c:spPr>
      </c:pivotFmt>
      <c:pivotFmt>
        <c:idx val="2370"/>
        <c:spPr>
          <a:solidFill>
            <a:schemeClr val="accent6"/>
          </a:solidFill>
          <a:ln>
            <a:noFill/>
          </a:ln>
          <a:effectLst>
            <a:outerShdw blurRad="254000" sx="102000" sy="102000" algn="ctr" rotWithShape="0">
              <a:prstClr val="black">
                <a:alpha val="20000"/>
              </a:prstClr>
            </a:outerShdw>
          </a:effectLst>
        </c:spPr>
      </c:pivotFmt>
      <c:pivotFmt>
        <c:idx val="2371"/>
        <c:spPr>
          <a:solidFill>
            <a:schemeClr val="accent6"/>
          </a:solidFill>
          <a:ln>
            <a:noFill/>
          </a:ln>
          <a:effectLst>
            <a:outerShdw blurRad="254000" sx="102000" sy="102000" algn="ctr" rotWithShape="0">
              <a:prstClr val="black">
                <a:alpha val="20000"/>
              </a:prstClr>
            </a:outerShdw>
          </a:effectLst>
        </c:spPr>
      </c:pivotFmt>
      <c:pivotFmt>
        <c:idx val="2372"/>
        <c:spPr>
          <a:solidFill>
            <a:schemeClr val="accent6"/>
          </a:solidFill>
          <a:ln>
            <a:noFill/>
          </a:ln>
          <a:effectLst>
            <a:outerShdw blurRad="254000" sx="102000" sy="102000" algn="ctr" rotWithShape="0">
              <a:prstClr val="black">
                <a:alpha val="20000"/>
              </a:prstClr>
            </a:outerShdw>
          </a:effectLst>
        </c:spPr>
      </c:pivotFmt>
      <c:pivotFmt>
        <c:idx val="2373"/>
        <c:spPr>
          <a:solidFill>
            <a:schemeClr val="accent6"/>
          </a:solidFill>
          <a:ln>
            <a:noFill/>
          </a:ln>
          <a:effectLst>
            <a:outerShdw blurRad="254000" sx="102000" sy="102000" algn="ctr" rotWithShape="0">
              <a:prstClr val="black">
                <a:alpha val="20000"/>
              </a:prstClr>
            </a:outerShdw>
          </a:effectLst>
        </c:spPr>
      </c:pivotFmt>
      <c:pivotFmt>
        <c:idx val="2374"/>
        <c:spPr>
          <a:solidFill>
            <a:schemeClr val="accent6"/>
          </a:solidFill>
          <a:ln>
            <a:noFill/>
          </a:ln>
          <a:effectLst>
            <a:outerShdw blurRad="254000" sx="102000" sy="102000" algn="ctr" rotWithShape="0">
              <a:prstClr val="black">
                <a:alpha val="20000"/>
              </a:prstClr>
            </a:outerShdw>
          </a:effectLst>
        </c:spPr>
      </c:pivotFmt>
      <c:pivotFmt>
        <c:idx val="2375"/>
        <c:spPr>
          <a:solidFill>
            <a:schemeClr val="accent6"/>
          </a:solidFill>
          <a:ln>
            <a:noFill/>
          </a:ln>
          <a:effectLst>
            <a:outerShdw blurRad="254000" sx="102000" sy="102000" algn="ctr" rotWithShape="0">
              <a:prstClr val="black">
                <a:alpha val="20000"/>
              </a:prstClr>
            </a:outerShdw>
          </a:effectLst>
        </c:spPr>
      </c:pivotFmt>
      <c:pivotFmt>
        <c:idx val="2376"/>
        <c:spPr>
          <a:solidFill>
            <a:schemeClr val="accent6"/>
          </a:solidFill>
          <a:ln>
            <a:noFill/>
          </a:ln>
          <a:effectLst>
            <a:outerShdw blurRad="254000" sx="102000" sy="102000" algn="ctr" rotWithShape="0">
              <a:prstClr val="black">
                <a:alpha val="20000"/>
              </a:prstClr>
            </a:outerShdw>
          </a:effectLst>
        </c:spPr>
      </c:pivotFmt>
      <c:pivotFmt>
        <c:idx val="2377"/>
        <c:spPr>
          <a:solidFill>
            <a:schemeClr val="accent6"/>
          </a:solidFill>
          <a:ln>
            <a:noFill/>
          </a:ln>
          <a:effectLst>
            <a:outerShdw blurRad="254000" sx="102000" sy="102000" algn="ctr" rotWithShape="0">
              <a:prstClr val="black">
                <a:alpha val="20000"/>
              </a:prstClr>
            </a:outerShdw>
          </a:effectLst>
        </c:spPr>
      </c:pivotFmt>
      <c:pivotFmt>
        <c:idx val="2378"/>
        <c:spPr>
          <a:solidFill>
            <a:schemeClr val="accent6"/>
          </a:solidFill>
          <a:ln>
            <a:noFill/>
          </a:ln>
          <a:effectLst>
            <a:outerShdw blurRad="254000" sx="102000" sy="102000" algn="ctr" rotWithShape="0">
              <a:prstClr val="black">
                <a:alpha val="20000"/>
              </a:prstClr>
            </a:outerShdw>
          </a:effectLst>
        </c:spPr>
      </c:pivotFmt>
      <c:pivotFmt>
        <c:idx val="2379"/>
        <c:spPr>
          <a:solidFill>
            <a:schemeClr val="accent6"/>
          </a:solidFill>
          <a:ln>
            <a:noFill/>
          </a:ln>
          <a:effectLst>
            <a:outerShdw blurRad="254000" sx="102000" sy="102000" algn="ctr" rotWithShape="0">
              <a:prstClr val="black">
                <a:alpha val="20000"/>
              </a:prstClr>
            </a:outerShdw>
          </a:effectLst>
        </c:spPr>
      </c:pivotFmt>
      <c:pivotFmt>
        <c:idx val="2380"/>
        <c:spPr>
          <a:solidFill>
            <a:schemeClr val="accent6"/>
          </a:solidFill>
          <a:ln>
            <a:noFill/>
          </a:ln>
          <a:effectLst>
            <a:outerShdw blurRad="254000" sx="102000" sy="102000" algn="ctr" rotWithShape="0">
              <a:prstClr val="black">
                <a:alpha val="20000"/>
              </a:prstClr>
            </a:outerShdw>
          </a:effectLst>
        </c:spPr>
      </c:pivotFmt>
      <c:pivotFmt>
        <c:idx val="2381"/>
        <c:spPr>
          <a:solidFill>
            <a:schemeClr val="accent6"/>
          </a:solidFill>
          <a:ln>
            <a:noFill/>
          </a:ln>
          <a:effectLst>
            <a:outerShdw blurRad="254000" sx="102000" sy="102000" algn="ctr" rotWithShape="0">
              <a:prstClr val="black">
                <a:alpha val="20000"/>
              </a:prstClr>
            </a:outerShdw>
          </a:effectLst>
        </c:spPr>
      </c:pivotFmt>
      <c:pivotFmt>
        <c:idx val="2382"/>
        <c:spPr>
          <a:solidFill>
            <a:schemeClr val="accent6"/>
          </a:solidFill>
          <a:ln>
            <a:noFill/>
          </a:ln>
          <a:effectLst>
            <a:outerShdw blurRad="254000" sx="102000" sy="102000" algn="ctr" rotWithShape="0">
              <a:prstClr val="black">
                <a:alpha val="20000"/>
              </a:prstClr>
            </a:outerShdw>
          </a:effectLst>
        </c:spPr>
      </c:pivotFmt>
      <c:pivotFmt>
        <c:idx val="2383"/>
        <c:spPr>
          <a:solidFill>
            <a:schemeClr val="accent6"/>
          </a:solidFill>
          <a:ln>
            <a:noFill/>
          </a:ln>
          <a:effectLst>
            <a:outerShdw blurRad="254000" sx="102000" sy="102000" algn="ctr" rotWithShape="0">
              <a:prstClr val="black">
                <a:alpha val="20000"/>
              </a:prstClr>
            </a:outerShdw>
          </a:effectLst>
        </c:spPr>
      </c:pivotFmt>
      <c:pivotFmt>
        <c:idx val="2384"/>
        <c:spPr>
          <a:solidFill>
            <a:schemeClr val="accent6"/>
          </a:solidFill>
          <a:ln>
            <a:noFill/>
          </a:ln>
          <a:effectLst>
            <a:outerShdw blurRad="254000" sx="102000" sy="102000" algn="ctr" rotWithShape="0">
              <a:prstClr val="black">
                <a:alpha val="20000"/>
              </a:prstClr>
            </a:outerShdw>
          </a:effectLst>
        </c:spPr>
      </c:pivotFmt>
      <c:pivotFmt>
        <c:idx val="2385"/>
        <c:spPr>
          <a:solidFill>
            <a:schemeClr val="accent6"/>
          </a:solidFill>
          <a:ln>
            <a:noFill/>
          </a:ln>
          <a:effectLst>
            <a:outerShdw blurRad="254000" sx="102000" sy="102000" algn="ctr" rotWithShape="0">
              <a:prstClr val="black">
                <a:alpha val="20000"/>
              </a:prstClr>
            </a:outerShdw>
          </a:effectLst>
        </c:spPr>
      </c:pivotFmt>
      <c:pivotFmt>
        <c:idx val="2386"/>
        <c:spPr>
          <a:solidFill>
            <a:schemeClr val="accent6"/>
          </a:solidFill>
          <a:ln>
            <a:noFill/>
          </a:ln>
          <a:effectLst>
            <a:outerShdw blurRad="254000" sx="102000" sy="102000" algn="ctr" rotWithShape="0">
              <a:prstClr val="black">
                <a:alpha val="20000"/>
              </a:prstClr>
            </a:outerShdw>
          </a:effectLst>
        </c:spPr>
      </c:pivotFmt>
      <c:pivotFmt>
        <c:idx val="2387"/>
        <c:spPr>
          <a:solidFill>
            <a:schemeClr val="accent6"/>
          </a:solidFill>
          <a:ln>
            <a:noFill/>
          </a:ln>
          <a:effectLst>
            <a:outerShdw blurRad="254000" sx="102000" sy="102000" algn="ctr" rotWithShape="0">
              <a:prstClr val="black">
                <a:alpha val="20000"/>
              </a:prstClr>
            </a:outerShdw>
          </a:effectLst>
        </c:spPr>
      </c:pivotFmt>
      <c:pivotFmt>
        <c:idx val="2388"/>
        <c:spPr>
          <a:solidFill>
            <a:schemeClr val="accent6"/>
          </a:solidFill>
          <a:ln>
            <a:noFill/>
          </a:ln>
          <a:effectLst>
            <a:outerShdw blurRad="254000" sx="102000" sy="102000" algn="ctr" rotWithShape="0">
              <a:prstClr val="black">
                <a:alpha val="20000"/>
              </a:prstClr>
            </a:outerShdw>
          </a:effectLst>
        </c:spPr>
      </c:pivotFmt>
      <c:pivotFmt>
        <c:idx val="2389"/>
        <c:spPr>
          <a:solidFill>
            <a:schemeClr val="accent6"/>
          </a:solidFill>
          <a:ln>
            <a:noFill/>
          </a:ln>
          <a:effectLst>
            <a:outerShdw blurRad="254000" sx="102000" sy="102000" algn="ctr" rotWithShape="0">
              <a:prstClr val="black">
                <a:alpha val="20000"/>
              </a:prstClr>
            </a:outerShdw>
          </a:effectLst>
        </c:spPr>
      </c:pivotFmt>
      <c:pivotFmt>
        <c:idx val="2390"/>
        <c:spPr>
          <a:solidFill>
            <a:schemeClr val="accent6"/>
          </a:solidFill>
          <a:ln>
            <a:noFill/>
          </a:ln>
          <a:effectLst>
            <a:outerShdw blurRad="254000" sx="102000" sy="102000" algn="ctr" rotWithShape="0">
              <a:prstClr val="black">
                <a:alpha val="20000"/>
              </a:prstClr>
            </a:outerShdw>
          </a:effectLst>
        </c:spPr>
      </c:pivotFmt>
      <c:pivotFmt>
        <c:idx val="2391"/>
        <c:spPr>
          <a:solidFill>
            <a:schemeClr val="accent6"/>
          </a:solidFill>
          <a:ln>
            <a:noFill/>
          </a:ln>
          <a:effectLst>
            <a:outerShdw blurRad="254000" sx="102000" sy="102000" algn="ctr" rotWithShape="0">
              <a:prstClr val="black">
                <a:alpha val="20000"/>
              </a:prstClr>
            </a:outerShdw>
          </a:effectLst>
        </c:spPr>
      </c:pivotFmt>
      <c:pivotFmt>
        <c:idx val="2392"/>
        <c:spPr>
          <a:solidFill>
            <a:schemeClr val="accent6"/>
          </a:solidFill>
          <a:ln>
            <a:noFill/>
          </a:ln>
          <a:effectLst>
            <a:outerShdw blurRad="254000" sx="102000" sy="102000" algn="ctr" rotWithShape="0">
              <a:prstClr val="black">
                <a:alpha val="20000"/>
              </a:prstClr>
            </a:outerShdw>
          </a:effectLst>
        </c:spPr>
      </c:pivotFmt>
      <c:pivotFmt>
        <c:idx val="2393"/>
        <c:spPr>
          <a:solidFill>
            <a:schemeClr val="accent6"/>
          </a:solidFill>
          <a:ln>
            <a:noFill/>
          </a:ln>
          <a:effectLst>
            <a:outerShdw blurRad="254000" sx="102000" sy="102000" algn="ctr" rotWithShape="0">
              <a:prstClr val="black">
                <a:alpha val="20000"/>
              </a:prstClr>
            </a:outerShdw>
          </a:effectLst>
        </c:spPr>
      </c:pivotFmt>
      <c:pivotFmt>
        <c:idx val="2394"/>
        <c:spPr>
          <a:solidFill>
            <a:schemeClr val="accent6"/>
          </a:solidFill>
          <a:ln>
            <a:noFill/>
          </a:ln>
          <a:effectLst>
            <a:outerShdw blurRad="254000" sx="102000" sy="102000" algn="ctr" rotWithShape="0">
              <a:prstClr val="black">
                <a:alpha val="20000"/>
              </a:prstClr>
            </a:outerShdw>
          </a:effectLst>
        </c:spPr>
      </c:pivotFmt>
      <c:pivotFmt>
        <c:idx val="2395"/>
        <c:spPr>
          <a:solidFill>
            <a:schemeClr val="accent6"/>
          </a:solidFill>
          <a:ln>
            <a:noFill/>
          </a:ln>
          <a:effectLst>
            <a:outerShdw blurRad="254000" sx="102000" sy="102000" algn="ctr" rotWithShape="0">
              <a:prstClr val="black">
                <a:alpha val="20000"/>
              </a:prstClr>
            </a:outerShdw>
          </a:effectLst>
        </c:spPr>
      </c:pivotFmt>
      <c:pivotFmt>
        <c:idx val="2396"/>
        <c:spPr>
          <a:solidFill>
            <a:schemeClr val="accent6"/>
          </a:solidFill>
          <a:ln>
            <a:noFill/>
          </a:ln>
          <a:effectLst>
            <a:outerShdw blurRad="254000" sx="102000" sy="102000" algn="ctr" rotWithShape="0">
              <a:prstClr val="black">
                <a:alpha val="20000"/>
              </a:prstClr>
            </a:outerShdw>
          </a:effectLst>
        </c:spPr>
      </c:pivotFmt>
      <c:pivotFmt>
        <c:idx val="2397"/>
        <c:spPr>
          <a:solidFill>
            <a:schemeClr val="accent6"/>
          </a:solidFill>
          <a:ln>
            <a:noFill/>
          </a:ln>
          <a:effectLst>
            <a:outerShdw blurRad="254000" sx="102000" sy="102000" algn="ctr" rotWithShape="0">
              <a:prstClr val="black">
                <a:alpha val="20000"/>
              </a:prstClr>
            </a:outerShdw>
          </a:effectLst>
        </c:spPr>
      </c:pivotFmt>
      <c:pivotFmt>
        <c:idx val="2398"/>
        <c:spPr>
          <a:solidFill>
            <a:schemeClr val="accent6"/>
          </a:solidFill>
          <a:ln>
            <a:noFill/>
          </a:ln>
          <a:effectLst>
            <a:outerShdw blurRad="254000" sx="102000" sy="102000" algn="ctr" rotWithShape="0">
              <a:prstClr val="black">
                <a:alpha val="20000"/>
              </a:prstClr>
            </a:outerShdw>
          </a:effectLst>
        </c:spPr>
      </c:pivotFmt>
      <c:pivotFmt>
        <c:idx val="2399"/>
        <c:spPr>
          <a:solidFill>
            <a:schemeClr val="accent6"/>
          </a:solidFill>
          <a:ln>
            <a:noFill/>
          </a:ln>
          <a:effectLst>
            <a:outerShdw blurRad="254000" sx="102000" sy="102000" algn="ctr" rotWithShape="0">
              <a:prstClr val="black">
                <a:alpha val="20000"/>
              </a:prstClr>
            </a:outerShdw>
          </a:effectLst>
        </c:spPr>
      </c:pivotFmt>
      <c:pivotFmt>
        <c:idx val="2400"/>
        <c:spPr>
          <a:solidFill>
            <a:schemeClr val="accent6"/>
          </a:solidFill>
          <a:ln>
            <a:noFill/>
          </a:ln>
          <a:effectLst>
            <a:outerShdw blurRad="254000" sx="102000" sy="102000" algn="ctr" rotWithShape="0">
              <a:prstClr val="black">
                <a:alpha val="20000"/>
              </a:prstClr>
            </a:outerShdw>
          </a:effectLst>
        </c:spPr>
      </c:pivotFmt>
      <c:pivotFmt>
        <c:idx val="2401"/>
        <c:spPr>
          <a:solidFill>
            <a:schemeClr val="accent6"/>
          </a:solidFill>
          <a:ln>
            <a:noFill/>
          </a:ln>
          <a:effectLst>
            <a:outerShdw blurRad="254000" sx="102000" sy="102000" algn="ctr" rotWithShape="0">
              <a:prstClr val="black">
                <a:alpha val="20000"/>
              </a:prstClr>
            </a:outerShdw>
          </a:effectLst>
        </c:spPr>
      </c:pivotFmt>
      <c:pivotFmt>
        <c:idx val="2402"/>
        <c:spPr>
          <a:solidFill>
            <a:schemeClr val="accent6"/>
          </a:solidFill>
          <a:ln>
            <a:noFill/>
          </a:ln>
          <a:effectLst>
            <a:outerShdw blurRad="254000" sx="102000" sy="102000" algn="ctr" rotWithShape="0">
              <a:prstClr val="black">
                <a:alpha val="20000"/>
              </a:prstClr>
            </a:outerShdw>
          </a:effectLst>
        </c:spPr>
      </c:pivotFmt>
      <c:pivotFmt>
        <c:idx val="2403"/>
        <c:spPr>
          <a:solidFill>
            <a:schemeClr val="accent6"/>
          </a:solidFill>
          <a:ln>
            <a:noFill/>
          </a:ln>
          <a:effectLst>
            <a:outerShdw blurRad="254000" sx="102000" sy="102000" algn="ctr" rotWithShape="0">
              <a:prstClr val="black">
                <a:alpha val="20000"/>
              </a:prstClr>
            </a:outerShdw>
          </a:effectLst>
        </c:spPr>
      </c:pivotFmt>
      <c:pivotFmt>
        <c:idx val="2404"/>
        <c:spPr>
          <a:solidFill>
            <a:schemeClr val="accent6"/>
          </a:solidFill>
          <a:ln>
            <a:noFill/>
          </a:ln>
          <a:effectLst>
            <a:outerShdw blurRad="254000" sx="102000" sy="102000" algn="ctr" rotWithShape="0">
              <a:prstClr val="black">
                <a:alpha val="20000"/>
              </a:prstClr>
            </a:outerShdw>
          </a:effectLst>
        </c:spPr>
      </c:pivotFmt>
      <c:pivotFmt>
        <c:idx val="2405"/>
        <c:spPr>
          <a:solidFill>
            <a:schemeClr val="accent6"/>
          </a:solidFill>
          <a:ln>
            <a:noFill/>
          </a:ln>
          <a:effectLst>
            <a:outerShdw blurRad="254000" sx="102000" sy="102000" algn="ctr" rotWithShape="0">
              <a:prstClr val="black">
                <a:alpha val="20000"/>
              </a:prstClr>
            </a:outerShdw>
          </a:effectLst>
        </c:spPr>
      </c:pivotFmt>
      <c:pivotFmt>
        <c:idx val="2406"/>
        <c:spPr>
          <a:solidFill>
            <a:schemeClr val="accent6"/>
          </a:solidFill>
          <a:ln>
            <a:noFill/>
          </a:ln>
          <a:effectLst>
            <a:outerShdw blurRad="254000" sx="102000" sy="102000" algn="ctr" rotWithShape="0">
              <a:prstClr val="black">
                <a:alpha val="20000"/>
              </a:prstClr>
            </a:outerShdw>
          </a:effectLst>
        </c:spPr>
      </c:pivotFmt>
      <c:pivotFmt>
        <c:idx val="2407"/>
        <c:spPr>
          <a:solidFill>
            <a:schemeClr val="accent6"/>
          </a:solidFill>
          <a:ln>
            <a:noFill/>
          </a:ln>
          <a:effectLst>
            <a:outerShdw blurRad="254000" sx="102000" sy="102000" algn="ctr" rotWithShape="0">
              <a:prstClr val="black">
                <a:alpha val="20000"/>
              </a:prstClr>
            </a:outerShdw>
          </a:effectLst>
        </c:spPr>
      </c:pivotFmt>
      <c:pivotFmt>
        <c:idx val="2408"/>
        <c:spPr>
          <a:solidFill>
            <a:schemeClr val="accent6"/>
          </a:solidFill>
          <a:ln>
            <a:noFill/>
          </a:ln>
          <a:effectLst>
            <a:outerShdw blurRad="254000" sx="102000" sy="102000" algn="ctr" rotWithShape="0">
              <a:prstClr val="black">
                <a:alpha val="20000"/>
              </a:prstClr>
            </a:outerShdw>
          </a:effectLst>
        </c:spPr>
      </c:pivotFmt>
      <c:pivotFmt>
        <c:idx val="2409"/>
        <c:spPr>
          <a:solidFill>
            <a:schemeClr val="accent6"/>
          </a:solidFill>
          <a:ln>
            <a:noFill/>
          </a:ln>
          <a:effectLst>
            <a:outerShdw blurRad="254000" sx="102000" sy="102000" algn="ctr" rotWithShape="0">
              <a:prstClr val="black">
                <a:alpha val="20000"/>
              </a:prstClr>
            </a:outerShdw>
          </a:effectLst>
        </c:spPr>
      </c:pivotFmt>
      <c:pivotFmt>
        <c:idx val="2410"/>
        <c:spPr>
          <a:solidFill>
            <a:schemeClr val="accent6"/>
          </a:solidFill>
          <a:ln>
            <a:noFill/>
          </a:ln>
          <a:effectLst>
            <a:outerShdw blurRad="254000" sx="102000" sy="102000" algn="ctr" rotWithShape="0">
              <a:prstClr val="black">
                <a:alpha val="20000"/>
              </a:prstClr>
            </a:outerShdw>
          </a:effectLst>
        </c:spPr>
      </c:pivotFmt>
      <c:pivotFmt>
        <c:idx val="2411"/>
        <c:spPr>
          <a:solidFill>
            <a:schemeClr val="accent6"/>
          </a:solidFill>
          <a:ln>
            <a:noFill/>
          </a:ln>
          <a:effectLst>
            <a:outerShdw blurRad="254000" sx="102000" sy="102000" algn="ctr" rotWithShape="0">
              <a:prstClr val="black">
                <a:alpha val="20000"/>
              </a:prstClr>
            </a:outerShdw>
          </a:effectLst>
        </c:spPr>
      </c:pivotFmt>
      <c:pivotFmt>
        <c:idx val="2412"/>
        <c:spPr>
          <a:solidFill>
            <a:schemeClr val="accent6"/>
          </a:solidFill>
          <a:ln>
            <a:noFill/>
          </a:ln>
          <a:effectLst>
            <a:outerShdw blurRad="254000" sx="102000" sy="102000" algn="ctr" rotWithShape="0">
              <a:prstClr val="black">
                <a:alpha val="20000"/>
              </a:prstClr>
            </a:outerShdw>
          </a:effectLst>
        </c:spPr>
      </c:pivotFmt>
      <c:pivotFmt>
        <c:idx val="2413"/>
        <c:spPr>
          <a:solidFill>
            <a:schemeClr val="accent6"/>
          </a:solidFill>
          <a:ln>
            <a:noFill/>
          </a:ln>
          <a:effectLst>
            <a:outerShdw blurRad="254000" sx="102000" sy="102000" algn="ctr" rotWithShape="0">
              <a:prstClr val="black">
                <a:alpha val="20000"/>
              </a:prstClr>
            </a:outerShdw>
          </a:effectLst>
        </c:spPr>
      </c:pivotFmt>
      <c:pivotFmt>
        <c:idx val="2414"/>
        <c:spPr>
          <a:solidFill>
            <a:schemeClr val="accent6"/>
          </a:solidFill>
          <a:ln>
            <a:noFill/>
          </a:ln>
          <a:effectLst>
            <a:outerShdw blurRad="254000" sx="102000" sy="102000" algn="ctr" rotWithShape="0">
              <a:prstClr val="black">
                <a:alpha val="20000"/>
              </a:prstClr>
            </a:outerShdw>
          </a:effectLst>
        </c:spPr>
      </c:pivotFmt>
      <c:pivotFmt>
        <c:idx val="2415"/>
        <c:spPr>
          <a:solidFill>
            <a:schemeClr val="accent6"/>
          </a:solidFill>
          <a:ln>
            <a:noFill/>
          </a:ln>
          <a:effectLst>
            <a:outerShdw blurRad="254000" sx="102000" sy="102000" algn="ctr" rotWithShape="0">
              <a:prstClr val="black">
                <a:alpha val="20000"/>
              </a:prstClr>
            </a:outerShdw>
          </a:effectLst>
        </c:spPr>
      </c:pivotFmt>
      <c:pivotFmt>
        <c:idx val="2416"/>
        <c:spPr>
          <a:solidFill>
            <a:schemeClr val="accent6"/>
          </a:solidFill>
          <a:ln>
            <a:noFill/>
          </a:ln>
          <a:effectLst>
            <a:outerShdw blurRad="254000" sx="102000" sy="102000" algn="ctr" rotWithShape="0">
              <a:prstClr val="black">
                <a:alpha val="20000"/>
              </a:prstClr>
            </a:outerShdw>
          </a:effectLst>
        </c:spPr>
      </c:pivotFmt>
      <c:pivotFmt>
        <c:idx val="2417"/>
        <c:spPr>
          <a:solidFill>
            <a:schemeClr val="accent6"/>
          </a:solidFill>
          <a:ln>
            <a:noFill/>
          </a:ln>
          <a:effectLst>
            <a:outerShdw blurRad="254000" sx="102000" sy="102000" algn="ctr" rotWithShape="0">
              <a:prstClr val="black">
                <a:alpha val="20000"/>
              </a:prstClr>
            </a:outerShdw>
          </a:effectLst>
        </c:spPr>
      </c:pivotFmt>
      <c:pivotFmt>
        <c:idx val="2418"/>
        <c:spPr>
          <a:solidFill>
            <a:schemeClr val="accent6"/>
          </a:solidFill>
          <a:ln>
            <a:noFill/>
          </a:ln>
          <a:effectLst>
            <a:outerShdw blurRad="254000" sx="102000" sy="102000" algn="ctr" rotWithShape="0">
              <a:prstClr val="black">
                <a:alpha val="20000"/>
              </a:prstClr>
            </a:outerShdw>
          </a:effectLst>
        </c:spPr>
      </c:pivotFmt>
      <c:pivotFmt>
        <c:idx val="2419"/>
        <c:spPr>
          <a:solidFill>
            <a:schemeClr val="accent6"/>
          </a:solidFill>
          <a:ln>
            <a:noFill/>
          </a:ln>
          <a:effectLst>
            <a:outerShdw blurRad="254000" sx="102000" sy="102000" algn="ctr" rotWithShape="0">
              <a:prstClr val="black">
                <a:alpha val="20000"/>
              </a:prstClr>
            </a:outerShdw>
          </a:effectLst>
        </c:spPr>
      </c:pivotFmt>
      <c:pivotFmt>
        <c:idx val="2420"/>
        <c:spPr>
          <a:solidFill>
            <a:schemeClr val="accent6"/>
          </a:solidFill>
          <a:ln>
            <a:noFill/>
          </a:ln>
          <a:effectLst>
            <a:outerShdw blurRad="254000" sx="102000" sy="102000" algn="ctr" rotWithShape="0">
              <a:prstClr val="black">
                <a:alpha val="20000"/>
              </a:prstClr>
            </a:outerShdw>
          </a:effectLst>
        </c:spPr>
      </c:pivotFmt>
      <c:pivotFmt>
        <c:idx val="24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22"/>
        <c:spPr>
          <a:solidFill>
            <a:schemeClr val="accent6"/>
          </a:solidFill>
          <a:ln>
            <a:noFill/>
          </a:ln>
          <a:effectLst>
            <a:outerShdw blurRad="254000" sx="102000" sy="102000" algn="ctr" rotWithShape="0">
              <a:prstClr val="black">
                <a:alpha val="20000"/>
              </a:prstClr>
            </a:outerShdw>
          </a:effectLst>
        </c:spPr>
      </c:pivotFmt>
      <c:pivotFmt>
        <c:idx val="2423"/>
        <c:spPr>
          <a:solidFill>
            <a:schemeClr val="accent6"/>
          </a:solidFill>
          <a:ln>
            <a:noFill/>
          </a:ln>
          <a:effectLst>
            <a:outerShdw blurRad="254000" sx="102000" sy="102000" algn="ctr" rotWithShape="0">
              <a:prstClr val="black">
                <a:alpha val="20000"/>
              </a:prstClr>
            </a:outerShdw>
          </a:effectLst>
        </c:spPr>
      </c:pivotFmt>
      <c:pivotFmt>
        <c:idx val="2424"/>
        <c:spPr>
          <a:solidFill>
            <a:schemeClr val="accent6"/>
          </a:solidFill>
          <a:ln>
            <a:noFill/>
          </a:ln>
          <a:effectLst>
            <a:outerShdw blurRad="254000" sx="102000" sy="102000" algn="ctr" rotWithShape="0">
              <a:prstClr val="black">
                <a:alpha val="20000"/>
              </a:prstClr>
            </a:outerShdw>
          </a:effectLst>
        </c:spPr>
      </c:pivotFmt>
      <c:pivotFmt>
        <c:idx val="2425"/>
        <c:spPr>
          <a:solidFill>
            <a:schemeClr val="accent6"/>
          </a:solidFill>
          <a:ln>
            <a:noFill/>
          </a:ln>
          <a:effectLst>
            <a:outerShdw blurRad="254000" sx="102000" sy="102000" algn="ctr" rotWithShape="0">
              <a:prstClr val="black">
                <a:alpha val="20000"/>
              </a:prstClr>
            </a:outerShdw>
          </a:effectLst>
        </c:spPr>
      </c:pivotFmt>
      <c:pivotFmt>
        <c:idx val="2426"/>
        <c:spPr>
          <a:solidFill>
            <a:schemeClr val="accent6"/>
          </a:solidFill>
          <a:ln>
            <a:noFill/>
          </a:ln>
          <a:effectLst>
            <a:outerShdw blurRad="254000" sx="102000" sy="102000" algn="ctr" rotWithShape="0">
              <a:prstClr val="black">
                <a:alpha val="20000"/>
              </a:prstClr>
            </a:outerShdw>
          </a:effectLst>
        </c:spPr>
      </c:pivotFmt>
      <c:pivotFmt>
        <c:idx val="2427"/>
        <c:spPr>
          <a:solidFill>
            <a:schemeClr val="accent6"/>
          </a:solidFill>
          <a:ln>
            <a:noFill/>
          </a:ln>
          <a:effectLst>
            <a:outerShdw blurRad="254000" sx="102000" sy="102000" algn="ctr" rotWithShape="0">
              <a:prstClr val="black">
                <a:alpha val="20000"/>
              </a:prstClr>
            </a:outerShdw>
          </a:effectLst>
        </c:spPr>
      </c:pivotFmt>
      <c:pivotFmt>
        <c:idx val="2428"/>
        <c:spPr>
          <a:solidFill>
            <a:schemeClr val="accent6"/>
          </a:solidFill>
          <a:ln>
            <a:noFill/>
          </a:ln>
          <a:effectLst>
            <a:outerShdw blurRad="254000" sx="102000" sy="102000" algn="ctr" rotWithShape="0">
              <a:prstClr val="black">
                <a:alpha val="20000"/>
              </a:prstClr>
            </a:outerShdw>
          </a:effectLst>
        </c:spPr>
      </c:pivotFmt>
      <c:pivotFmt>
        <c:idx val="2429"/>
        <c:spPr>
          <a:solidFill>
            <a:schemeClr val="accent6"/>
          </a:solidFill>
          <a:ln>
            <a:noFill/>
          </a:ln>
          <a:effectLst>
            <a:outerShdw blurRad="254000" sx="102000" sy="102000" algn="ctr" rotWithShape="0">
              <a:prstClr val="black">
                <a:alpha val="20000"/>
              </a:prstClr>
            </a:outerShdw>
          </a:effectLst>
        </c:spPr>
      </c:pivotFmt>
      <c:pivotFmt>
        <c:idx val="2430"/>
        <c:spPr>
          <a:solidFill>
            <a:schemeClr val="accent6"/>
          </a:solidFill>
          <a:ln>
            <a:noFill/>
          </a:ln>
          <a:effectLst>
            <a:outerShdw blurRad="254000" sx="102000" sy="102000" algn="ctr" rotWithShape="0">
              <a:prstClr val="black">
                <a:alpha val="20000"/>
              </a:prstClr>
            </a:outerShdw>
          </a:effectLst>
        </c:spPr>
      </c:pivotFmt>
      <c:pivotFmt>
        <c:idx val="24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32"/>
        <c:spPr>
          <a:solidFill>
            <a:schemeClr val="accent6"/>
          </a:solidFill>
          <a:ln>
            <a:noFill/>
          </a:ln>
          <a:effectLst>
            <a:outerShdw blurRad="254000" sx="102000" sy="102000" algn="ctr" rotWithShape="0">
              <a:prstClr val="black">
                <a:alpha val="20000"/>
              </a:prstClr>
            </a:outerShdw>
          </a:effectLst>
        </c:spPr>
      </c:pivotFmt>
      <c:pivotFmt>
        <c:idx val="2433"/>
        <c:spPr>
          <a:solidFill>
            <a:schemeClr val="accent6"/>
          </a:solidFill>
          <a:ln>
            <a:noFill/>
          </a:ln>
          <a:effectLst>
            <a:outerShdw blurRad="254000" sx="102000" sy="102000" algn="ctr" rotWithShape="0">
              <a:prstClr val="black">
                <a:alpha val="20000"/>
              </a:prstClr>
            </a:outerShdw>
          </a:effectLst>
        </c:spPr>
      </c:pivotFmt>
      <c:pivotFmt>
        <c:idx val="2434"/>
        <c:spPr>
          <a:solidFill>
            <a:schemeClr val="accent6"/>
          </a:solidFill>
          <a:ln>
            <a:noFill/>
          </a:ln>
          <a:effectLst>
            <a:outerShdw blurRad="254000" sx="102000" sy="102000" algn="ctr" rotWithShape="0">
              <a:prstClr val="black">
                <a:alpha val="20000"/>
              </a:prstClr>
            </a:outerShdw>
          </a:effectLst>
        </c:spPr>
      </c:pivotFmt>
      <c:pivotFmt>
        <c:idx val="2435"/>
        <c:spPr>
          <a:solidFill>
            <a:schemeClr val="accent6"/>
          </a:solidFill>
          <a:ln>
            <a:noFill/>
          </a:ln>
          <a:effectLst>
            <a:outerShdw blurRad="254000" sx="102000" sy="102000" algn="ctr" rotWithShape="0">
              <a:prstClr val="black">
                <a:alpha val="20000"/>
              </a:prstClr>
            </a:outerShdw>
          </a:effectLst>
        </c:spPr>
      </c:pivotFmt>
      <c:pivotFmt>
        <c:idx val="2436"/>
        <c:spPr>
          <a:solidFill>
            <a:schemeClr val="accent6"/>
          </a:solidFill>
          <a:ln>
            <a:noFill/>
          </a:ln>
          <a:effectLst>
            <a:outerShdw blurRad="254000" sx="102000" sy="102000" algn="ctr" rotWithShape="0">
              <a:prstClr val="black">
                <a:alpha val="20000"/>
              </a:prstClr>
            </a:outerShdw>
          </a:effectLst>
        </c:spPr>
      </c:pivotFmt>
      <c:pivotFmt>
        <c:idx val="2437"/>
        <c:spPr>
          <a:solidFill>
            <a:schemeClr val="accent6"/>
          </a:solidFill>
          <a:ln>
            <a:noFill/>
          </a:ln>
          <a:effectLst>
            <a:outerShdw blurRad="254000" sx="102000" sy="102000" algn="ctr" rotWithShape="0">
              <a:prstClr val="black">
                <a:alpha val="20000"/>
              </a:prstClr>
            </a:outerShdw>
          </a:effectLst>
        </c:spPr>
      </c:pivotFmt>
      <c:pivotFmt>
        <c:idx val="2438"/>
        <c:spPr>
          <a:solidFill>
            <a:schemeClr val="accent6"/>
          </a:solidFill>
          <a:ln>
            <a:noFill/>
          </a:ln>
          <a:effectLst>
            <a:outerShdw blurRad="254000" sx="102000" sy="102000" algn="ctr" rotWithShape="0">
              <a:prstClr val="black">
                <a:alpha val="20000"/>
              </a:prstClr>
            </a:outerShdw>
          </a:effectLst>
        </c:spPr>
      </c:pivotFmt>
      <c:pivotFmt>
        <c:idx val="2439"/>
        <c:spPr>
          <a:solidFill>
            <a:schemeClr val="accent6"/>
          </a:solidFill>
          <a:ln>
            <a:noFill/>
          </a:ln>
          <a:effectLst>
            <a:outerShdw blurRad="254000" sx="102000" sy="102000" algn="ctr" rotWithShape="0">
              <a:prstClr val="black">
                <a:alpha val="20000"/>
              </a:prstClr>
            </a:outerShdw>
          </a:effectLst>
        </c:spPr>
      </c:pivotFmt>
      <c:pivotFmt>
        <c:idx val="2440"/>
        <c:spPr>
          <a:solidFill>
            <a:schemeClr val="accent6"/>
          </a:solidFill>
          <a:ln>
            <a:noFill/>
          </a:ln>
          <a:effectLst>
            <a:outerShdw blurRad="254000" sx="102000" sy="102000" algn="ctr" rotWithShape="0">
              <a:prstClr val="black">
                <a:alpha val="20000"/>
              </a:prstClr>
            </a:outerShdw>
          </a:effectLst>
        </c:spPr>
      </c:pivotFmt>
      <c:pivotFmt>
        <c:idx val="244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42"/>
        <c:spPr>
          <a:solidFill>
            <a:schemeClr val="accent6"/>
          </a:solidFill>
          <a:ln>
            <a:noFill/>
          </a:ln>
          <a:effectLst>
            <a:outerShdw blurRad="254000" sx="102000" sy="102000" algn="ctr" rotWithShape="0">
              <a:prstClr val="black">
                <a:alpha val="20000"/>
              </a:prstClr>
            </a:outerShdw>
          </a:effectLst>
        </c:spPr>
      </c:pivotFmt>
      <c:pivotFmt>
        <c:idx val="2443"/>
        <c:spPr>
          <a:solidFill>
            <a:schemeClr val="accent6"/>
          </a:solidFill>
          <a:ln>
            <a:noFill/>
          </a:ln>
          <a:effectLst>
            <a:outerShdw blurRad="254000" sx="102000" sy="102000" algn="ctr" rotWithShape="0">
              <a:prstClr val="black">
                <a:alpha val="20000"/>
              </a:prstClr>
            </a:outerShdw>
          </a:effectLst>
        </c:spPr>
      </c:pivotFmt>
      <c:pivotFmt>
        <c:idx val="2444"/>
        <c:spPr>
          <a:solidFill>
            <a:schemeClr val="accent6"/>
          </a:solidFill>
          <a:ln>
            <a:noFill/>
          </a:ln>
          <a:effectLst>
            <a:outerShdw blurRad="254000" sx="102000" sy="102000" algn="ctr" rotWithShape="0">
              <a:prstClr val="black">
                <a:alpha val="20000"/>
              </a:prstClr>
            </a:outerShdw>
          </a:effectLst>
        </c:spPr>
      </c:pivotFmt>
      <c:pivotFmt>
        <c:idx val="2445"/>
        <c:spPr>
          <a:solidFill>
            <a:schemeClr val="accent6"/>
          </a:solidFill>
          <a:ln>
            <a:noFill/>
          </a:ln>
          <a:effectLst>
            <a:outerShdw blurRad="254000" sx="102000" sy="102000" algn="ctr" rotWithShape="0">
              <a:prstClr val="black">
                <a:alpha val="20000"/>
              </a:prstClr>
            </a:outerShdw>
          </a:effectLst>
        </c:spPr>
      </c:pivotFmt>
      <c:pivotFmt>
        <c:idx val="2446"/>
        <c:spPr>
          <a:solidFill>
            <a:schemeClr val="accent6"/>
          </a:solidFill>
          <a:ln>
            <a:noFill/>
          </a:ln>
          <a:effectLst>
            <a:outerShdw blurRad="254000" sx="102000" sy="102000" algn="ctr" rotWithShape="0">
              <a:prstClr val="black">
                <a:alpha val="20000"/>
              </a:prstClr>
            </a:outerShdw>
          </a:effectLst>
        </c:spPr>
      </c:pivotFmt>
      <c:pivotFmt>
        <c:idx val="2447"/>
        <c:spPr>
          <a:solidFill>
            <a:schemeClr val="accent6"/>
          </a:solidFill>
          <a:ln>
            <a:noFill/>
          </a:ln>
          <a:effectLst>
            <a:outerShdw blurRad="254000" sx="102000" sy="102000" algn="ctr" rotWithShape="0">
              <a:prstClr val="black">
                <a:alpha val="20000"/>
              </a:prstClr>
            </a:outerShdw>
          </a:effectLst>
        </c:spPr>
      </c:pivotFmt>
      <c:pivotFmt>
        <c:idx val="2448"/>
        <c:spPr>
          <a:solidFill>
            <a:schemeClr val="accent6"/>
          </a:solidFill>
          <a:ln>
            <a:noFill/>
          </a:ln>
          <a:effectLst>
            <a:outerShdw blurRad="254000" sx="102000" sy="102000" algn="ctr" rotWithShape="0">
              <a:prstClr val="black">
                <a:alpha val="20000"/>
              </a:prstClr>
            </a:outerShdw>
          </a:effectLst>
        </c:spPr>
      </c:pivotFmt>
      <c:pivotFmt>
        <c:idx val="2449"/>
        <c:spPr>
          <a:solidFill>
            <a:schemeClr val="accent6"/>
          </a:solidFill>
          <a:ln>
            <a:noFill/>
          </a:ln>
          <a:effectLst>
            <a:outerShdw blurRad="254000" sx="102000" sy="102000" algn="ctr" rotWithShape="0">
              <a:prstClr val="black">
                <a:alpha val="20000"/>
              </a:prstClr>
            </a:outerShdw>
          </a:effectLst>
        </c:spPr>
      </c:pivotFmt>
      <c:pivotFmt>
        <c:idx val="2450"/>
        <c:spPr>
          <a:solidFill>
            <a:schemeClr val="accent6"/>
          </a:solidFill>
          <a:ln>
            <a:noFill/>
          </a:ln>
          <a:effectLst>
            <a:outerShdw blurRad="254000" sx="102000" sy="102000" algn="ctr" rotWithShape="0">
              <a:prstClr val="black">
                <a:alpha val="20000"/>
              </a:prstClr>
            </a:outerShdw>
          </a:effectLst>
        </c:spPr>
      </c:pivotFmt>
      <c:pivotFmt>
        <c:idx val="24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52"/>
        <c:spPr>
          <a:solidFill>
            <a:schemeClr val="accent6"/>
          </a:solidFill>
          <a:ln>
            <a:noFill/>
          </a:ln>
          <a:effectLst>
            <a:outerShdw blurRad="254000" sx="102000" sy="102000" algn="ctr" rotWithShape="0">
              <a:prstClr val="black">
                <a:alpha val="20000"/>
              </a:prstClr>
            </a:outerShdw>
          </a:effectLst>
        </c:spPr>
      </c:pivotFmt>
      <c:pivotFmt>
        <c:idx val="2453"/>
        <c:spPr>
          <a:solidFill>
            <a:schemeClr val="accent6"/>
          </a:solidFill>
          <a:ln>
            <a:noFill/>
          </a:ln>
          <a:effectLst>
            <a:outerShdw blurRad="254000" sx="102000" sy="102000" algn="ctr" rotWithShape="0">
              <a:prstClr val="black">
                <a:alpha val="20000"/>
              </a:prstClr>
            </a:outerShdw>
          </a:effectLst>
        </c:spPr>
      </c:pivotFmt>
      <c:pivotFmt>
        <c:idx val="2454"/>
        <c:spPr>
          <a:solidFill>
            <a:schemeClr val="accent6"/>
          </a:solidFill>
          <a:ln>
            <a:noFill/>
          </a:ln>
          <a:effectLst>
            <a:outerShdw blurRad="254000" sx="102000" sy="102000" algn="ctr" rotWithShape="0">
              <a:prstClr val="black">
                <a:alpha val="20000"/>
              </a:prstClr>
            </a:outerShdw>
          </a:effectLst>
        </c:spPr>
      </c:pivotFmt>
      <c:pivotFmt>
        <c:idx val="2455"/>
        <c:spPr>
          <a:solidFill>
            <a:schemeClr val="accent6"/>
          </a:solidFill>
          <a:ln>
            <a:noFill/>
          </a:ln>
          <a:effectLst>
            <a:outerShdw blurRad="254000" sx="102000" sy="102000" algn="ctr" rotWithShape="0">
              <a:prstClr val="black">
                <a:alpha val="20000"/>
              </a:prstClr>
            </a:outerShdw>
          </a:effectLst>
        </c:spPr>
      </c:pivotFmt>
      <c:pivotFmt>
        <c:idx val="2456"/>
        <c:spPr>
          <a:solidFill>
            <a:schemeClr val="accent6"/>
          </a:solidFill>
          <a:ln>
            <a:noFill/>
          </a:ln>
          <a:effectLst>
            <a:outerShdw blurRad="254000" sx="102000" sy="102000" algn="ctr" rotWithShape="0">
              <a:prstClr val="black">
                <a:alpha val="20000"/>
              </a:prstClr>
            </a:outerShdw>
          </a:effectLst>
        </c:spPr>
      </c:pivotFmt>
      <c:pivotFmt>
        <c:idx val="2457"/>
        <c:spPr>
          <a:solidFill>
            <a:schemeClr val="accent6"/>
          </a:solidFill>
          <a:ln>
            <a:noFill/>
          </a:ln>
          <a:effectLst>
            <a:outerShdw blurRad="254000" sx="102000" sy="102000" algn="ctr" rotWithShape="0">
              <a:prstClr val="black">
                <a:alpha val="20000"/>
              </a:prstClr>
            </a:outerShdw>
          </a:effectLst>
        </c:spPr>
      </c:pivotFmt>
      <c:pivotFmt>
        <c:idx val="2458"/>
        <c:spPr>
          <a:solidFill>
            <a:schemeClr val="accent6"/>
          </a:solidFill>
          <a:ln>
            <a:noFill/>
          </a:ln>
          <a:effectLst>
            <a:outerShdw blurRad="254000" sx="102000" sy="102000" algn="ctr" rotWithShape="0">
              <a:prstClr val="black">
                <a:alpha val="20000"/>
              </a:prstClr>
            </a:outerShdw>
          </a:effectLst>
        </c:spPr>
      </c:pivotFmt>
      <c:pivotFmt>
        <c:idx val="2459"/>
        <c:spPr>
          <a:solidFill>
            <a:schemeClr val="accent6"/>
          </a:solidFill>
          <a:ln>
            <a:noFill/>
          </a:ln>
          <a:effectLst>
            <a:outerShdw blurRad="254000" sx="102000" sy="102000" algn="ctr" rotWithShape="0">
              <a:prstClr val="black">
                <a:alpha val="20000"/>
              </a:prstClr>
            </a:outerShdw>
          </a:effectLst>
        </c:spPr>
      </c:pivotFmt>
      <c:pivotFmt>
        <c:idx val="2460"/>
        <c:spPr>
          <a:solidFill>
            <a:schemeClr val="accent6"/>
          </a:solidFill>
          <a:ln>
            <a:noFill/>
          </a:ln>
          <a:effectLst>
            <a:outerShdw blurRad="254000" sx="102000" sy="102000" algn="ctr" rotWithShape="0">
              <a:prstClr val="black">
                <a:alpha val="20000"/>
              </a:prstClr>
            </a:outerShdw>
          </a:effectLst>
        </c:spPr>
      </c:pivotFmt>
      <c:pivotFmt>
        <c:idx val="24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62"/>
        <c:spPr>
          <a:solidFill>
            <a:schemeClr val="accent6"/>
          </a:solidFill>
          <a:ln>
            <a:noFill/>
          </a:ln>
          <a:effectLst>
            <a:outerShdw blurRad="254000" sx="102000" sy="102000" algn="ctr" rotWithShape="0">
              <a:prstClr val="black">
                <a:alpha val="20000"/>
              </a:prstClr>
            </a:outerShdw>
          </a:effectLst>
        </c:spPr>
      </c:pivotFmt>
      <c:pivotFmt>
        <c:idx val="2463"/>
        <c:spPr>
          <a:solidFill>
            <a:schemeClr val="accent6"/>
          </a:solidFill>
          <a:ln>
            <a:noFill/>
          </a:ln>
          <a:effectLst>
            <a:outerShdw blurRad="254000" sx="102000" sy="102000" algn="ctr" rotWithShape="0">
              <a:prstClr val="black">
                <a:alpha val="20000"/>
              </a:prstClr>
            </a:outerShdw>
          </a:effectLst>
        </c:spPr>
      </c:pivotFmt>
      <c:pivotFmt>
        <c:idx val="2464"/>
        <c:spPr>
          <a:solidFill>
            <a:schemeClr val="accent6"/>
          </a:solidFill>
          <a:ln>
            <a:noFill/>
          </a:ln>
          <a:effectLst>
            <a:outerShdw blurRad="254000" sx="102000" sy="102000" algn="ctr" rotWithShape="0">
              <a:prstClr val="black">
                <a:alpha val="20000"/>
              </a:prstClr>
            </a:outerShdw>
          </a:effectLst>
        </c:spPr>
      </c:pivotFmt>
      <c:pivotFmt>
        <c:idx val="2465"/>
        <c:spPr>
          <a:solidFill>
            <a:schemeClr val="accent6"/>
          </a:solidFill>
          <a:ln>
            <a:noFill/>
          </a:ln>
          <a:effectLst>
            <a:outerShdw blurRad="254000" sx="102000" sy="102000" algn="ctr" rotWithShape="0">
              <a:prstClr val="black">
                <a:alpha val="20000"/>
              </a:prstClr>
            </a:outerShdw>
          </a:effectLst>
        </c:spPr>
      </c:pivotFmt>
      <c:pivotFmt>
        <c:idx val="2466"/>
        <c:spPr>
          <a:solidFill>
            <a:schemeClr val="accent6"/>
          </a:solidFill>
          <a:ln>
            <a:noFill/>
          </a:ln>
          <a:effectLst>
            <a:outerShdw blurRad="254000" sx="102000" sy="102000" algn="ctr" rotWithShape="0">
              <a:prstClr val="black">
                <a:alpha val="20000"/>
              </a:prstClr>
            </a:outerShdw>
          </a:effectLst>
        </c:spPr>
      </c:pivotFmt>
      <c:pivotFmt>
        <c:idx val="2467"/>
        <c:spPr>
          <a:solidFill>
            <a:schemeClr val="accent6"/>
          </a:solidFill>
          <a:ln>
            <a:noFill/>
          </a:ln>
          <a:effectLst>
            <a:outerShdw blurRad="254000" sx="102000" sy="102000" algn="ctr" rotWithShape="0">
              <a:prstClr val="black">
                <a:alpha val="20000"/>
              </a:prstClr>
            </a:outerShdw>
          </a:effectLst>
        </c:spPr>
      </c:pivotFmt>
      <c:pivotFmt>
        <c:idx val="2468"/>
        <c:spPr>
          <a:solidFill>
            <a:schemeClr val="accent6"/>
          </a:solidFill>
          <a:ln>
            <a:noFill/>
          </a:ln>
          <a:effectLst>
            <a:outerShdw blurRad="254000" sx="102000" sy="102000" algn="ctr" rotWithShape="0">
              <a:prstClr val="black">
                <a:alpha val="20000"/>
              </a:prstClr>
            </a:outerShdw>
          </a:effectLst>
        </c:spPr>
      </c:pivotFmt>
      <c:pivotFmt>
        <c:idx val="2469"/>
        <c:spPr>
          <a:solidFill>
            <a:schemeClr val="accent6"/>
          </a:solidFill>
          <a:ln>
            <a:noFill/>
          </a:ln>
          <a:effectLst>
            <a:outerShdw blurRad="254000" sx="102000" sy="102000" algn="ctr" rotWithShape="0">
              <a:prstClr val="black">
                <a:alpha val="20000"/>
              </a:prstClr>
            </a:outerShdw>
          </a:effectLst>
        </c:spPr>
      </c:pivotFmt>
      <c:pivotFmt>
        <c:idx val="2470"/>
        <c:spPr>
          <a:solidFill>
            <a:schemeClr val="accent6"/>
          </a:solidFill>
          <a:ln>
            <a:noFill/>
          </a:ln>
          <a:effectLst>
            <a:outerShdw blurRad="254000" sx="102000" sy="102000" algn="ctr" rotWithShape="0">
              <a:prstClr val="black">
                <a:alpha val="20000"/>
              </a:prstClr>
            </a:outerShdw>
          </a:effectLst>
        </c:spPr>
      </c:pivotFmt>
      <c:pivotFmt>
        <c:idx val="24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72"/>
        <c:spPr>
          <a:solidFill>
            <a:schemeClr val="accent6"/>
          </a:solidFill>
          <a:ln>
            <a:noFill/>
          </a:ln>
          <a:effectLst>
            <a:outerShdw blurRad="254000" sx="102000" sy="102000" algn="ctr" rotWithShape="0">
              <a:prstClr val="black">
                <a:alpha val="20000"/>
              </a:prstClr>
            </a:outerShdw>
          </a:effectLst>
        </c:spPr>
      </c:pivotFmt>
      <c:pivotFmt>
        <c:idx val="2473"/>
        <c:spPr>
          <a:solidFill>
            <a:schemeClr val="accent6"/>
          </a:solidFill>
          <a:ln>
            <a:noFill/>
          </a:ln>
          <a:effectLst>
            <a:outerShdw blurRad="254000" sx="102000" sy="102000" algn="ctr" rotWithShape="0">
              <a:prstClr val="black">
                <a:alpha val="20000"/>
              </a:prstClr>
            </a:outerShdw>
          </a:effectLst>
        </c:spPr>
      </c:pivotFmt>
      <c:pivotFmt>
        <c:idx val="2474"/>
        <c:spPr>
          <a:solidFill>
            <a:schemeClr val="accent6"/>
          </a:solidFill>
          <a:ln>
            <a:noFill/>
          </a:ln>
          <a:effectLst>
            <a:outerShdw blurRad="254000" sx="102000" sy="102000" algn="ctr" rotWithShape="0">
              <a:prstClr val="black">
                <a:alpha val="20000"/>
              </a:prstClr>
            </a:outerShdw>
          </a:effectLst>
        </c:spPr>
      </c:pivotFmt>
      <c:pivotFmt>
        <c:idx val="2475"/>
        <c:spPr>
          <a:solidFill>
            <a:schemeClr val="accent6"/>
          </a:solidFill>
          <a:ln>
            <a:noFill/>
          </a:ln>
          <a:effectLst>
            <a:outerShdw blurRad="254000" sx="102000" sy="102000" algn="ctr" rotWithShape="0">
              <a:prstClr val="black">
                <a:alpha val="20000"/>
              </a:prstClr>
            </a:outerShdw>
          </a:effectLst>
        </c:spPr>
      </c:pivotFmt>
      <c:pivotFmt>
        <c:idx val="2476"/>
        <c:spPr>
          <a:solidFill>
            <a:schemeClr val="accent6"/>
          </a:solidFill>
          <a:ln>
            <a:noFill/>
          </a:ln>
          <a:effectLst>
            <a:outerShdw blurRad="254000" sx="102000" sy="102000" algn="ctr" rotWithShape="0">
              <a:prstClr val="black">
                <a:alpha val="20000"/>
              </a:prstClr>
            </a:outerShdw>
          </a:effectLst>
        </c:spPr>
      </c:pivotFmt>
      <c:pivotFmt>
        <c:idx val="2477"/>
        <c:spPr>
          <a:solidFill>
            <a:schemeClr val="accent6"/>
          </a:solidFill>
          <a:ln>
            <a:noFill/>
          </a:ln>
          <a:effectLst>
            <a:outerShdw blurRad="254000" sx="102000" sy="102000" algn="ctr" rotWithShape="0">
              <a:prstClr val="black">
                <a:alpha val="20000"/>
              </a:prstClr>
            </a:outerShdw>
          </a:effectLst>
        </c:spPr>
      </c:pivotFmt>
      <c:pivotFmt>
        <c:idx val="2478"/>
        <c:spPr>
          <a:solidFill>
            <a:schemeClr val="accent6"/>
          </a:solidFill>
          <a:ln>
            <a:noFill/>
          </a:ln>
          <a:effectLst>
            <a:outerShdw blurRad="254000" sx="102000" sy="102000" algn="ctr" rotWithShape="0">
              <a:prstClr val="black">
                <a:alpha val="20000"/>
              </a:prstClr>
            </a:outerShdw>
          </a:effectLst>
        </c:spPr>
      </c:pivotFmt>
      <c:pivotFmt>
        <c:idx val="2479"/>
        <c:spPr>
          <a:solidFill>
            <a:schemeClr val="accent6"/>
          </a:solidFill>
          <a:ln>
            <a:noFill/>
          </a:ln>
          <a:effectLst>
            <a:outerShdw blurRad="254000" sx="102000" sy="102000" algn="ctr" rotWithShape="0">
              <a:prstClr val="black">
                <a:alpha val="20000"/>
              </a:prstClr>
            </a:outerShdw>
          </a:effectLst>
        </c:spPr>
      </c:pivotFmt>
      <c:pivotFmt>
        <c:idx val="2480"/>
        <c:spPr>
          <a:solidFill>
            <a:schemeClr val="accent6"/>
          </a:solidFill>
          <a:ln>
            <a:noFill/>
          </a:ln>
          <a:effectLst>
            <a:outerShdw blurRad="254000" sx="102000" sy="102000" algn="ctr" rotWithShape="0">
              <a:prstClr val="black">
                <a:alpha val="20000"/>
              </a:prstClr>
            </a:outerShdw>
          </a:effectLst>
        </c:spPr>
      </c:pivotFmt>
      <c:pivotFmt>
        <c:idx val="248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48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8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48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8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8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8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8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8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9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9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4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9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94"/>
        <c:spPr>
          <a:solidFill>
            <a:schemeClr val="accent6"/>
          </a:solidFill>
          <a:ln>
            <a:noFill/>
          </a:ln>
          <a:effectLst>
            <a:outerShdw blurRad="254000" sx="102000" sy="102000" algn="ctr" rotWithShape="0">
              <a:prstClr val="black">
                <a:alpha val="20000"/>
              </a:prstClr>
            </a:outerShdw>
          </a:effectLst>
        </c:spPr>
      </c:pivotFmt>
      <c:pivotFmt>
        <c:idx val="2495"/>
        <c:spPr>
          <a:solidFill>
            <a:schemeClr val="accent6"/>
          </a:solidFill>
          <a:ln>
            <a:noFill/>
          </a:ln>
          <a:effectLst>
            <a:outerShdw blurRad="254000" sx="102000" sy="102000" algn="ctr" rotWithShape="0">
              <a:prstClr val="black">
                <a:alpha val="20000"/>
              </a:prstClr>
            </a:outerShdw>
          </a:effectLst>
        </c:spPr>
      </c:pivotFmt>
      <c:pivotFmt>
        <c:idx val="2496"/>
        <c:spPr>
          <a:solidFill>
            <a:schemeClr val="accent6"/>
          </a:solidFill>
          <a:ln>
            <a:noFill/>
          </a:ln>
          <a:effectLst>
            <a:outerShdw blurRad="254000" sx="102000" sy="102000" algn="ctr" rotWithShape="0">
              <a:prstClr val="black">
                <a:alpha val="20000"/>
              </a:prstClr>
            </a:outerShdw>
          </a:effectLst>
        </c:spPr>
      </c:pivotFmt>
      <c:pivotFmt>
        <c:idx val="2497"/>
        <c:spPr>
          <a:solidFill>
            <a:schemeClr val="accent6"/>
          </a:solidFill>
          <a:ln>
            <a:noFill/>
          </a:ln>
          <a:effectLst>
            <a:outerShdw blurRad="254000" sx="102000" sy="102000" algn="ctr" rotWithShape="0">
              <a:prstClr val="black">
                <a:alpha val="20000"/>
              </a:prstClr>
            </a:outerShdw>
          </a:effectLst>
        </c:spPr>
      </c:pivotFmt>
      <c:pivotFmt>
        <c:idx val="2498"/>
        <c:spPr>
          <a:solidFill>
            <a:schemeClr val="accent6"/>
          </a:solidFill>
          <a:ln>
            <a:noFill/>
          </a:ln>
          <a:effectLst>
            <a:outerShdw blurRad="254000" sx="102000" sy="102000" algn="ctr" rotWithShape="0">
              <a:prstClr val="black">
                <a:alpha val="20000"/>
              </a:prstClr>
            </a:outerShdw>
          </a:effectLst>
        </c:spPr>
      </c:pivotFmt>
      <c:pivotFmt>
        <c:idx val="2499"/>
        <c:spPr>
          <a:solidFill>
            <a:schemeClr val="accent6"/>
          </a:solidFill>
          <a:ln>
            <a:noFill/>
          </a:ln>
          <a:effectLst>
            <a:outerShdw blurRad="254000" sx="102000" sy="102000" algn="ctr" rotWithShape="0">
              <a:prstClr val="black">
                <a:alpha val="20000"/>
              </a:prstClr>
            </a:outerShdw>
          </a:effectLst>
        </c:spPr>
      </c:pivotFmt>
      <c:pivotFmt>
        <c:idx val="2500"/>
        <c:spPr>
          <a:solidFill>
            <a:schemeClr val="accent6"/>
          </a:solidFill>
          <a:ln>
            <a:noFill/>
          </a:ln>
          <a:effectLst>
            <a:outerShdw blurRad="254000" sx="102000" sy="102000" algn="ctr" rotWithShape="0">
              <a:prstClr val="black">
                <a:alpha val="20000"/>
              </a:prstClr>
            </a:outerShdw>
          </a:effectLst>
        </c:spPr>
      </c:pivotFmt>
      <c:pivotFmt>
        <c:idx val="2501"/>
        <c:spPr>
          <a:solidFill>
            <a:schemeClr val="accent6"/>
          </a:solidFill>
          <a:ln>
            <a:noFill/>
          </a:ln>
          <a:effectLst>
            <a:outerShdw blurRad="254000" sx="102000" sy="102000" algn="ctr" rotWithShape="0">
              <a:prstClr val="black">
                <a:alpha val="20000"/>
              </a:prstClr>
            </a:outerShdw>
          </a:effectLst>
        </c:spPr>
      </c:pivotFmt>
      <c:pivotFmt>
        <c:idx val="2502"/>
        <c:spPr>
          <a:solidFill>
            <a:schemeClr val="accent6"/>
          </a:solidFill>
          <a:ln>
            <a:noFill/>
          </a:ln>
          <a:effectLst>
            <a:outerShdw blurRad="254000" sx="102000" sy="102000" algn="ctr" rotWithShape="0">
              <a:prstClr val="black">
                <a:alpha val="20000"/>
              </a:prstClr>
            </a:outerShdw>
          </a:effectLst>
        </c:spPr>
      </c:pivotFmt>
      <c:pivotFmt>
        <c:idx val="250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0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0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0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0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08"/>
        <c:spPr>
          <a:solidFill>
            <a:schemeClr val="accent6"/>
          </a:solidFill>
          <a:ln>
            <a:noFill/>
          </a:ln>
          <a:effectLst>
            <a:outerShdw blurRad="254000" sx="102000" sy="102000" algn="ctr" rotWithShape="0">
              <a:prstClr val="black">
                <a:alpha val="20000"/>
              </a:prstClr>
            </a:outerShdw>
          </a:effectLst>
        </c:spPr>
      </c:pivotFmt>
      <c:pivotFmt>
        <c:idx val="2509"/>
        <c:spPr>
          <a:solidFill>
            <a:schemeClr val="accent6"/>
          </a:solidFill>
          <a:ln>
            <a:noFill/>
          </a:ln>
          <a:effectLst>
            <a:outerShdw blurRad="254000" sx="102000" sy="102000" algn="ctr" rotWithShape="0">
              <a:prstClr val="black">
                <a:alpha val="20000"/>
              </a:prstClr>
            </a:outerShdw>
          </a:effectLst>
        </c:spPr>
      </c:pivotFmt>
      <c:pivotFmt>
        <c:idx val="2510"/>
        <c:spPr>
          <a:solidFill>
            <a:schemeClr val="accent6"/>
          </a:solidFill>
          <a:ln>
            <a:noFill/>
          </a:ln>
          <a:effectLst>
            <a:outerShdw blurRad="254000" sx="102000" sy="102000" algn="ctr" rotWithShape="0">
              <a:prstClr val="black">
                <a:alpha val="20000"/>
              </a:prstClr>
            </a:outerShdw>
          </a:effectLst>
        </c:spPr>
      </c:pivotFmt>
      <c:pivotFmt>
        <c:idx val="2511"/>
        <c:spPr>
          <a:solidFill>
            <a:schemeClr val="accent6"/>
          </a:solidFill>
          <a:ln>
            <a:noFill/>
          </a:ln>
          <a:effectLst>
            <a:outerShdw blurRad="254000" sx="102000" sy="102000" algn="ctr" rotWithShape="0">
              <a:prstClr val="black">
                <a:alpha val="20000"/>
              </a:prstClr>
            </a:outerShdw>
          </a:effectLst>
        </c:spPr>
      </c:pivotFmt>
      <c:pivotFmt>
        <c:idx val="2512"/>
        <c:spPr>
          <a:solidFill>
            <a:schemeClr val="accent6"/>
          </a:solidFill>
          <a:ln>
            <a:noFill/>
          </a:ln>
          <a:effectLst>
            <a:outerShdw blurRad="254000" sx="102000" sy="102000" algn="ctr" rotWithShape="0">
              <a:prstClr val="black">
                <a:alpha val="20000"/>
              </a:prstClr>
            </a:outerShdw>
          </a:effectLst>
        </c:spPr>
      </c:pivotFmt>
      <c:pivotFmt>
        <c:idx val="2513"/>
        <c:spPr>
          <a:solidFill>
            <a:schemeClr val="accent6"/>
          </a:solidFill>
          <a:ln>
            <a:noFill/>
          </a:ln>
          <a:effectLst>
            <a:outerShdw blurRad="254000" sx="102000" sy="102000" algn="ctr" rotWithShape="0">
              <a:prstClr val="black">
                <a:alpha val="20000"/>
              </a:prstClr>
            </a:outerShdw>
          </a:effectLst>
        </c:spPr>
      </c:pivotFmt>
      <c:pivotFmt>
        <c:idx val="2514"/>
        <c:spPr>
          <a:solidFill>
            <a:schemeClr val="accent6"/>
          </a:solidFill>
          <a:ln>
            <a:noFill/>
          </a:ln>
          <a:effectLst>
            <a:outerShdw blurRad="254000" sx="102000" sy="102000" algn="ctr" rotWithShape="0">
              <a:prstClr val="black">
                <a:alpha val="20000"/>
              </a:prstClr>
            </a:outerShdw>
          </a:effectLst>
        </c:spPr>
      </c:pivotFmt>
      <c:pivotFmt>
        <c:idx val="2515"/>
        <c:spPr>
          <a:solidFill>
            <a:schemeClr val="accent6"/>
          </a:solidFill>
          <a:ln>
            <a:noFill/>
          </a:ln>
          <a:effectLst>
            <a:outerShdw blurRad="254000" sx="102000" sy="102000" algn="ctr" rotWithShape="0">
              <a:prstClr val="black">
                <a:alpha val="20000"/>
              </a:prstClr>
            </a:outerShdw>
          </a:effectLst>
        </c:spPr>
      </c:pivotFmt>
      <c:pivotFmt>
        <c:idx val="2516"/>
        <c:spPr>
          <a:solidFill>
            <a:schemeClr val="accent6"/>
          </a:solidFill>
          <a:ln>
            <a:noFill/>
          </a:ln>
          <a:effectLst>
            <a:outerShdw blurRad="254000" sx="102000" sy="102000" algn="ctr" rotWithShape="0">
              <a:prstClr val="black">
                <a:alpha val="20000"/>
              </a:prstClr>
            </a:outerShdw>
          </a:effectLst>
        </c:spPr>
      </c:pivotFmt>
      <c:pivotFmt>
        <c:idx val="2517"/>
        <c:spPr>
          <a:solidFill>
            <a:schemeClr val="accent6"/>
          </a:solidFill>
          <a:ln>
            <a:noFill/>
          </a:ln>
          <a:effectLst>
            <a:outerShdw blurRad="254000" sx="102000" sy="102000" algn="ctr" rotWithShape="0">
              <a:prstClr val="black">
                <a:alpha val="20000"/>
              </a:prstClr>
            </a:outerShdw>
          </a:effectLst>
        </c:spPr>
      </c:pivotFmt>
      <c:pivotFmt>
        <c:idx val="2518"/>
        <c:spPr>
          <a:solidFill>
            <a:schemeClr val="accent6"/>
          </a:solidFill>
          <a:ln>
            <a:noFill/>
          </a:ln>
          <a:effectLst>
            <a:outerShdw blurRad="254000" sx="102000" sy="102000" algn="ctr" rotWithShape="0">
              <a:prstClr val="black">
                <a:alpha val="20000"/>
              </a:prstClr>
            </a:outerShdw>
          </a:effectLst>
        </c:spPr>
      </c:pivotFmt>
      <c:pivotFmt>
        <c:idx val="2519"/>
        <c:spPr>
          <a:solidFill>
            <a:schemeClr val="accent6"/>
          </a:solidFill>
          <a:ln>
            <a:noFill/>
          </a:ln>
          <a:effectLst>
            <a:outerShdw blurRad="254000" sx="102000" sy="102000" algn="ctr" rotWithShape="0">
              <a:prstClr val="black">
                <a:alpha val="20000"/>
              </a:prstClr>
            </a:outerShdw>
          </a:effectLst>
        </c:spPr>
      </c:pivotFmt>
      <c:pivotFmt>
        <c:idx val="2520"/>
        <c:spPr>
          <a:solidFill>
            <a:schemeClr val="accent6"/>
          </a:solidFill>
          <a:ln>
            <a:noFill/>
          </a:ln>
          <a:effectLst>
            <a:outerShdw blurRad="254000" sx="102000" sy="102000" algn="ctr" rotWithShape="0">
              <a:prstClr val="black">
                <a:alpha val="20000"/>
              </a:prstClr>
            </a:outerShdw>
          </a:effectLst>
        </c:spPr>
      </c:pivotFmt>
      <c:pivotFmt>
        <c:idx val="2521"/>
        <c:spPr>
          <a:solidFill>
            <a:schemeClr val="accent6"/>
          </a:solidFill>
          <a:ln>
            <a:noFill/>
          </a:ln>
          <a:effectLst>
            <a:outerShdw blurRad="254000" sx="102000" sy="102000" algn="ctr" rotWithShape="0">
              <a:prstClr val="black">
                <a:alpha val="20000"/>
              </a:prstClr>
            </a:outerShdw>
          </a:effectLst>
        </c:spPr>
      </c:pivotFmt>
      <c:pivotFmt>
        <c:idx val="2522"/>
        <c:spPr>
          <a:solidFill>
            <a:schemeClr val="accent6"/>
          </a:solidFill>
          <a:ln>
            <a:noFill/>
          </a:ln>
          <a:effectLst>
            <a:outerShdw blurRad="254000" sx="102000" sy="102000" algn="ctr" rotWithShape="0">
              <a:prstClr val="black">
                <a:alpha val="20000"/>
              </a:prstClr>
            </a:outerShdw>
          </a:effectLst>
        </c:spPr>
      </c:pivotFmt>
      <c:pivotFmt>
        <c:idx val="2523"/>
        <c:spPr>
          <a:solidFill>
            <a:schemeClr val="accent6"/>
          </a:solidFill>
          <a:ln>
            <a:noFill/>
          </a:ln>
          <a:effectLst>
            <a:outerShdw blurRad="254000" sx="102000" sy="102000" algn="ctr" rotWithShape="0">
              <a:prstClr val="black">
                <a:alpha val="20000"/>
              </a:prstClr>
            </a:outerShdw>
          </a:effectLst>
        </c:spPr>
      </c:pivotFmt>
      <c:pivotFmt>
        <c:idx val="2524"/>
        <c:spPr>
          <a:solidFill>
            <a:schemeClr val="accent6"/>
          </a:solidFill>
          <a:ln>
            <a:noFill/>
          </a:ln>
          <a:effectLst>
            <a:outerShdw blurRad="254000" sx="102000" sy="102000" algn="ctr" rotWithShape="0">
              <a:prstClr val="black">
                <a:alpha val="20000"/>
              </a:prstClr>
            </a:outerShdw>
          </a:effectLst>
        </c:spPr>
      </c:pivotFmt>
      <c:pivotFmt>
        <c:idx val="2525"/>
        <c:spPr>
          <a:solidFill>
            <a:schemeClr val="accent6"/>
          </a:solidFill>
          <a:ln>
            <a:noFill/>
          </a:ln>
          <a:effectLst>
            <a:outerShdw blurRad="254000" sx="102000" sy="102000" algn="ctr" rotWithShape="0">
              <a:prstClr val="black">
                <a:alpha val="20000"/>
              </a:prstClr>
            </a:outerShdw>
          </a:effectLst>
        </c:spPr>
      </c:pivotFmt>
      <c:pivotFmt>
        <c:idx val="2526"/>
        <c:spPr>
          <a:solidFill>
            <a:schemeClr val="accent6"/>
          </a:solidFill>
          <a:ln>
            <a:noFill/>
          </a:ln>
          <a:effectLst>
            <a:outerShdw blurRad="254000" sx="102000" sy="102000" algn="ctr" rotWithShape="0">
              <a:prstClr val="black">
                <a:alpha val="20000"/>
              </a:prstClr>
            </a:outerShdw>
          </a:effectLst>
        </c:spPr>
      </c:pivotFmt>
      <c:pivotFmt>
        <c:idx val="2527"/>
        <c:spPr>
          <a:solidFill>
            <a:schemeClr val="accent6"/>
          </a:solidFill>
          <a:ln>
            <a:noFill/>
          </a:ln>
          <a:effectLst>
            <a:outerShdw blurRad="254000" sx="102000" sy="102000" algn="ctr" rotWithShape="0">
              <a:prstClr val="black">
                <a:alpha val="20000"/>
              </a:prstClr>
            </a:outerShdw>
          </a:effectLst>
        </c:spPr>
      </c:pivotFmt>
      <c:pivotFmt>
        <c:idx val="2528"/>
        <c:spPr>
          <a:solidFill>
            <a:schemeClr val="accent6"/>
          </a:solidFill>
          <a:ln>
            <a:noFill/>
          </a:ln>
          <a:effectLst>
            <a:outerShdw blurRad="254000" sx="102000" sy="102000" algn="ctr" rotWithShape="0">
              <a:prstClr val="black">
                <a:alpha val="20000"/>
              </a:prstClr>
            </a:outerShdw>
          </a:effectLst>
        </c:spPr>
      </c:pivotFmt>
      <c:pivotFmt>
        <c:idx val="2529"/>
        <c:spPr>
          <a:solidFill>
            <a:schemeClr val="accent6"/>
          </a:solidFill>
          <a:ln>
            <a:noFill/>
          </a:ln>
          <a:effectLst>
            <a:outerShdw blurRad="254000" sx="102000" sy="102000" algn="ctr" rotWithShape="0">
              <a:prstClr val="black">
                <a:alpha val="20000"/>
              </a:prstClr>
            </a:outerShdw>
          </a:effectLst>
        </c:spPr>
      </c:pivotFmt>
      <c:pivotFmt>
        <c:idx val="2530"/>
        <c:spPr>
          <a:solidFill>
            <a:schemeClr val="accent6"/>
          </a:solidFill>
          <a:ln>
            <a:noFill/>
          </a:ln>
          <a:effectLst>
            <a:outerShdw blurRad="254000" sx="102000" sy="102000" algn="ctr" rotWithShape="0">
              <a:prstClr val="black">
                <a:alpha val="20000"/>
              </a:prstClr>
            </a:outerShdw>
          </a:effectLst>
        </c:spPr>
      </c:pivotFmt>
      <c:pivotFmt>
        <c:idx val="2531"/>
        <c:spPr>
          <a:solidFill>
            <a:schemeClr val="accent6"/>
          </a:solidFill>
          <a:ln>
            <a:noFill/>
          </a:ln>
          <a:effectLst>
            <a:outerShdw blurRad="254000" sx="102000" sy="102000" algn="ctr" rotWithShape="0">
              <a:prstClr val="black">
                <a:alpha val="20000"/>
              </a:prstClr>
            </a:outerShdw>
          </a:effectLst>
        </c:spPr>
      </c:pivotFmt>
      <c:pivotFmt>
        <c:idx val="2532"/>
        <c:spPr>
          <a:solidFill>
            <a:schemeClr val="accent6"/>
          </a:solidFill>
          <a:ln>
            <a:noFill/>
          </a:ln>
          <a:effectLst>
            <a:outerShdw blurRad="254000" sx="102000" sy="102000" algn="ctr" rotWithShape="0">
              <a:prstClr val="black">
                <a:alpha val="20000"/>
              </a:prstClr>
            </a:outerShdw>
          </a:effectLst>
        </c:spPr>
      </c:pivotFmt>
      <c:pivotFmt>
        <c:idx val="2533"/>
        <c:spPr>
          <a:solidFill>
            <a:schemeClr val="accent6"/>
          </a:solidFill>
          <a:ln>
            <a:noFill/>
          </a:ln>
          <a:effectLst>
            <a:outerShdw blurRad="254000" sx="102000" sy="102000" algn="ctr" rotWithShape="0">
              <a:prstClr val="black">
                <a:alpha val="20000"/>
              </a:prstClr>
            </a:outerShdw>
          </a:effectLst>
        </c:spPr>
      </c:pivotFmt>
      <c:pivotFmt>
        <c:idx val="2534"/>
        <c:spPr>
          <a:solidFill>
            <a:schemeClr val="accent6"/>
          </a:solidFill>
          <a:ln>
            <a:noFill/>
          </a:ln>
          <a:effectLst>
            <a:outerShdw blurRad="254000" sx="102000" sy="102000" algn="ctr" rotWithShape="0">
              <a:prstClr val="black">
                <a:alpha val="20000"/>
              </a:prstClr>
            </a:outerShdw>
          </a:effectLst>
        </c:spPr>
      </c:pivotFmt>
      <c:pivotFmt>
        <c:idx val="2535"/>
        <c:spPr>
          <a:solidFill>
            <a:schemeClr val="accent6"/>
          </a:solidFill>
          <a:ln>
            <a:noFill/>
          </a:ln>
          <a:effectLst>
            <a:outerShdw blurRad="254000" sx="102000" sy="102000" algn="ctr" rotWithShape="0">
              <a:prstClr val="black">
                <a:alpha val="20000"/>
              </a:prstClr>
            </a:outerShdw>
          </a:effectLst>
        </c:spPr>
      </c:pivotFmt>
      <c:pivotFmt>
        <c:idx val="2536"/>
        <c:spPr>
          <a:solidFill>
            <a:schemeClr val="accent6"/>
          </a:solidFill>
          <a:ln>
            <a:noFill/>
          </a:ln>
          <a:effectLst>
            <a:outerShdw blurRad="254000" sx="102000" sy="102000" algn="ctr" rotWithShape="0">
              <a:prstClr val="black">
                <a:alpha val="20000"/>
              </a:prstClr>
            </a:outerShdw>
          </a:effectLst>
        </c:spPr>
      </c:pivotFmt>
      <c:pivotFmt>
        <c:idx val="2537"/>
        <c:spPr>
          <a:solidFill>
            <a:schemeClr val="accent6"/>
          </a:solidFill>
          <a:ln>
            <a:noFill/>
          </a:ln>
          <a:effectLst>
            <a:outerShdw blurRad="254000" sx="102000" sy="102000" algn="ctr" rotWithShape="0">
              <a:prstClr val="black">
                <a:alpha val="20000"/>
              </a:prstClr>
            </a:outerShdw>
          </a:effectLst>
        </c:spPr>
      </c:pivotFmt>
      <c:pivotFmt>
        <c:idx val="2538"/>
        <c:spPr>
          <a:solidFill>
            <a:schemeClr val="accent6"/>
          </a:solidFill>
          <a:ln>
            <a:noFill/>
          </a:ln>
          <a:effectLst>
            <a:outerShdw blurRad="254000" sx="102000" sy="102000" algn="ctr" rotWithShape="0">
              <a:prstClr val="black">
                <a:alpha val="20000"/>
              </a:prstClr>
            </a:outerShdw>
          </a:effectLst>
        </c:spPr>
      </c:pivotFmt>
      <c:pivotFmt>
        <c:idx val="2539"/>
        <c:spPr>
          <a:solidFill>
            <a:schemeClr val="accent6"/>
          </a:solidFill>
          <a:ln>
            <a:noFill/>
          </a:ln>
          <a:effectLst>
            <a:outerShdw blurRad="254000" sx="102000" sy="102000" algn="ctr" rotWithShape="0">
              <a:prstClr val="black">
                <a:alpha val="20000"/>
              </a:prstClr>
            </a:outerShdw>
          </a:effectLst>
        </c:spPr>
      </c:pivotFmt>
      <c:pivotFmt>
        <c:idx val="2540"/>
        <c:spPr>
          <a:solidFill>
            <a:schemeClr val="accent6"/>
          </a:solidFill>
          <a:ln>
            <a:noFill/>
          </a:ln>
          <a:effectLst>
            <a:outerShdw blurRad="254000" sx="102000" sy="102000" algn="ctr" rotWithShape="0">
              <a:prstClr val="black">
                <a:alpha val="20000"/>
              </a:prstClr>
            </a:outerShdw>
          </a:effectLst>
        </c:spPr>
      </c:pivotFmt>
      <c:pivotFmt>
        <c:idx val="2541"/>
        <c:spPr>
          <a:solidFill>
            <a:schemeClr val="accent6"/>
          </a:solidFill>
          <a:ln>
            <a:noFill/>
          </a:ln>
          <a:effectLst>
            <a:outerShdw blurRad="254000" sx="102000" sy="102000" algn="ctr" rotWithShape="0">
              <a:prstClr val="black">
                <a:alpha val="20000"/>
              </a:prstClr>
            </a:outerShdw>
          </a:effectLst>
        </c:spPr>
      </c:pivotFmt>
      <c:pivotFmt>
        <c:idx val="2542"/>
        <c:spPr>
          <a:solidFill>
            <a:schemeClr val="accent6"/>
          </a:solidFill>
          <a:ln>
            <a:noFill/>
          </a:ln>
          <a:effectLst>
            <a:outerShdw blurRad="254000" sx="102000" sy="102000" algn="ctr" rotWithShape="0">
              <a:prstClr val="black">
                <a:alpha val="20000"/>
              </a:prstClr>
            </a:outerShdw>
          </a:effectLst>
        </c:spPr>
      </c:pivotFmt>
      <c:pivotFmt>
        <c:idx val="2543"/>
        <c:spPr>
          <a:solidFill>
            <a:schemeClr val="accent6"/>
          </a:solidFill>
          <a:ln>
            <a:noFill/>
          </a:ln>
          <a:effectLst>
            <a:outerShdw blurRad="254000" sx="102000" sy="102000" algn="ctr" rotWithShape="0">
              <a:prstClr val="black">
                <a:alpha val="20000"/>
              </a:prstClr>
            </a:outerShdw>
          </a:effectLst>
        </c:spPr>
      </c:pivotFmt>
      <c:pivotFmt>
        <c:idx val="2544"/>
        <c:spPr>
          <a:solidFill>
            <a:schemeClr val="accent6"/>
          </a:solidFill>
          <a:ln>
            <a:noFill/>
          </a:ln>
          <a:effectLst>
            <a:outerShdw blurRad="254000" sx="102000" sy="102000" algn="ctr" rotWithShape="0">
              <a:prstClr val="black">
                <a:alpha val="20000"/>
              </a:prstClr>
            </a:outerShdw>
          </a:effectLst>
        </c:spPr>
      </c:pivotFmt>
      <c:pivotFmt>
        <c:idx val="2545"/>
        <c:spPr>
          <a:solidFill>
            <a:schemeClr val="accent6"/>
          </a:solidFill>
          <a:ln>
            <a:noFill/>
          </a:ln>
          <a:effectLst>
            <a:outerShdw blurRad="254000" sx="102000" sy="102000" algn="ctr" rotWithShape="0">
              <a:prstClr val="black">
                <a:alpha val="20000"/>
              </a:prstClr>
            </a:outerShdw>
          </a:effectLst>
        </c:spPr>
      </c:pivotFmt>
      <c:pivotFmt>
        <c:idx val="2546"/>
        <c:spPr>
          <a:solidFill>
            <a:schemeClr val="accent6"/>
          </a:solidFill>
          <a:ln>
            <a:noFill/>
          </a:ln>
          <a:effectLst>
            <a:outerShdw blurRad="254000" sx="102000" sy="102000" algn="ctr" rotWithShape="0">
              <a:prstClr val="black">
                <a:alpha val="20000"/>
              </a:prstClr>
            </a:outerShdw>
          </a:effectLst>
        </c:spPr>
      </c:pivotFmt>
      <c:pivotFmt>
        <c:idx val="2547"/>
        <c:spPr>
          <a:solidFill>
            <a:schemeClr val="accent6"/>
          </a:solidFill>
          <a:ln>
            <a:noFill/>
          </a:ln>
          <a:effectLst>
            <a:outerShdw blurRad="254000" sx="102000" sy="102000" algn="ctr" rotWithShape="0">
              <a:prstClr val="black">
                <a:alpha val="20000"/>
              </a:prstClr>
            </a:outerShdw>
          </a:effectLst>
        </c:spPr>
      </c:pivotFmt>
      <c:pivotFmt>
        <c:idx val="2548"/>
        <c:spPr>
          <a:solidFill>
            <a:schemeClr val="accent6"/>
          </a:solidFill>
          <a:ln>
            <a:noFill/>
          </a:ln>
          <a:effectLst>
            <a:outerShdw blurRad="254000" sx="102000" sy="102000" algn="ctr" rotWithShape="0">
              <a:prstClr val="black">
                <a:alpha val="20000"/>
              </a:prstClr>
            </a:outerShdw>
          </a:effectLst>
        </c:spPr>
      </c:pivotFmt>
      <c:pivotFmt>
        <c:idx val="2549"/>
        <c:spPr>
          <a:solidFill>
            <a:schemeClr val="accent6"/>
          </a:solidFill>
          <a:ln>
            <a:noFill/>
          </a:ln>
          <a:effectLst>
            <a:outerShdw blurRad="254000" sx="102000" sy="102000" algn="ctr" rotWithShape="0">
              <a:prstClr val="black">
                <a:alpha val="20000"/>
              </a:prstClr>
            </a:outerShdw>
          </a:effectLst>
        </c:spPr>
      </c:pivotFmt>
      <c:pivotFmt>
        <c:idx val="2550"/>
        <c:spPr>
          <a:solidFill>
            <a:schemeClr val="accent6"/>
          </a:solidFill>
          <a:ln>
            <a:noFill/>
          </a:ln>
          <a:effectLst>
            <a:outerShdw blurRad="254000" sx="102000" sy="102000" algn="ctr" rotWithShape="0">
              <a:prstClr val="black">
                <a:alpha val="20000"/>
              </a:prstClr>
            </a:outerShdw>
          </a:effectLst>
        </c:spPr>
      </c:pivotFmt>
      <c:pivotFmt>
        <c:idx val="2551"/>
        <c:spPr>
          <a:solidFill>
            <a:schemeClr val="accent6"/>
          </a:solidFill>
          <a:ln>
            <a:noFill/>
          </a:ln>
          <a:effectLst>
            <a:outerShdw blurRad="254000" sx="102000" sy="102000" algn="ctr" rotWithShape="0">
              <a:prstClr val="black">
                <a:alpha val="20000"/>
              </a:prstClr>
            </a:outerShdw>
          </a:effectLst>
        </c:spPr>
      </c:pivotFmt>
      <c:pivotFmt>
        <c:idx val="2552"/>
        <c:spPr>
          <a:solidFill>
            <a:schemeClr val="accent6"/>
          </a:solidFill>
          <a:ln>
            <a:noFill/>
          </a:ln>
          <a:effectLst>
            <a:outerShdw blurRad="254000" sx="102000" sy="102000" algn="ctr" rotWithShape="0">
              <a:prstClr val="black">
                <a:alpha val="20000"/>
              </a:prstClr>
            </a:outerShdw>
          </a:effectLst>
        </c:spPr>
      </c:pivotFmt>
      <c:pivotFmt>
        <c:idx val="2553"/>
        <c:spPr>
          <a:solidFill>
            <a:schemeClr val="accent6"/>
          </a:solidFill>
          <a:ln>
            <a:noFill/>
          </a:ln>
          <a:effectLst>
            <a:outerShdw blurRad="254000" sx="102000" sy="102000" algn="ctr" rotWithShape="0">
              <a:prstClr val="black">
                <a:alpha val="20000"/>
              </a:prstClr>
            </a:outerShdw>
          </a:effectLst>
        </c:spPr>
      </c:pivotFmt>
      <c:pivotFmt>
        <c:idx val="2554"/>
        <c:spPr>
          <a:solidFill>
            <a:schemeClr val="accent6"/>
          </a:solidFill>
          <a:ln>
            <a:noFill/>
          </a:ln>
          <a:effectLst>
            <a:outerShdw blurRad="254000" sx="102000" sy="102000" algn="ctr" rotWithShape="0">
              <a:prstClr val="black">
                <a:alpha val="20000"/>
              </a:prstClr>
            </a:outerShdw>
          </a:effectLst>
        </c:spPr>
      </c:pivotFmt>
      <c:pivotFmt>
        <c:idx val="2555"/>
        <c:spPr>
          <a:solidFill>
            <a:schemeClr val="accent6"/>
          </a:solidFill>
          <a:ln>
            <a:noFill/>
          </a:ln>
          <a:effectLst>
            <a:outerShdw blurRad="254000" sx="102000" sy="102000" algn="ctr" rotWithShape="0">
              <a:prstClr val="black">
                <a:alpha val="20000"/>
              </a:prstClr>
            </a:outerShdw>
          </a:effectLst>
        </c:spPr>
      </c:pivotFmt>
      <c:pivotFmt>
        <c:idx val="2556"/>
        <c:spPr>
          <a:solidFill>
            <a:schemeClr val="accent6"/>
          </a:solidFill>
          <a:ln>
            <a:noFill/>
          </a:ln>
          <a:effectLst>
            <a:outerShdw blurRad="254000" sx="102000" sy="102000" algn="ctr" rotWithShape="0">
              <a:prstClr val="black">
                <a:alpha val="20000"/>
              </a:prstClr>
            </a:outerShdw>
          </a:effectLst>
        </c:spPr>
      </c:pivotFmt>
      <c:pivotFmt>
        <c:idx val="2557"/>
        <c:spPr>
          <a:solidFill>
            <a:schemeClr val="accent6"/>
          </a:solidFill>
          <a:ln>
            <a:noFill/>
          </a:ln>
          <a:effectLst>
            <a:outerShdw blurRad="254000" sx="102000" sy="102000" algn="ctr" rotWithShape="0">
              <a:prstClr val="black">
                <a:alpha val="20000"/>
              </a:prstClr>
            </a:outerShdw>
          </a:effectLst>
        </c:spPr>
      </c:pivotFmt>
      <c:pivotFmt>
        <c:idx val="2558"/>
        <c:spPr>
          <a:solidFill>
            <a:schemeClr val="accent6"/>
          </a:solidFill>
          <a:ln>
            <a:noFill/>
          </a:ln>
          <a:effectLst>
            <a:outerShdw blurRad="254000" sx="102000" sy="102000" algn="ctr" rotWithShape="0">
              <a:prstClr val="black">
                <a:alpha val="20000"/>
              </a:prstClr>
            </a:outerShdw>
          </a:effectLst>
        </c:spPr>
      </c:pivotFmt>
      <c:pivotFmt>
        <c:idx val="2559"/>
        <c:spPr>
          <a:solidFill>
            <a:schemeClr val="accent6"/>
          </a:solidFill>
          <a:ln>
            <a:noFill/>
          </a:ln>
          <a:effectLst>
            <a:outerShdw blurRad="254000" sx="102000" sy="102000" algn="ctr" rotWithShape="0">
              <a:prstClr val="black">
                <a:alpha val="20000"/>
              </a:prstClr>
            </a:outerShdw>
          </a:effectLst>
        </c:spPr>
      </c:pivotFmt>
      <c:pivotFmt>
        <c:idx val="2560"/>
        <c:spPr>
          <a:solidFill>
            <a:schemeClr val="accent6"/>
          </a:solidFill>
          <a:ln>
            <a:noFill/>
          </a:ln>
          <a:effectLst>
            <a:outerShdw blurRad="254000" sx="102000" sy="102000" algn="ctr" rotWithShape="0">
              <a:prstClr val="black">
                <a:alpha val="20000"/>
              </a:prstClr>
            </a:outerShdw>
          </a:effectLst>
        </c:spPr>
      </c:pivotFmt>
      <c:pivotFmt>
        <c:idx val="2561"/>
        <c:spPr>
          <a:solidFill>
            <a:schemeClr val="accent6"/>
          </a:solidFill>
          <a:ln>
            <a:noFill/>
          </a:ln>
          <a:effectLst>
            <a:outerShdw blurRad="254000" sx="102000" sy="102000" algn="ctr" rotWithShape="0">
              <a:prstClr val="black">
                <a:alpha val="20000"/>
              </a:prstClr>
            </a:outerShdw>
          </a:effectLst>
        </c:spPr>
      </c:pivotFmt>
      <c:pivotFmt>
        <c:idx val="2562"/>
        <c:spPr>
          <a:solidFill>
            <a:schemeClr val="accent6"/>
          </a:solidFill>
          <a:ln>
            <a:noFill/>
          </a:ln>
          <a:effectLst>
            <a:outerShdw blurRad="254000" sx="102000" sy="102000" algn="ctr" rotWithShape="0">
              <a:prstClr val="black">
                <a:alpha val="20000"/>
              </a:prstClr>
            </a:outerShdw>
          </a:effectLst>
        </c:spPr>
      </c:pivotFmt>
      <c:pivotFmt>
        <c:idx val="2563"/>
        <c:spPr>
          <a:solidFill>
            <a:schemeClr val="accent6"/>
          </a:solidFill>
          <a:ln>
            <a:noFill/>
          </a:ln>
          <a:effectLst>
            <a:outerShdw blurRad="254000" sx="102000" sy="102000" algn="ctr" rotWithShape="0">
              <a:prstClr val="black">
                <a:alpha val="20000"/>
              </a:prstClr>
            </a:outerShdw>
          </a:effectLst>
        </c:spPr>
      </c:pivotFmt>
      <c:pivotFmt>
        <c:idx val="2564"/>
        <c:spPr>
          <a:solidFill>
            <a:schemeClr val="accent6"/>
          </a:solidFill>
          <a:ln>
            <a:noFill/>
          </a:ln>
          <a:effectLst>
            <a:outerShdw blurRad="254000" sx="102000" sy="102000" algn="ctr" rotWithShape="0">
              <a:prstClr val="black">
                <a:alpha val="20000"/>
              </a:prstClr>
            </a:outerShdw>
          </a:effectLst>
        </c:spPr>
      </c:pivotFmt>
      <c:pivotFmt>
        <c:idx val="2565"/>
        <c:spPr>
          <a:solidFill>
            <a:schemeClr val="accent6"/>
          </a:solidFill>
          <a:ln>
            <a:noFill/>
          </a:ln>
          <a:effectLst>
            <a:outerShdw blurRad="254000" sx="102000" sy="102000" algn="ctr" rotWithShape="0">
              <a:prstClr val="black">
                <a:alpha val="20000"/>
              </a:prstClr>
            </a:outerShdw>
          </a:effectLst>
        </c:spPr>
      </c:pivotFmt>
      <c:pivotFmt>
        <c:idx val="2566"/>
        <c:spPr>
          <a:solidFill>
            <a:schemeClr val="accent6"/>
          </a:solidFill>
          <a:ln>
            <a:noFill/>
          </a:ln>
          <a:effectLst>
            <a:outerShdw blurRad="254000" sx="102000" sy="102000" algn="ctr" rotWithShape="0">
              <a:prstClr val="black">
                <a:alpha val="20000"/>
              </a:prstClr>
            </a:outerShdw>
          </a:effectLst>
        </c:spPr>
      </c:pivotFmt>
      <c:pivotFmt>
        <c:idx val="2567"/>
        <c:spPr>
          <a:solidFill>
            <a:schemeClr val="accent6"/>
          </a:solidFill>
          <a:ln>
            <a:noFill/>
          </a:ln>
          <a:effectLst>
            <a:outerShdw blurRad="254000" sx="102000" sy="102000" algn="ctr" rotWithShape="0">
              <a:prstClr val="black">
                <a:alpha val="20000"/>
              </a:prstClr>
            </a:outerShdw>
          </a:effectLst>
        </c:spPr>
      </c:pivotFmt>
      <c:pivotFmt>
        <c:idx val="2568"/>
        <c:spPr>
          <a:solidFill>
            <a:schemeClr val="accent6"/>
          </a:solidFill>
          <a:ln>
            <a:noFill/>
          </a:ln>
          <a:effectLst>
            <a:outerShdw blurRad="254000" sx="102000" sy="102000" algn="ctr" rotWithShape="0">
              <a:prstClr val="black">
                <a:alpha val="20000"/>
              </a:prstClr>
            </a:outerShdw>
          </a:effectLst>
        </c:spPr>
      </c:pivotFmt>
      <c:pivotFmt>
        <c:idx val="2569"/>
        <c:spPr>
          <a:solidFill>
            <a:schemeClr val="accent6"/>
          </a:solidFill>
          <a:ln>
            <a:noFill/>
          </a:ln>
          <a:effectLst>
            <a:outerShdw blurRad="254000" sx="102000" sy="102000" algn="ctr" rotWithShape="0">
              <a:prstClr val="black">
                <a:alpha val="20000"/>
              </a:prstClr>
            </a:outerShdw>
          </a:effectLst>
        </c:spPr>
      </c:pivotFmt>
      <c:pivotFmt>
        <c:idx val="2570"/>
        <c:spPr>
          <a:solidFill>
            <a:schemeClr val="accent6"/>
          </a:solidFill>
          <a:ln>
            <a:noFill/>
          </a:ln>
          <a:effectLst>
            <a:outerShdw blurRad="254000" sx="102000" sy="102000" algn="ctr" rotWithShape="0">
              <a:prstClr val="black">
                <a:alpha val="20000"/>
              </a:prstClr>
            </a:outerShdw>
          </a:effectLst>
        </c:spPr>
      </c:pivotFmt>
      <c:pivotFmt>
        <c:idx val="2571"/>
        <c:spPr>
          <a:solidFill>
            <a:schemeClr val="accent6"/>
          </a:solidFill>
          <a:ln>
            <a:noFill/>
          </a:ln>
          <a:effectLst>
            <a:outerShdw blurRad="254000" sx="102000" sy="102000" algn="ctr" rotWithShape="0">
              <a:prstClr val="black">
                <a:alpha val="20000"/>
              </a:prstClr>
            </a:outerShdw>
          </a:effectLst>
        </c:spPr>
      </c:pivotFmt>
      <c:pivotFmt>
        <c:idx val="2572"/>
        <c:spPr>
          <a:solidFill>
            <a:schemeClr val="accent6"/>
          </a:solidFill>
          <a:ln>
            <a:noFill/>
          </a:ln>
          <a:effectLst>
            <a:outerShdw blurRad="254000" sx="102000" sy="102000" algn="ctr" rotWithShape="0">
              <a:prstClr val="black">
                <a:alpha val="20000"/>
              </a:prstClr>
            </a:outerShdw>
          </a:effectLst>
        </c:spPr>
      </c:pivotFmt>
      <c:pivotFmt>
        <c:idx val="2573"/>
        <c:spPr>
          <a:solidFill>
            <a:schemeClr val="accent6"/>
          </a:solidFill>
          <a:ln>
            <a:noFill/>
          </a:ln>
          <a:effectLst>
            <a:outerShdw blurRad="254000" sx="102000" sy="102000" algn="ctr" rotWithShape="0">
              <a:prstClr val="black">
                <a:alpha val="20000"/>
              </a:prstClr>
            </a:outerShdw>
          </a:effectLst>
        </c:spPr>
      </c:pivotFmt>
      <c:pivotFmt>
        <c:idx val="2574"/>
        <c:spPr>
          <a:solidFill>
            <a:schemeClr val="accent6"/>
          </a:solidFill>
          <a:ln>
            <a:noFill/>
          </a:ln>
          <a:effectLst>
            <a:outerShdw blurRad="254000" sx="102000" sy="102000" algn="ctr" rotWithShape="0">
              <a:prstClr val="black">
                <a:alpha val="20000"/>
              </a:prstClr>
            </a:outerShdw>
          </a:effectLst>
        </c:spPr>
      </c:pivotFmt>
      <c:pivotFmt>
        <c:idx val="2575"/>
        <c:spPr>
          <a:solidFill>
            <a:schemeClr val="accent6"/>
          </a:solidFill>
          <a:ln>
            <a:noFill/>
          </a:ln>
          <a:effectLst>
            <a:outerShdw blurRad="254000" sx="102000" sy="102000" algn="ctr" rotWithShape="0">
              <a:prstClr val="black">
                <a:alpha val="20000"/>
              </a:prstClr>
            </a:outerShdw>
          </a:effectLst>
        </c:spPr>
      </c:pivotFmt>
      <c:pivotFmt>
        <c:idx val="2576"/>
        <c:spPr>
          <a:solidFill>
            <a:schemeClr val="accent6"/>
          </a:solidFill>
          <a:ln>
            <a:noFill/>
          </a:ln>
          <a:effectLst>
            <a:outerShdw blurRad="254000" sx="102000" sy="102000" algn="ctr" rotWithShape="0">
              <a:prstClr val="black">
                <a:alpha val="20000"/>
              </a:prstClr>
            </a:outerShdw>
          </a:effectLst>
        </c:spPr>
      </c:pivotFmt>
      <c:pivotFmt>
        <c:idx val="2577"/>
        <c:spPr>
          <a:solidFill>
            <a:schemeClr val="accent6"/>
          </a:solidFill>
          <a:ln>
            <a:noFill/>
          </a:ln>
          <a:effectLst>
            <a:outerShdw blurRad="254000" sx="102000" sy="102000" algn="ctr" rotWithShape="0">
              <a:prstClr val="black">
                <a:alpha val="20000"/>
              </a:prstClr>
            </a:outerShdw>
          </a:effectLst>
        </c:spPr>
      </c:pivotFmt>
      <c:pivotFmt>
        <c:idx val="2578"/>
        <c:spPr>
          <a:solidFill>
            <a:schemeClr val="accent6"/>
          </a:solidFill>
          <a:ln>
            <a:noFill/>
          </a:ln>
          <a:effectLst>
            <a:outerShdw blurRad="254000" sx="102000" sy="102000" algn="ctr" rotWithShape="0">
              <a:prstClr val="black">
                <a:alpha val="20000"/>
              </a:prstClr>
            </a:outerShdw>
          </a:effectLst>
        </c:spPr>
      </c:pivotFmt>
      <c:pivotFmt>
        <c:idx val="2579"/>
        <c:spPr>
          <a:solidFill>
            <a:schemeClr val="accent6"/>
          </a:solidFill>
          <a:ln>
            <a:noFill/>
          </a:ln>
          <a:effectLst>
            <a:outerShdw blurRad="254000" sx="102000" sy="102000" algn="ctr" rotWithShape="0">
              <a:prstClr val="black">
                <a:alpha val="20000"/>
              </a:prstClr>
            </a:outerShdw>
          </a:effectLst>
        </c:spPr>
      </c:pivotFmt>
      <c:pivotFmt>
        <c:idx val="2580"/>
        <c:spPr>
          <a:solidFill>
            <a:schemeClr val="accent6"/>
          </a:solidFill>
          <a:ln>
            <a:noFill/>
          </a:ln>
          <a:effectLst>
            <a:outerShdw blurRad="254000" sx="102000" sy="102000" algn="ctr" rotWithShape="0">
              <a:prstClr val="black">
                <a:alpha val="20000"/>
              </a:prstClr>
            </a:outerShdw>
          </a:effectLst>
        </c:spPr>
      </c:pivotFmt>
      <c:pivotFmt>
        <c:idx val="2581"/>
        <c:spPr>
          <a:solidFill>
            <a:schemeClr val="accent6"/>
          </a:solidFill>
          <a:ln>
            <a:noFill/>
          </a:ln>
          <a:effectLst>
            <a:outerShdw blurRad="254000" sx="102000" sy="102000" algn="ctr" rotWithShape="0">
              <a:prstClr val="black">
                <a:alpha val="20000"/>
              </a:prstClr>
            </a:outerShdw>
          </a:effectLst>
        </c:spPr>
      </c:pivotFmt>
      <c:pivotFmt>
        <c:idx val="2582"/>
        <c:spPr>
          <a:solidFill>
            <a:schemeClr val="accent6"/>
          </a:solidFill>
          <a:ln>
            <a:noFill/>
          </a:ln>
          <a:effectLst>
            <a:outerShdw blurRad="254000" sx="102000" sy="102000" algn="ctr" rotWithShape="0">
              <a:prstClr val="black">
                <a:alpha val="20000"/>
              </a:prstClr>
            </a:outerShdw>
          </a:effectLst>
        </c:spPr>
      </c:pivotFmt>
      <c:pivotFmt>
        <c:idx val="2583"/>
        <c:spPr>
          <a:solidFill>
            <a:schemeClr val="accent6"/>
          </a:solidFill>
          <a:ln>
            <a:noFill/>
          </a:ln>
          <a:effectLst>
            <a:outerShdw blurRad="254000" sx="102000" sy="102000" algn="ctr" rotWithShape="0">
              <a:prstClr val="black">
                <a:alpha val="20000"/>
              </a:prstClr>
            </a:outerShdw>
          </a:effectLst>
        </c:spPr>
      </c:pivotFmt>
      <c:pivotFmt>
        <c:idx val="2584"/>
        <c:spPr>
          <a:solidFill>
            <a:schemeClr val="accent6"/>
          </a:solidFill>
          <a:ln>
            <a:noFill/>
          </a:ln>
          <a:effectLst>
            <a:outerShdw blurRad="254000" sx="102000" sy="102000" algn="ctr" rotWithShape="0">
              <a:prstClr val="black">
                <a:alpha val="20000"/>
              </a:prstClr>
            </a:outerShdw>
          </a:effectLst>
        </c:spPr>
      </c:pivotFmt>
      <c:pivotFmt>
        <c:idx val="2585"/>
        <c:spPr>
          <a:solidFill>
            <a:schemeClr val="accent6"/>
          </a:solidFill>
          <a:ln>
            <a:noFill/>
          </a:ln>
          <a:effectLst>
            <a:outerShdw blurRad="254000" sx="102000" sy="102000" algn="ctr" rotWithShape="0">
              <a:prstClr val="black">
                <a:alpha val="20000"/>
              </a:prstClr>
            </a:outerShdw>
          </a:effectLst>
        </c:spPr>
      </c:pivotFmt>
      <c:pivotFmt>
        <c:idx val="2586"/>
        <c:spPr>
          <a:solidFill>
            <a:schemeClr val="accent6"/>
          </a:solidFill>
          <a:ln>
            <a:noFill/>
          </a:ln>
          <a:effectLst>
            <a:outerShdw blurRad="254000" sx="102000" sy="102000" algn="ctr" rotWithShape="0">
              <a:prstClr val="black">
                <a:alpha val="20000"/>
              </a:prstClr>
            </a:outerShdw>
          </a:effectLst>
        </c:spPr>
      </c:pivotFmt>
      <c:pivotFmt>
        <c:idx val="2587"/>
        <c:spPr>
          <a:solidFill>
            <a:schemeClr val="accent6"/>
          </a:solidFill>
          <a:ln>
            <a:noFill/>
          </a:ln>
          <a:effectLst>
            <a:outerShdw blurRad="254000" sx="102000" sy="102000" algn="ctr" rotWithShape="0">
              <a:prstClr val="black">
                <a:alpha val="20000"/>
              </a:prstClr>
            </a:outerShdw>
          </a:effectLst>
        </c:spPr>
      </c:pivotFmt>
      <c:pivotFmt>
        <c:idx val="2588"/>
        <c:spPr>
          <a:solidFill>
            <a:schemeClr val="accent6"/>
          </a:solidFill>
          <a:ln>
            <a:noFill/>
          </a:ln>
          <a:effectLst>
            <a:outerShdw blurRad="254000" sx="102000" sy="102000" algn="ctr" rotWithShape="0">
              <a:prstClr val="black">
                <a:alpha val="20000"/>
              </a:prstClr>
            </a:outerShdw>
          </a:effectLst>
        </c:spPr>
      </c:pivotFmt>
      <c:pivotFmt>
        <c:idx val="2589"/>
      </c:pivotFmt>
      <c:pivotFmt>
        <c:idx val="2590"/>
      </c:pivotFmt>
      <c:pivotFmt>
        <c:idx val="2591"/>
      </c:pivotFmt>
      <c:pivotFmt>
        <c:idx val="2592"/>
      </c:pivotFmt>
      <c:pivotFmt>
        <c:idx val="2593"/>
      </c:pivotFmt>
      <c:pivotFmt>
        <c:idx val="2594"/>
      </c:pivotFmt>
      <c:pivotFmt>
        <c:idx val="2595"/>
      </c:pivotFmt>
      <c:pivotFmt>
        <c:idx val="2596"/>
      </c:pivotFmt>
      <c:pivotFmt>
        <c:idx val="2597"/>
      </c:pivotFmt>
      <c:pivotFmt>
        <c:idx val="2598"/>
        <c:spPr>
          <a:solidFill>
            <a:schemeClr val="accent6"/>
          </a:solidFill>
          <a:ln>
            <a:noFill/>
          </a:ln>
          <a:effectLst>
            <a:outerShdw blurRad="254000" sx="102000" sy="102000" algn="ctr" rotWithShape="0">
              <a:prstClr val="black">
                <a:alpha val="20000"/>
              </a:prstClr>
            </a:outerShdw>
          </a:effectLst>
        </c:spPr>
      </c:pivotFmt>
      <c:pivotFmt>
        <c:idx val="2599"/>
        <c:spPr>
          <a:solidFill>
            <a:schemeClr val="accent6"/>
          </a:solidFill>
          <a:ln>
            <a:noFill/>
          </a:ln>
          <a:effectLst>
            <a:outerShdw blurRad="254000" sx="102000" sy="102000" algn="ctr" rotWithShape="0">
              <a:prstClr val="black">
                <a:alpha val="20000"/>
              </a:prstClr>
            </a:outerShdw>
          </a:effectLst>
        </c:spPr>
      </c:pivotFmt>
      <c:pivotFmt>
        <c:idx val="2600"/>
        <c:spPr>
          <a:solidFill>
            <a:schemeClr val="accent6"/>
          </a:solidFill>
          <a:ln>
            <a:noFill/>
          </a:ln>
          <a:effectLst>
            <a:outerShdw blurRad="254000" sx="102000" sy="102000" algn="ctr" rotWithShape="0">
              <a:prstClr val="black">
                <a:alpha val="20000"/>
              </a:prstClr>
            </a:outerShdw>
          </a:effectLst>
        </c:spPr>
      </c:pivotFmt>
      <c:pivotFmt>
        <c:idx val="2601"/>
        <c:spPr>
          <a:solidFill>
            <a:schemeClr val="accent6"/>
          </a:solidFill>
          <a:ln>
            <a:noFill/>
          </a:ln>
          <a:effectLst>
            <a:outerShdw blurRad="254000" sx="102000" sy="102000" algn="ctr" rotWithShape="0">
              <a:prstClr val="black">
                <a:alpha val="20000"/>
              </a:prstClr>
            </a:outerShdw>
          </a:effectLst>
        </c:spPr>
      </c:pivotFmt>
      <c:pivotFmt>
        <c:idx val="2602"/>
        <c:spPr>
          <a:solidFill>
            <a:schemeClr val="accent6"/>
          </a:solidFill>
          <a:ln>
            <a:noFill/>
          </a:ln>
          <a:effectLst>
            <a:outerShdw blurRad="254000" sx="102000" sy="102000" algn="ctr" rotWithShape="0">
              <a:prstClr val="black">
                <a:alpha val="20000"/>
              </a:prstClr>
            </a:outerShdw>
          </a:effectLst>
        </c:spPr>
      </c:pivotFmt>
      <c:pivotFmt>
        <c:idx val="2603"/>
        <c:spPr>
          <a:solidFill>
            <a:schemeClr val="accent6"/>
          </a:solidFill>
          <a:ln>
            <a:noFill/>
          </a:ln>
          <a:effectLst>
            <a:outerShdw blurRad="254000" sx="102000" sy="102000" algn="ctr" rotWithShape="0">
              <a:prstClr val="black">
                <a:alpha val="20000"/>
              </a:prstClr>
            </a:outerShdw>
          </a:effectLst>
        </c:spPr>
      </c:pivotFmt>
      <c:pivotFmt>
        <c:idx val="2604"/>
        <c:spPr>
          <a:solidFill>
            <a:schemeClr val="accent6"/>
          </a:solidFill>
          <a:ln>
            <a:noFill/>
          </a:ln>
          <a:effectLst>
            <a:outerShdw blurRad="254000" sx="102000" sy="102000" algn="ctr" rotWithShape="0">
              <a:prstClr val="black">
                <a:alpha val="20000"/>
              </a:prstClr>
            </a:outerShdw>
          </a:effectLst>
        </c:spPr>
      </c:pivotFmt>
      <c:pivotFmt>
        <c:idx val="2605"/>
        <c:spPr>
          <a:solidFill>
            <a:schemeClr val="accent6"/>
          </a:solidFill>
          <a:ln>
            <a:noFill/>
          </a:ln>
          <a:effectLst>
            <a:outerShdw blurRad="254000" sx="102000" sy="102000" algn="ctr" rotWithShape="0">
              <a:prstClr val="black">
                <a:alpha val="20000"/>
              </a:prstClr>
            </a:outerShdw>
          </a:effectLst>
        </c:spPr>
      </c:pivotFmt>
      <c:pivotFmt>
        <c:idx val="2606"/>
        <c:spPr>
          <a:solidFill>
            <a:schemeClr val="accent6"/>
          </a:solidFill>
          <a:ln>
            <a:noFill/>
          </a:ln>
          <a:effectLst>
            <a:outerShdw blurRad="254000" sx="102000" sy="102000" algn="ctr" rotWithShape="0">
              <a:prstClr val="black">
                <a:alpha val="20000"/>
              </a:prstClr>
            </a:outerShdw>
          </a:effectLst>
        </c:spPr>
      </c:pivotFmt>
      <c:pivotFmt>
        <c:idx val="2607"/>
        <c:spPr>
          <a:solidFill>
            <a:schemeClr val="accent6"/>
          </a:solidFill>
          <a:ln>
            <a:noFill/>
          </a:ln>
          <a:effectLst>
            <a:outerShdw blurRad="254000" sx="102000" sy="102000" algn="ctr" rotWithShape="0">
              <a:prstClr val="black">
                <a:alpha val="20000"/>
              </a:prstClr>
            </a:outerShdw>
          </a:effectLst>
        </c:spPr>
      </c:pivotFmt>
      <c:pivotFmt>
        <c:idx val="2608"/>
        <c:spPr>
          <a:solidFill>
            <a:schemeClr val="accent6"/>
          </a:solidFill>
          <a:ln>
            <a:noFill/>
          </a:ln>
          <a:effectLst>
            <a:outerShdw blurRad="254000" sx="102000" sy="102000" algn="ctr" rotWithShape="0">
              <a:prstClr val="black">
                <a:alpha val="20000"/>
              </a:prstClr>
            </a:outerShdw>
          </a:effectLst>
        </c:spPr>
      </c:pivotFmt>
      <c:pivotFmt>
        <c:idx val="2609"/>
        <c:spPr>
          <a:solidFill>
            <a:schemeClr val="accent6"/>
          </a:solidFill>
          <a:ln>
            <a:noFill/>
          </a:ln>
          <a:effectLst>
            <a:outerShdw blurRad="254000" sx="102000" sy="102000" algn="ctr" rotWithShape="0">
              <a:prstClr val="black">
                <a:alpha val="20000"/>
              </a:prstClr>
            </a:outerShdw>
          </a:effectLst>
        </c:spPr>
      </c:pivotFmt>
      <c:pivotFmt>
        <c:idx val="2610"/>
        <c:spPr>
          <a:solidFill>
            <a:schemeClr val="accent6"/>
          </a:solidFill>
          <a:ln>
            <a:noFill/>
          </a:ln>
          <a:effectLst>
            <a:outerShdw blurRad="254000" sx="102000" sy="102000" algn="ctr" rotWithShape="0">
              <a:prstClr val="black">
                <a:alpha val="20000"/>
              </a:prstClr>
            </a:outerShdw>
          </a:effectLst>
        </c:spPr>
      </c:pivotFmt>
      <c:pivotFmt>
        <c:idx val="2611"/>
        <c:spPr>
          <a:solidFill>
            <a:schemeClr val="accent6"/>
          </a:solidFill>
          <a:ln>
            <a:noFill/>
          </a:ln>
          <a:effectLst>
            <a:outerShdw blurRad="254000" sx="102000" sy="102000" algn="ctr" rotWithShape="0">
              <a:prstClr val="black">
                <a:alpha val="20000"/>
              </a:prstClr>
            </a:outerShdw>
          </a:effectLst>
        </c:spPr>
      </c:pivotFmt>
      <c:pivotFmt>
        <c:idx val="2612"/>
        <c:spPr>
          <a:solidFill>
            <a:schemeClr val="accent6"/>
          </a:solidFill>
          <a:ln>
            <a:noFill/>
          </a:ln>
          <a:effectLst>
            <a:outerShdw blurRad="254000" sx="102000" sy="102000" algn="ctr" rotWithShape="0">
              <a:prstClr val="black">
                <a:alpha val="20000"/>
              </a:prstClr>
            </a:outerShdw>
          </a:effectLst>
        </c:spPr>
      </c:pivotFmt>
      <c:pivotFmt>
        <c:idx val="2613"/>
        <c:spPr>
          <a:solidFill>
            <a:schemeClr val="accent6"/>
          </a:solidFill>
          <a:ln>
            <a:noFill/>
          </a:ln>
          <a:effectLst>
            <a:outerShdw blurRad="254000" sx="102000" sy="102000" algn="ctr" rotWithShape="0">
              <a:prstClr val="black">
                <a:alpha val="20000"/>
              </a:prstClr>
            </a:outerShdw>
          </a:effectLst>
        </c:spPr>
      </c:pivotFmt>
      <c:pivotFmt>
        <c:idx val="2614"/>
        <c:spPr>
          <a:solidFill>
            <a:schemeClr val="accent6"/>
          </a:solidFill>
          <a:ln>
            <a:noFill/>
          </a:ln>
          <a:effectLst>
            <a:outerShdw blurRad="254000" sx="102000" sy="102000" algn="ctr" rotWithShape="0">
              <a:prstClr val="black">
                <a:alpha val="20000"/>
              </a:prstClr>
            </a:outerShdw>
          </a:effectLst>
        </c:spPr>
      </c:pivotFmt>
      <c:pivotFmt>
        <c:idx val="2615"/>
        <c:spPr>
          <a:solidFill>
            <a:schemeClr val="accent6"/>
          </a:solidFill>
          <a:ln>
            <a:noFill/>
          </a:ln>
          <a:effectLst>
            <a:outerShdw blurRad="254000" sx="102000" sy="102000" algn="ctr" rotWithShape="0">
              <a:prstClr val="black">
                <a:alpha val="20000"/>
              </a:prstClr>
            </a:outerShdw>
          </a:effectLst>
        </c:spPr>
      </c:pivotFmt>
      <c:pivotFmt>
        <c:idx val="2616"/>
        <c:spPr>
          <a:solidFill>
            <a:schemeClr val="accent6"/>
          </a:solidFill>
          <a:ln>
            <a:noFill/>
          </a:ln>
          <a:effectLst>
            <a:outerShdw blurRad="254000" sx="102000" sy="102000" algn="ctr" rotWithShape="0">
              <a:prstClr val="black">
                <a:alpha val="20000"/>
              </a:prstClr>
            </a:outerShdw>
          </a:effectLst>
        </c:spPr>
      </c:pivotFmt>
      <c:pivotFmt>
        <c:idx val="2617"/>
        <c:spPr>
          <a:solidFill>
            <a:schemeClr val="accent6"/>
          </a:solidFill>
          <a:ln>
            <a:noFill/>
          </a:ln>
          <a:effectLst>
            <a:outerShdw blurRad="254000" sx="102000" sy="102000" algn="ctr" rotWithShape="0">
              <a:prstClr val="black">
                <a:alpha val="20000"/>
              </a:prstClr>
            </a:outerShdw>
          </a:effectLst>
        </c:spPr>
      </c:pivotFmt>
      <c:pivotFmt>
        <c:idx val="2618"/>
        <c:spPr>
          <a:solidFill>
            <a:schemeClr val="accent6"/>
          </a:solidFill>
          <a:ln>
            <a:noFill/>
          </a:ln>
          <a:effectLst>
            <a:outerShdw blurRad="254000" sx="102000" sy="102000" algn="ctr" rotWithShape="0">
              <a:prstClr val="black">
                <a:alpha val="20000"/>
              </a:prstClr>
            </a:outerShdw>
          </a:effectLst>
        </c:spPr>
      </c:pivotFmt>
      <c:pivotFmt>
        <c:idx val="2619"/>
        <c:spPr>
          <a:solidFill>
            <a:schemeClr val="accent6"/>
          </a:solidFill>
          <a:ln>
            <a:noFill/>
          </a:ln>
          <a:effectLst>
            <a:outerShdw blurRad="254000" sx="102000" sy="102000" algn="ctr" rotWithShape="0">
              <a:prstClr val="black">
                <a:alpha val="20000"/>
              </a:prstClr>
            </a:outerShdw>
          </a:effectLst>
        </c:spPr>
      </c:pivotFmt>
      <c:pivotFmt>
        <c:idx val="2620"/>
        <c:spPr>
          <a:solidFill>
            <a:schemeClr val="accent6"/>
          </a:solidFill>
          <a:ln>
            <a:noFill/>
          </a:ln>
          <a:effectLst>
            <a:outerShdw blurRad="254000" sx="102000" sy="102000" algn="ctr" rotWithShape="0">
              <a:prstClr val="black">
                <a:alpha val="20000"/>
              </a:prstClr>
            </a:outerShdw>
          </a:effectLst>
        </c:spPr>
      </c:pivotFmt>
      <c:pivotFmt>
        <c:idx val="2621"/>
        <c:spPr>
          <a:solidFill>
            <a:schemeClr val="accent6"/>
          </a:solidFill>
          <a:ln>
            <a:noFill/>
          </a:ln>
          <a:effectLst>
            <a:outerShdw blurRad="254000" sx="102000" sy="102000" algn="ctr" rotWithShape="0">
              <a:prstClr val="black">
                <a:alpha val="20000"/>
              </a:prstClr>
            </a:outerShdw>
          </a:effectLst>
        </c:spPr>
      </c:pivotFmt>
      <c:pivotFmt>
        <c:idx val="2622"/>
        <c:spPr>
          <a:solidFill>
            <a:schemeClr val="accent6"/>
          </a:solidFill>
          <a:ln>
            <a:noFill/>
          </a:ln>
          <a:effectLst>
            <a:outerShdw blurRad="254000" sx="102000" sy="102000" algn="ctr" rotWithShape="0">
              <a:prstClr val="black">
                <a:alpha val="20000"/>
              </a:prstClr>
            </a:outerShdw>
          </a:effectLst>
        </c:spPr>
      </c:pivotFmt>
      <c:pivotFmt>
        <c:idx val="2623"/>
        <c:spPr>
          <a:solidFill>
            <a:schemeClr val="accent6"/>
          </a:solidFill>
          <a:ln>
            <a:noFill/>
          </a:ln>
          <a:effectLst>
            <a:outerShdw blurRad="254000" sx="102000" sy="102000" algn="ctr" rotWithShape="0">
              <a:prstClr val="black">
                <a:alpha val="20000"/>
              </a:prstClr>
            </a:outerShdw>
          </a:effectLst>
        </c:spPr>
      </c:pivotFmt>
      <c:pivotFmt>
        <c:idx val="2624"/>
        <c:spPr>
          <a:solidFill>
            <a:schemeClr val="accent6"/>
          </a:solidFill>
          <a:ln>
            <a:noFill/>
          </a:ln>
          <a:effectLst>
            <a:outerShdw blurRad="254000" sx="102000" sy="102000" algn="ctr" rotWithShape="0">
              <a:prstClr val="black">
                <a:alpha val="20000"/>
              </a:prstClr>
            </a:outerShdw>
          </a:effectLst>
        </c:spPr>
      </c:pivotFmt>
      <c:pivotFmt>
        <c:idx val="2625"/>
        <c:spPr>
          <a:solidFill>
            <a:schemeClr val="accent6"/>
          </a:solidFill>
          <a:ln>
            <a:noFill/>
          </a:ln>
          <a:effectLst>
            <a:outerShdw blurRad="254000" sx="102000" sy="102000" algn="ctr" rotWithShape="0">
              <a:prstClr val="black">
                <a:alpha val="20000"/>
              </a:prstClr>
            </a:outerShdw>
          </a:effectLst>
        </c:spPr>
      </c:pivotFmt>
      <c:pivotFmt>
        <c:idx val="2626"/>
        <c:spPr>
          <a:solidFill>
            <a:schemeClr val="accent6"/>
          </a:solidFill>
          <a:ln>
            <a:noFill/>
          </a:ln>
          <a:effectLst>
            <a:outerShdw blurRad="254000" sx="102000" sy="102000" algn="ctr" rotWithShape="0">
              <a:prstClr val="black">
                <a:alpha val="20000"/>
              </a:prstClr>
            </a:outerShdw>
          </a:effectLst>
        </c:spPr>
      </c:pivotFmt>
      <c:pivotFmt>
        <c:idx val="2627"/>
        <c:spPr>
          <a:solidFill>
            <a:schemeClr val="accent6"/>
          </a:solidFill>
          <a:ln>
            <a:noFill/>
          </a:ln>
          <a:effectLst>
            <a:outerShdw blurRad="254000" sx="102000" sy="102000" algn="ctr" rotWithShape="0">
              <a:prstClr val="black">
                <a:alpha val="20000"/>
              </a:prstClr>
            </a:outerShdw>
          </a:effectLst>
        </c:spPr>
      </c:pivotFmt>
      <c:pivotFmt>
        <c:idx val="2628"/>
        <c:spPr>
          <a:solidFill>
            <a:schemeClr val="accent6"/>
          </a:solidFill>
          <a:ln>
            <a:noFill/>
          </a:ln>
          <a:effectLst>
            <a:outerShdw blurRad="254000" sx="102000" sy="102000" algn="ctr" rotWithShape="0">
              <a:prstClr val="black">
                <a:alpha val="20000"/>
              </a:prstClr>
            </a:outerShdw>
          </a:effectLst>
        </c:spPr>
      </c:pivotFmt>
      <c:pivotFmt>
        <c:idx val="2629"/>
        <c:spPr>
          <a:solidFill>
            <a:schemeClr val="accent6"/>
          </a:solidFill>
          <a:ln>
            <a:noFill/>
          </a:ln>
          <a:effectLst>
            <a:outerShdw blurRad="254000" sx="102000" sy="102000" algn="ctr" rotWithShape="0">
              <a:prstClr val="black">
                <a:alpha val="20000"/>
              </a:prstClr>
            </a:outerShdw>
          </a:effectLst>
        </c:spPr>
      </c:pivotFmt>
      <c:pivotFmt>
        <c:idx val="2630"/>
        <c:spPr>
          <a:solidFill>
            <a:schemeClr val="accent6"/>
          </a:solidFill>
          <a:ln>
            <a:noFill/>
          </a:ln>
          <a:effectLst>
            <a:outerShdw blurRad="254000" sx="102000" sy="102000" algn="ctr" rotWithShape="0">
              <a:prstClr val="black">
                <a:alpha val="20000"/>
              </a:prstClr>
            </a:outerShdw>
          </a:effectLst>
        </c:spPr>
      </c:pivotFmt>
      <c:pivotFmt>
        <c:idx val="2631"/>
        <c:spPr>
          <a:solidFill>
            <a:schemeClr val="accent6"/>
          </a:solidFill>
          <a:ln>
            <a:noFill/>
          </a:ln>
          <a:effectLst>
            <a:outerShdw blurRad="254000" sx="102000" sy="102000" algn="ctr" rotWithShape="0">
              <a:prstClr val="black">
                <a:alpha val="20000"/>
              </a:prstClr>
            </a:outerShdw>
          </a:effectLst>
        </c:spPr>
      </c:pivotFmt>
      <c:pivotFmt>
        <c:idx val="2632"/>
        <c:spPr>
          <a:solidFill>
            <a:schemeClr val="accent6"/>
          </a:solidFill>
          <a:ln>
            <a:noFill/>
          </a:ln>
          <a:effectLst>
            <a:outerShdw blurRad="254000" sx="102000" sy="102000" algn="ctr" rotWithShape="0">
              <a:prstClr val="black">
                <a:alpha val="20000"/>
              </a:prstClr>
            </a:outerShdw>
          </a:effectLst>
        </c:spPr>
      </c:pivotFmt>
      <c:pivotFmt>
        <c:idx val="2633"/>
        <c:spPr>
          <a:solidFill>
            <a:schemeClr val="accent6"/>
          </a:solidFill>
          <a:ln>
            <a:noFill/>
          </a:ln>
          <a:effectLst>
            <a:outerShdw blurRad="254000" sx="102000" sy="102000" algn="ctr" rotWithShape="0">
              <a:prstClr val="black">
                <a:alpha val="20000"/>
              </a:prstClr>
            </a:outerShdw>
          </a:effectLst>
        </c:spPr>
      </c:pivotFmt>
      <c:pivotFmt>
        <c:idx val="2634"/>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635"/>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63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37"/>
        <c:spPr>
          <a:solidFill>
            <a:schemeClr val="accent6"/>
          </a:solidFill>
          <a:ln>
            <a:noFill/>
          </a:ln>
          <a:effectLst>
            <a:outerShdw blurRad="254000" sx="102000" sy="102000" algn="ctr" rotWithShape="0">
              <a:prstClr val="black">
                <a:alpha val="20000"/>
              </a:prstClr>
            </a:outerShdw>
          </a:effectLst>
        </c:spPr>
      </c:pivotFmt>
      <c:pivotFmt>
        <c:idx val="2638"/>
        <c:spPr>
          <a:solidFill>
            <a:schemeClr val="accent6"/>
          </a:solidFill>
          <a:ln>
            <a:noFill/>
          </a:ln>
          <a:effectLst>
            <a:outerShdw blurRad="254000" sx="102000" sy="102000" algn="ctr" rotWithShape="0">
              <a:prstClr val="black">
                <a:alpha val="20000"/>
              </a:prstClr>
            </a:outerShdw>
          </a:effectLst>
        </c:spPr>
      </c:pivotFmt>
      <c:pivotFmt>
        <c:idx val="2639"/>
        <c:spPr>
          <a:solidFill>
            <a:schemeClr val="accent6"/>
          </a:solidFill>
          <a:ln>
            <a:noFill/>
          </a:ln>
          <a:effectLst>
            <a:outerShdw blurRad="254000" sx="102000" sy="102000" algn="ctr" rotWithShape="0">
              <a:prstClr val="black">
                <a:alpha val="20000"/>
              </a:prstClr>
            </a:outerShdw>
          </a:effectLst>
        </c:spPr>
      </c:pivotFmt>
      <c:pivotFmt>
        <c:idx val="2640"/>
        <c:spPr>
          <a:solidFill>
            <a:schemeClr val="accent6"/>
          </a:solidFill>
          <a:ln>
            <a:noFill/>
          </a:ln>
          <a:effectLst>
            <a:outerShdw blurRad="254000" sx="102000" sy="102000" algn="ctr" rotWithShape="0">
              <a:prstClr val="black">
                <a:alpha val="20000"/>
              </a:prstClr>
            </a:outerShdw>
          </a:effectLst>
        </c:spPr>
      </c:pivotFmt>
      <c:pivotFmt>
        <c:idx val="2641"/>
        <c:spPr>
          <a:solidFill>
            <a:schemeClr val="accent6"/>
          </a:solidFill>
          <a:ln>
            <a:noFill/>
          </a:ln>
          <a:effectLst>
            <a:outerShdw blurRad="254000" sx="102000" sy="102000" algn="ctr" rotWithShape="0">
              <a:prstClr val="black">
                <a:alpha val="20000"/>
              </a:prstClr>
            </a:outerShdw>
          </a:effectLst>
        </c:spPr>
      </c:pivotFmt>
      <c:pivotFmt>
        <c:idx val="2642"/>
        <c:spPr>
          <a:solidFill>
            <a:schemeClr val="accent6"/>
          </a:solidFill>
          <a:ln>
            <a:noFill/>
          </a:ln>
          <a:effectLst>
            <a:outerShdw blurRad="254000" sx="102000" sy="102000" algn="ctr" rotWithShape="0">
              <a:prstClr val="black">
                <a:alpha val="20000"/>
              </a:prstClr>
            </a:outerShdw>
          </a:effectLst>
        </c:spPr>
      </c:pivotFmt>
      <c:pivotFmt>
        <c:idx val="2643"/>
        <c:spPr>
          <a:solidFill>
            <a:schemeClr val="accent6"/>
          </a:solidFill>
          <a:ln>
            <a:noFill/>
          </a:ln>
          <a:effectLst>
            <a:outerShdw blurRad="254000" sx="102000" sy="102000" algn="ctr" rotWithShape="0">
              <a:prstClr val="black">
                <a:alpha val="20000"/>
              </a:prstClr>
            </a:outerShdw>
          </a:effectLst>
        </c:spPr>
      </c:pivotFmt>
      <c:pivotFmt>
        <c:idx val="2644"/>
        <c:spPr>
          <a:solidFill>
            <a:schemeClr val="accent6"/>
          </a:solidFill>
          <a:ln>
            <a:noFill/>
          </a:ln>
          <a:effectLst>
            <a:outerShdw blurRad="254000" sx="102000" sy="102000" algn="ctr" rotWithShape="0">
              <a:prstClr val="black">
                <a:alpha val="20000"/>
              </a:prstClr>
            </a:outerShdw>
          </a:effectLst>
        </c:spPr>
      </c:pivotFmt>
      <c:pivotFmt>
        <c:idx val="2645"/>
        <c:spPr>
          <a:solidFill>
            <a:schemeClr val="accent6"/>
          </a:solidFill>
          <a:ln>
            <a:noFill/>
          </a:ln>
          <a:effectLst>
            <a:outerShdw blurRad="254000" sx="102000" sy="102000" algn="ctr" rotWithShape="0">
              <a:prstClr val="black">
                <a:alpha val="20000"/>
              </a:prstClr>
            </a:outerShdw>
          </a:effectLst>
        </c:spPr>
      </c:pivotFmt>
      <c:pivotFmt>
        <c:idx val="264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47"/>
        <c:spPr>
          <a:solidFill>
            <a:schemeClr val="accent6"/>
          </a:solidFill>
          <a:ln>
            <a:noFill/>
          </a:ln>
          <a:effectLst>
            <a:outerShdw blurRad="254000" sx="102000" sy="102000" algn="ctr" rotWithShape="0">
              <a:prstClr val="black">
                <a:alpha val="20000"/>
              </a:prstClr>
            </a:outerShdw>
          </a:effectLst>
        </c:spPr>
      </c:pivotFmt>
      <c:pivotFmt>
        <c:idx val="2648"/>
        <c:spPr>
          <a:solidFill>
            <a:schemeClr val="accent6"/>
          </a:solidFill>
          <a:ln>
            <a:noFill/>
          </a:ln>
          <a:effectLst>
            <a:outerShdw blurRad="254000" sx="102000" sy="102000" algn="ctr" rotWithShape="0">
              <a:prstClr val="black">
                <a:alpha val="20000"/>
              </a:prstClr>
            </a:outerShdw>
          </a:effectLst>
        </c:spPr>
      </c:pivotFmt>
      <c:pivotFmt>
        <c:idx val="2649"/>
        <c:spPr>
          <a:solidFill>
            <a:schemeClr val="accent6"/>
          </a:solidFill>
          <a:ln>
            <a:noFill/>
          </a:ln>
          <a:effectLst>
            <a:outerShdw blurRad="254000" sx="102000" sy="102000" algn="ctr" rotWithShape="0">
              <a:prstClr val="black">
                <a:alpha val="20000"/>
              </a:prstClr>
            </a:outerShdw>
          </a:effectLst>
        </c:spPr>
      </c:pivotFmt>
      <c:pivotFmt>
        <c:idx val="2650"/>
        <c:spPr>
          <a:solidFill>
            <a:schemeClr val="accent6"/>
          </a:solidFill>
          <a:ln>
            <a:noFill/>
          </a:ln>
          <a:effectLst>
            <a:outerShdw blurRad="254000" sx="102000" sy="102000" algn="ctr" rotWithShape="0">
              <a:prstClr val="black">
                <a:alpha val="20000"/>
              </a:prstClr>
            </a:outerShdw>
          </a:effectLst>
        </c:spPr>
      </c:pivotFmt>
      <c:pivotFmt>
        <c:idx val="2651"/>
        <c:spPr>
          <a:solidFill>
            <a:schemeClr val="accent6"/>
          </a:solidFill>
          <a:ln>
            <a:noFill/>
          </a:ln>
          <a:effectLst>
            <a:outerShdw blurRad="254000" sx="102000" sy="102000" algn="ctr" rotWithShape="0">
              <a:prstClr val="black">
                <a:alpha val="20000"/>
              </a:prstClr>
            </a:outerShdw>
          </a:effectLst>
        </c:spPr>
      </c:pivotFmt>
      <c:pivotFmt>
        <c:idx val="2652"/>
        <c:spPr>
          <a:solidFill>
            <a:schemeClr val="accent6"/>
          </a:solidFill>
          <a:ln>
            <a:noFill/>
          </a:ln>
          <a:effectLst>
            <a:outerShdw blurRad="254000" sx="102000" sy="102000" algn="ctr" rotWithShape="0">
              <a:prstClr val="black">
                <a:alpha val="20000"/>
              </a:prstClr>
            </a:outerShdw>
          </a:effectLst>
        </c:spPr>
      </c:pivotFmt>
      <c:pivotFmt>
        <c:idx val="2653"/>
        <c:spPr>
          <a:solidFill>
            <a:schemeClr val="accent6"/>
          </a:solidFill>
          <a:ln>
            <a:noFill/>
          </a:ln>
          <a:effectLst>
            <a:outerShdw blurRad="254000" sx="102000" sy="102000" algn="ctr" rotWithShape="0">
              <a:prstClr val="black">
                <a:alpha val="20000"/>
              </a:prstClr>
            </a:outerShdw>
          </a:effectLst>
        </c:spPr>
      </c:pivotFmt>
      <c:pivotFmt>
        <c:idx val="2654"/>
        <c:spPr>
          <a:solidFill>
            <a:schemeClr val="accent6"/>
          </a:solidFill>
          <a:ln>
            <a:noFill/>
          </a:ln>
          <a:effectLst>
            <a:outerShdw blurRad="254000" sx="102000" sy="102000" algn="ctr" rotWithShape="0">
              <a:prstClr val="black">
                <a:alpha val="20000"/>
              </a:prstClr>
            </a:outerShdw>
          </a:effectLst>
        </c:spPr>
      </c:pivotFmt>
      <c:pivotFmt>
        <c:idx val="2655"/>
        <c:spPr>
          <a:solidFill>
            <a:schemeClr val="accent6"/>
          </a:solidFill>
          <a:ln>
            <a:noFill/>
          </a:ln>
          <a:effectLst>
            <a:outerShdw blurRad="254000" sx="102000" sy="102000" algn="ctr" rotWithShape="0">
              <a:prstClr val="black">
                <a:alpha val="20000"/>
              </a:prstClr>
            </a:outerShdw>
          </a:effectLst>
        </c:spPr>
      </c:pivotFmt>
      <c:pivotFmt>
        <c:idx val="265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5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5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5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6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7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7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7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7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75"/>
        <c:spPr>
          <a:solidFill>
            <a:schemeClr val="accent6"/>
          </a:solidFill>
          <a:ln>
            <a:noFill/>
          </a:ln>
          <a:effectLst>
            <a:outerShdw blurRad="254000" sx="102000" sy="102000" algn="ctr" rotWithShape="0">
              <a:prstClr val="black">
                <a:alpha val="20000"/>
              </a:prstClr>
            </a:outerShdw>
          </a:effectLst>
        </c:spPr>
      </c:pivotFmt>
      <c:pivotFmt>
        <c:idx val="2676"/>
        <c:spPr>
          <a:solidFill>
            <a:schemeClr val="accent6"/>
          </a:solidFill>
          <a:ln>
            <a:noFill/>
          </a:ln>
          <a:effectLst>
            <a:outerShdw blurRad="254000" sx="102000" sy="102000" algn="ctr" rotWithShape="0">
              <a:prstClr val="black">
                <a:alpha val="20000"/>
              </a:prstClr>
            </a:outerShdw>
          </a:effectLst>
        </c:spPr>
      </c:pivotFmt>
      <c:pivotFmt>
        <c:idx val="2677"/>
        <c:spPr>
          <a:solidFill>
            <a:schemeClr val="accent6"/>
          </a:solidFill>
          <a:ln>
            <a:noFill/>
          </a:ln>
          <a:effectLst>
            <a:outerShdw blurRad="254000" sx="102000" sy="102000" algn="ctr" rotWithShape="0">
              <a:prstClr val="black">
                <a:alpha val="20000"/>
              </a:prstClr>
            </a:outerShdw>
          </a:effectLst>
        </c:spPr>
      </c:pivotFmt>
      <c:pivotFmt>
        <c:idx val="2678"/>
        <c:spPr>
          <a:solidFill>
            <a:schemeClr val="accent6"/>
          </a:solidFill>
          <a:ln>
            <a:noFill/>
          </a:ln>
          <a:effectLst>
            <a:outerShdw blurRad="254000" sx="102000" sy="102000" algn="ctr" rotWithShape="0">
              <a:prstClr val="black">
                <a:alpha val="20000"/>
              </a:prstClr>
            </a:outerShdw>
          </a:effectLst>
        </c:spPr>
      </c:pivotFmt>
      <c:pivotFmt>
        <c:idx val="2679"/>
        <c:spPr>
          <a:solidFill>
            <a:schemeClr val="accent6"/>
          </a:solidFill>
          <a:ln>
            <a:noFill/>
          </a:ln>
          <a:effectLst>
            <a:outerShdw blurRad="254000" sx="102000" sy="102000" algn="ctr" rotWithShape="0">
              <a:prstClr val="black">
                <a:alpha val="20000"/>
              </a:prstClr>
            </a:outerShdw>
          </a:effectLst>
        </c:spPr>
      </c:pivotFmt>
      <c:pivotFmt>
        <c:idx val="2680"/>
        <c:spPr>
          <a:solidFill>
            <a:schemeClr val="accent6"/>
          </a:solidFill>
          <a:ln>
            <a:noFill/>
          </a:ln>
          <a:effectLst>
            <a:outerShdw blurRad="254000" sx="102000" sy="102000" algn="ctr" rotWithShape="0">
              <a:prstClr val="black">
                <a:alpha val="20000"/>
              </a:prstClr>
            </a:outerShdw>
          </a:effectLst>
        </c:spPr>
      </c:pivotFmt>
      <c:pivotFmt>
        <c:idx val="2681"/>
        <c:spPr>
          <a:solidFill>
            <a:schemeClr val="accent6"/>
          </a:solidFill>
          <a:ln>
            <a:noFill/>
          </a:ln>
          <a:effectLst>
            <a:outerShdw blurRad="254000" sx="102000" sy="102000" algn="ctr" rotWithShape="0">
              <a:prstClr val="black">
                <a:alpha val="20000"/>
              </a:prstClr>
            </a:outerShdw>
          </a:effectLst>
        </c:spPr>
      </c:pivotFmt>
      <c:pivotFmt>
        <c:idx val="2682"/>
        <c:spPr>
          <a:solidFill>
            <a:schemeClr val="accent6"/>
          </a:solidFill>
          <a:ln>
            <a:noFill/>
          </a:ln>
          <a:effectLst>
            <a:outerShdw blurRad="254000" sx="102000" sy="102000" algn="ctr" rotWithShape="0">
              <a:prstClr val="black">
                <a:alpha val="20000"/>
              </a:prstClr>
            </a:outerShdw>
          </a:effectLst>
        </c:spPr>
      </c:pivotFmt>
      <c:pivotFmt>
        <c:idx val="2683"/>
        <c:spPr>
          <a:solidFill>
            <a:schemeClr val="accent6"/>
          </a:solidFill>
          <a:ln>
            <a:noFill/>
          </a:ln>
          <a:effectLst>
            <a:outerShdw blurRad="254000" sx="102000" sy="102000" algn="ctr" rotWithShape="0">
              <a:prstClr val="black">
                <a:alpha val="20000"/>
              </a:prstClr>
            </a:outerShdw>
          </a:effectLst>
        </c:spPr>
      </c:pivotFmt>
      <c:pivotFmt>
        <c:idx val="2684"/>
        <c:spPr>
          <a:solidFill>
            <a:schemeClr val="accent6"/>
          </a:solidFill>
          <a:ln>
            <a:noFill/>
          </a:ln>
          <a:effectLst>
            <a:outerShdw blurRad="254000" sx="102000" sy="102000" algn="ctr" rotWithShape="0">
              <a:prstClr val="black">
                <a:alpha val="20000"/>
              </a:prstClr>
            </a:outerShdw>
          </a:effectLst>
        </c:spPr>
      </c:pivotFmt>
      <c:pivotFmt>
        <c:idx val="2685"/>
        <c:spPr>
          <a:solidFill>
            <a:schemeClr val="accent6"/>
          </a:solidFill>
          <a:ln>
            <a:noFill/>
          </a:ln>
          <a:effectLst>
            <a:outerShdw blurRad="254000" sx="102000" sy="102000" algn="ctr" rotWithShape="0">
              <a:prstClr val="black">
                <a:alpha val="20000"/>
              </a:prstClr>
            </a:outerShdw>
          </a:effectLst>
        </c:spPr>
      </c:pivotFmt>
      <c:pivotFmt>
        <c:idx val="2686"/>
        <c:spPr>
          <a:solidFill>
            <a:schemeClr val="accent6"/>
          </a:solidFill>
          <a:ln>
            <a:noFill/>
          </a:ln>
          <a:effectLst>
            <a:outerShdw blurRad="254000" sx="102000" sy="102000" algn="ctr" rotWithShape="0">
              <a:prstClr val="black">
                <a:alpha val="20000"/>
              </a:prstClr>
            </a:outerShdw>
          </a:effectLst>
        </c:spPr>
      </c:pivotFmt>
      <c:pivotFmt>
        <c:idx val="2687"/>
        <c:spPr>
          <a:solidFill>
            <a:schemeClr val="accent6"/>
          </a:solidFill>
          <a:ln>
            <a:noFill/>
          </a:ln>
          <a:effectLst>
            <a:outerShdw blurRad="254000" sx="102000" sy="102000" algn="ctr" rotWithShape="0">
              <a:prstClr val="black">
                <a:alpha val="20000"/>
              </a:prstClr>
            </a:outerShdw>
          </a:effectLst>
        </c:spPr>
      </c:pivotFmt>
      <c:pivotFmt>
        <c:idx val="2688"/>
        <c:spPr>
          <a:solidFill>
            <a:schemeClr val="accent6"/>
          </a:solidFill>
          <a:ln>
            <a:noFill/>
          </a:ln>
          <a:effectLst>
            <a:outerShdw blurRad="254000" sx="102000" sy="102000" algn="ctr" rotWithShape="0">
              <a:prstClr val="black">
                <a:alpha val="20000"/>
              </a:prstClr>
            </a:outerShdw>
          </a:effectLst>
        </c:spPr>
      </c:pivotFmt>
      <c:pivotFmt>
        <c:idx val="2689"/>
        <c:spPr>
          <a:solidFill>
            <a:schemeClr val="accent6"/>
          </a:solidFill>
          <a:ln>
            <a:noFill/>
          </a:ln>
          <a:effectLst>
            <a:outerShdw blurRad="254000" sx="102000" sy="102000" algn="ctr" rotWithShape="0">
              <a:prstClr val="black">
                <a:alpha val="20000"/>
              </a:prstClr>
            </a:outerShdw>
          </a:effectLst>
        </c:spPr>
      </c:pivotFmt>
      <c:pivotFmt>
        <c:idx val="2690"/>
        <c:spPr>
          <a:solidFill>
            <a:schemeClr val="accent6"/>
          </a:solidFill>
          <a:ln>
            <a:noFill/>
          </a:ln>
          <a:effectLst>
            <a:outerShdw blurRad="254000" sx="102000" sy="102000" algn="ctr" rotWithShape="0">
              <a:prstClr val="black">
                <a:alpha val="20000"/>
              </a:prstClr>
            </a:outerShdw>
          </a:effectLst>
        </c:spPr>
      </c:pivotFmt>
      <c:pivotFmt>
        <c:idx val="2691"/>
        <c:spPr>
          <a:solidFill>
            <a:schemeClr val="accent6"/>
          </a:solidFill>
          <a:ln>
            <a:noFill/>
          </a:ln>
          <a:effectLst>
            <a:outerShdw blurRad="254000" sx="102000" sy="102000" algn="ctr" rotWithShape="0">
              <a:prstClr val="black">
                <a:alpha val="20000"/>
              </a:prstClr>
            </a:outerShdw>
          </a:effectLst>
        </c:spPr>
      </c:pivotFmt>
      <c:pivotFmt>
        <c:idx val="2692"/>
        <c:spPr>
          <a:solidFill>
            <a:schemeClr val="accent6"/>
          </a:solidFill>
          <a:ln>
            <a:noFill/>
          </a:ln>
          <a:effectLst>
            <a:outerShdw blurRad="254000" sx="102000" sy="102000" algn="ctr" rotWithShape="0">
              <a:prstClr val="black">
                <a:alpha val="20000"/>
              </a:prstClr>
            </a:outerShdw>
          </a:effectLst>
        </c:spPr>
      </c:pivotFmt>
      <c:pivotFmt>
        <c:idx val="2693"/>
        <c:spPr>
          <a:solidFill>
            <a:schemeClr val="accent6"/>
          </a:solidFill>
          <a:ln>
            <a:noFill/>
          </a:ln>
          <a:effectLst>
            <a:outerShdw blurRad="254000" sx="102000" sy="102000" algn="ctr" rotWithShape="0">
              <a:prstClr val="black">
                <a:alpha val="20000"/>
              </a:prstClr>
            </a:outerShdw>
          </a:effectLst>
        </c:spPr>
      </c:pivotFmt>
      <c:pivotFmt>
        <c:idx val="2694"/>
        <c:spPr>
          <a:solidFill>
            <a:schemeClr val="accent6"/>
          </a:solidFill>
          <a:ln>
            <a:noFill/>
          </a:ln>
          <a:effectLst>
            <a:outerShdw blurRad="254000" sx="102000" sy="102000" algn="ctr" rotWithShape="0">
              <a:prstClr val="black">
                <a:alpha val="20000"/>
              </a:prstClr>
            </a:outerShdw>
          </a:effectLst>
        </c:spPr>
      </c:pivotFmt>
      <c:pivotFmt>
        <c:idx val="2695"/>
        <c:spPr>
          <a:solidFill>
            <a:schemeClr val="accent6"/>
          </a:solidFill>
          <a:ln>
            <a:noFill/>
          </a:ln>
          <a:effectLst>
            <a:outerShdw blurRad="254000" sx="102000" sy="102000" algn="ctr" rotWithShape="0">
              <a:prstClr val="black">
                <a:alpha val="20000"/>
              </a:prstClr>
            </a:outerShdw>
          </a:effectLst>
        </c:spPr>
      </c:pivotFmt>
      <c:pivotFmt>
        <c:idx val="2696"/>
        <c:spPr>
          <a:solidFill>
            <a:schemeClr val="accent6"/>
          </a:solidFill>
          <a:ln>
            <a:noFill/>
          </a:ln>
          <a:effectLst>
            <a:outerShdw blurRad="254000" sx="102000" sy="102000" algn="ctr" rotWithShape="0">
              <a:prstClr val="black">
                <a:alpha val="20000"/>
              </a:prstClr>
            </a:outerShdw>
          </a:effectLst>
        </c:spPr>
      </c:pivotFmt>
      <c:pivotFmt>
        <c:idx val="2697"/>
        <c:spPr>
          <a:solidFill>
            <a:schemeClr val="accent6"/>
          </a:solidFill>
          <a:ln>
            <a:noFill/>
          </a:ln>
          <a:effectLst>
            <a:outerShdw blurRad="254000" sx="102000" sy="102000" algn="ctr" rotWithShape="0">
              <a:prstClr val="black">
                <a:alpha val="20000"/>
              </a:prstClr>
            </a:outerShdw>
          </a:effectLst>
        </c:spPr>
      </c:pivotFmt>
      <c:pivotFmt>
        <c:idx val="2698"/>
        <c:spPr>
          <a:solidFill>
            <a:schemeClr val="accent6"/>
          </a:solidFill>
          <a:ln>
            <a:noFill/>
          </a:ln>
          <a:effectLst>
            <a:outerShdw blurRad="254000" sx="102000" sy="102000" algn="ctr" rotWithShape="0">
              <a:prstClr val="black">
                <a:alpha val="20000"/>
              </a:prstClr>
            </a:outerShdw>
          </a:effectLst>
        </c:spPr>
      </c:pivotFmt>
      <c:pivotFmt>
        <c:idx val="2699"/>
        <c:spPr>
          <a:solidFill>
            <a:schemeClr val="accent6"/>
          </a:solidFill>
          <a:ln>
            <a:noFill/>
          </a:ln>
          <a:effectLst>
            <a:outerShdw blurRad="254000" sx="102000" sy="102000" algn="ctr" rotWithShape="0">
              <a:prstClr val="black">
                <a:alpha val="20000"/>
              </a:prstClr>
            </a:outerShdw>
          </a:effectLst>
        </c:spPr>
      </c:pivotFmt>
      <c:pivotFmt>
        <c:idx val="2700"/>
        <c:spPr>
          <a:solidFill>
            <a:schemeClr val="accent6"/>
          </a:solidFill>
          <a:ln>
            <a:noFill/>
          </a:ln>
          <a:effectLst>
            <a:outerShdw blurRad="254000" sx="102000" sy="102000" algn="ctr" rotWithShape="0">
              <a:prstClr val="black">
                <a:alpha val="20000"/>
              </a:prstClr>
            </a:outerShdw>
          </a:effectLst>
        </c:spPr>
      </c:pivotFmt>
      <c:pivotFmt>
        <c:idx val="2701"/>
        <c:spPr>
          <a:solidFill>
            <a:schemeClr val="accent6"/>
          </a:solidFill>
          <a:ln>
            <a:noFill/>
          </a:ln>
          <a:effectLst>
            <a:outerShdw blurRad="254000" sx="102000" sy="102000" algn="ctr" rotWithShape="0">
              <a:prstClr val="black">
                <a:alpha val="20000"/>
              </a:prstClr>
            </a:outerShdw>
          </a:effectLst>
        </c:spPr>
      </c:pivotFmt>
      <c:pivotFmt>
        <c:idx val="2702"/>
        <c:spPr>
          <a:solidFill>
            <a:schemeClr val="accent6"/>
          </a:solidFill>
          <a:ln>
            <a:noFill/>
          </a:ln>
          <a:effectLst>
            <a:outerShdw blurRad="254000" sx="102000" sy="102000" algn="ctr" rotWithShape="0">
              <a:prstClr val="black">
                <a:alpha val="20000"/>
              </a:prstClr>
            </a:outerShdw>
          </a:effectLst>
        </c:spPr>
      </c:pivotFmt>
      <c:pivotFmt>
        <c:idx val="2703"/>
        <c:spPr>
          <a:solidFill>
            <a:schemeClr val="accent6"/>
          </a:solidFill>
          <a:ln>
            <a:noFill/>
          </a:ln>
          <a:effectLst>
            <a:outerShdw blurRad="254000" sx="102000" sy="102000" algn="ctr" rotWithShape="0">
              <a:prstClr val="black">
                <a:alpha val="20000"/>
              </a:prstClr>
            </a:outerShdw>
          </a:effectLst>
        </c:spPr>
      </c:pivotFmt>
      <c:pivotFmt>
        <c:idx val="2704"/>
        <c:spPr>
          <a:solidFill>
            <a:schemeClr val="accent6"/>
          </a:solidFill>
          <a:ln>
            <a:noFill/>
          </a:ln>
          <a:effectLst>
            <a:outerShdw blurRad="254000" sx="102000" sy="102000" algn="ctr" rotWithShape="0">
              <a:prstClr val="black">
                <a:alpha val="20000"/>
              </a:prstClr>
            </a:outerShdw>
          </a:effectLst>
        </c:spPr>
      </c:pivotFmt>
      <c:pivotFmt>
        <c:idx val="2705"/>
        <c:spPr>
          <a:solidFill>
            <a:schemeClr val="accent6"/>
          </a:solidFill>
          <a:ln>
            <a:noFill/>
          </a:ln>
          <a:effectLst>
            <a:outerShdw blurRad="254000" sx="102000" sy="102000" algn="ctr" rotWithShape="0">
              <a:prstClr val="black">
                <a:alpha val="20000"/>
              </a:prstClr>
            </a:outerShdw>
          </a:effectLst>
        </c:spPr>
      </c:pivotFmt>
      <c:pivotFmt>
        <c:idx val="2706"/>
        <c:spPr>
          <a:solidFill>
            <a:schemeClr val="accent6"/>
          </a:solidFill>
          <a:ln>
            <a:noFill/>
          </a:ln>
          <a:effectLst>
            <a:outerShdw blurRad="254000" sx="102000" sy="102000" algn="ctr" rotWithShape="0">
              <a:prstClr val="black">
                <a:alpha val="20000"/>
              </a:prstClr>
            </a:outerShdw>
          </a:effectLst>
        </c:spPr>
      </c:pivotFmt>
      <c:pivotFmt>
        <c:idx val="2707"/>
        <c:spPr>
          <a:solidFill>
            <a:schemeClr val="accent6"/>
          </a:solidFill>
          <a:ln>
            <a:noFill/>
          </a:ln>
          <a:effectLst>
            <a:outerShdw blurRad="254000" sx="102000" sy="102000" algn="ctr" rotWithShape="0">
              <a:prstClr val="black">
                <a:alpha val="20000"/>
              </a:prstClr>
            </a:outerShdw>
          </a:effectLst>
        </c:spPr>
      </c:pivotFmt>
      <c:pivotFmt>
        <c:idx val="2708"/>
        <c:spPr>
          <a:solidFill>
            <a:schemeClr val="accent6"/>
          </a:solidFill>
          <a:ln>
            <a:noFill/>
          </a:ln>
          <a:effectLst>
            <a:outerShdw blurRad="254000" sx="102000" sy="102000" algn="ctr" rotWithShape="0">
              <a:prstClr val="black">
                <a:alpha val="20000"/>
              </a:prstClr>
            </a:outerShdw>
          </a:effectLst>
        </c:spPr>
      </c:pivotFmt>
      <c:pivotFmt>
        <c:idx val="2709"/>
        <c:spPr>
          <a:solidFill>
            <a:schemeClr val="accent6"/>
          </a:solidFill>
          <a:ln>
            <a:noFill/>
          </a:ln>
          <a:effectLst>
            <a:outerShdw blurRad="254000" sx="102000" sy="102000" algn="ctr" rotWithShape="0">
              <a:prstClr val="black">
                <a:alpha val="20000"/>
              </a:prstClr>
            </a:outerShdw>
          </a:effectLst>
        </c:spPr>
      </c:pivotFmt>
      <c:pivotFmt>
        <c:idx val="2710"/>
        <c:spPr>
          <a:solidFill>
            <a:schemeClr val="accent6"/>
          </a:solidFill>
          <a:ln>
            <a:noFill/>
          </a:ln>
          <a:effectLst>
            <a:outerShdw blurRad="254000" sx="102000" sy="102000" algn="ctr" rotWithShape="0">
              <a:prstClr val="black">
                <a:alpha val="20000"/>
              </a:prstClr>
            </a:outerShdw>
          </a:effectLst>
        </c:spPr>
      </c:pivotFmt>
      <c:pivotFmt>
        <c:idx val="2711"/>
        <c:spPr>
          <a:solidFill>
            <a:schemeClr val="accent6"/>
          </a:solidFill>
          <a:ln>
            <a:noFill/>
          </a:ln>
          <a:effectLst>
            <a:outerShdw blurRad="254000" sx="102000" sy="102000" algn="ctr" rotWithShape="0">
              <a:prstClr val="black">
                <a:alpha val="20000"/>
              </a:prstClr>
            </a:outerShdw>
          </a:effectLst>
        </c:spPr>
      </c:pivotFmt>
      <c:pivotFmt>
        <c:idx val="2712"/>
        <c:spPr>
          <a:solidFill>
            <a:schemeClr val="accent6"/>
          </a:solidFill>
          <a:ln>
            <a:noFill/>
          </a:ln>
          <a:effectLst>
            <a:outerShdw blurRad="254000" sx="102000" sy="102000" algn="ctr" rotWithShape="0">
              <a:prstClr val="black">
                <a:alpha val="20000"/>
              </a:prstClr>
            </a:outerShdw>
          </a:effectLst>
        </c:spPr>
      </c:pivotFmt>
      <c:pivotFmt>
        <c:idx val="2713"/>
        <c:spPr>
          <a:solidFill>
            <a:schemeClr val="accent6"/>
          </a:solidFill>
          <a:ln>
            <a:noFill/>
          </a:ln>
          <a:effectLst>
            <a:outerShdw blurRad="254000" sx="102000" sy="102000" algn="ctr" rotWithShape="0">
              <a:prstClr val="black">
                <a:alpha val="20000"/>
              </a:prstClr>
            </a:outerShdw>
          </a:effectLst>
        </c:spPr>
      </c:pivotFmt>
      <c:pivotFmt>
        <c:idx val="2714"/>
        <c:spPr>
          <a:solidFill>
            <a:schemeClr val="accent6"/>
          </a:solidFill>
          <a:ln>
            <a:noFill/>
          </a:ln>
          <a:effectLst>
            <a:outerShdw blurRad="254000" sx="102000" sy="102000" algn="ctr" rotWithShape="0">
              <a:prstClr val="black">
                <a:alpha val="20000"/>
              </a:prstClr>
            </a:outerShdw>
          </a:effectLst>
        </c:spPr>
      </c:pivotFmt>
      <c:pivotFmt>
        <c:idx val="2715"/>
        <c:spPr>
          <a:solidFill>
            <a:schemeClr val="accent6"/>
          </a:solidFill>
          <a:ln>
            <a:noFill/>
          </a:ln>
          <a:effectLst>
            <a:outerShdw blurRad="254000" sx="102000" sy="102000" algn="ctr" rotWithShape="0">
              <a:prstClr val="black">
                <a:alpha val="20000"/>
              </a:prstClr>
            </a:outerShdw>
          </a:effectLst>
        </c:spPr>
      </c:pivotFmt>
      <c:pivotFmt>
        <c:idx val="2716"/>
        <c:spPr>
          <a:solidFill>
            <a:schemeClr val="accent6"/>
          </a:solidFill>
          <a:ln>
            <a:noFill/>
          </a:ln>
          <a:effectLst>
            <a:outerShdw blurRad="254000" sx="102000" sy="102000" algn="ctr" rotWithShape="0">
              <a:prstClr val="black">
                <a:alpha val="20000"/>
              </a:prstClr>
            </a:outerShdw>
          </a:effectLst>
        </c:spPr>
      </c:pivotFmt>
      <c:pivotFmt>
        <c:idx val="2717"/>
        <c:spPr>
          <a:solidFill>
            <a:schemeClr val="accent6"/>
          </a:solidFill>
          <a:ln>
            <a:noFill/>
          </a:ln>
          <a:effectLst>
            <a:outerShdw blurRad="254000" sx="102000" sy="102000" algn="ctr" rotWithShape="0">
              <a:prstClr val="black">
                <a:alpha val="20000"/>
              </a:prstClr>
            </a:outerShdw>
          </a:effectLst>
        </c:spPr>
      </c:pivotFmt>
      <c:pivotFmt>
        <c:idx val="2718"/>
        <c:spPr>
          <a:solidFill>
            <a:schemeClr val="accent6"/>
          </a:solidFill>
          <a:ln>
            <a:noFill/>
          </a:ln>
          <a:effectLst>
            <a:outerShdw blurRad="254000" sx="102000" sy="102000" algn="ctr" rotWithShape="0">
              <a:prstClr val="black">
                <a:alpha val="20000"/>
              </a:prstClr>
            </a:outerShdw>
          </a:effectLst>
        </c:spPr>
      </c:pivotFmt>
      <c:pivotFmt>
        <c:idx val="2719"/>
        <c:spPr>
          <a:solidFill>
            <a:schemeClr val="accent6"/>
          </a:solidFill>
          <a:ln>
            <a:noFill/>
          </a:ln>
          <a:effectLst>
            <a:outerShdw blurRad="254000" sx="102000" sy="102000" algn="ctr" rotWithShape="0">
              <a:prstClr val="black">
                <a:alpha val="20000"/>
              </a:prstClr>
            </a:outerShdw>
          </a:effectLst>
        </c:spPr>
      </c:pivotFmt>
      <c:pivotFmt>
        <c:idx val="2720"/>
        <c:spPr>
          <a:solidFill>
            <a:schemeClr val="accent6"/>
          </a:solidFill>
          <a:ln>
            <a:noFill/>
          </a:ln>
          <a:effectLst>
            <a:outerShdw blurRad="254000" sx="102000" sy="102000" algn="ctr" rotWithShape="0">
              <a:prstClr val="black">
                <a:alpha val="20000"/>
              </a:prstClr>
            </a:outerShdw>
          </a:effectLst>
        </c:spPr>
      </c:pivotFmt>
      <c:pivotFmt>
        <c:idx val="2721"/>
        <c:spPr>
          <a:solidFill>
            <a:schemeClr val="accent6"/>
          </a:solidFill>
          <a:ln>
            <a:noFill/>
          </a:ln>
          <a:effectLst>
            <a:outerShdw blurRad="254000" sx="102000" sy="102000" algn="ctr" rotWithShape="0">
              <a:prstClr val="black">
                <a:alpha val="20000"/>
              </a:prstClr>
            </a:outerShdw>
          </a:effectLst>
        </c:spPr>
      </c:pivotFmt>
      <c:pivotFmt>
        <c:idx val="2722"/>
        <c:spPr>
          <a:solidFill>
            <a:schemeClr val="accent6"/>
          </a:solidFill>
          <a:ln>
            <a:noFill/>
          </a:ln>
          <a:effectLst>
            <a:outerShdw blurRad="254000" sx="102000" sy="102000" algn="ctr" rotWithShape="0">
              <a:prstClr val="black">
                <a:alpha val="20000"/>
              </a:prstClr>
            </a:outerShdw>
          </a:effectLst>
        </c:spPr>
      </c:pivotFmt>
      <c:pivotFmt>
        <c:idx val="2723"/>
        <c:spPr>
          <a:solidFill>
            <a:schemeClr val="accent6"/>
          </a:solidFill>
          <a:ln>
            <a:noFill/>
          </a:ln>
          <a:effectLst>
            <a:outerShdw blurRad="254000" sx="102000" sy="102000" algn="ctr" rotWithShape="0">
              <a:prstClr val="black">
                <a:alpha val="20000"/>
              </a:prstClr>
            </a:outerShdw>
          </a:effectLst>
        </c:spPr>
      </c:pivotFmt>
      <c:pivotFmt>
        <c:idx val="2724"/>
        <c:spPr>
          <a:solidFill>
            <a:schemeClr val="accent6"/>
          </a:solidFill>
          <a:ln>
            <a:noFill/>
          </a:ln>
          <a:effectLst>
            <a:outerShdw blurRad="254000" sx="102000" sy="102000" algn="ctr" rotWithShape="0">
              <a:prstClr val="black">
                <a:alpha val="20000"/>
              </a:prstClr>
            </a:outerShdw>
          </a:effectLst>
        </c:spPr>
      </c:pivotFmt>
      <c:pivotFmt>
        <c:idx val="2725"/>
        <c:spPr>
          <a:solidFill>
            <a:schemeClr val="accent6"/>
          </a:solidFill>
          <a:ln>
            <a:noFill/>
          </a:ln>
          <a:effectLst>
            <a:outerShdw blurRad="254000" sx="102000" sy="102000" algn="ctr" rotWithShape="0">
              <a:prstClr val="black">
                <a:alpha val="20000"/>
              </a:prstClr>
            </a:outerShdw>
          </a:effectLst>
        </c:spPr>
      </c:pivotFmt>
      <c:pivotFmt>
        <c:idx val="2726"/>
        <c:spPr>
          <a:solidFill>
            <a:schemeClr val="accent6"/>
          </a:solidFill>
          <a:ln>
            <a:noFill/>
          </a:ln>
          <a:effectLst>
            <a:outerShdw blurRad="254000" sx="102000" sy="102000" algn="ctr" rotWithShape="0">
              <a:prstClr val="black">
                <a:alpha val="20000"/>
              </a:prstClr>
            </a:outerShdw>
          </a:effectLst>
        </c:spPr>
      </c:pivotFmt>
      <c:pivotFmt>
        <c:idx val="2727"/>
        <c:spPr>
          <a:solidFill>
            <a:schemeClr val="accent6"/>
          </a:solidFill>
          <a:ln>
            <a:noFill/>
          </a:ln>
          <a:effectLst>
            <a:outerShdw blurRad="254000" sx="102000" sy="102000" algn="ctr" rotWithShape="0">
              <a:prstClr val="black">
                <a:alpha val="20000"/>
              </a:prstClr>
            </a:outerShdw>
          </a:effectLst>
        </c:spPr>
      </c:pivotFmt>
      <c:pivotFmt>
        <c:idx val="2728"/>
        <c:spPr>
          <a:solidFill>
            <a:schemeClr val="accent6"/>
          </a:solidFill>
          <a:ln>
            <a:noFill/>
          </a:ln>
          <a:effectLst>
            <a:outerShdw blurRad="254000" sx="102000" sy="102000" algn="ctr" rotWithShape="0">
              <a:prstClr val="black">
                <a:alpha val="20000"/>
              </a:prstClr>
            </a:outerShdw>
          </a:effectLst>
        </c:spPr>
      </c:pivotFmt>
      <c:pivotFmt>
        <c:idx val="2729"/>
        <c:spPr>
          <a:solidFill>
            <a:schemeClr val="accent6"/>
          </a:solidFill>
          <a:ln>
            <a:noFill/>
          </a:ln>
          <a:effectLst>
            <a:outerShdw blurRad="254000" sx="102000" sy="102000" algn="ctr" rotWithShape="0">
              <a:prstClr val="black">
                <a:alpha val="20000"/>
              </a:prstClr>
            </a:outerShdw>
          </a:effectLst>
        </c:spPr>
      </c:pivotFmt>
      <c:pivotFmt>
        <c:idx val="2730"/>
        <c:spPr>
          <a:solidFill>
            <a:schemeClr val="accent6"/>
          </a:solidFill>
          <a:ln>
            <a:noFill/>
          </a:ln>
          <a:effectLst>
            <a:outerShdw blurRad="254000" sx="102000" sy="102000" algn="ctr" rotWithShape="0">
              <a:prstClr val="black">
                <a:alpha val="20000"/>
              </a:prstClr>
            </a:outerShdw>
          </a:effectLst>
        </c:spPr>
      </c:pivotFmt>
      <c:pivotFmt>
        <c:idx val="2731"/>
        <c:spPr>
          <a:solidFill>
            <a:schemeClr val="accent6"/>
          </a:solidFill>
          <a:ln>
            <a:noFill/>
          </a:ln>
          <a:effectLst>
            <a:outerShdw blurRad="254000" sx="102000" sy="102000" algn="ctr" rotWithShape="0">
              <a:prstClr val="black">
                <a:alpha val="20000"/>
              </a:prstClr>
            </a:outerShdw>
          </a:effectLst>
        </c:spPr>
      </c:pivotFmt>
      <c:pivotFmt>
        <c:idx val="2732"/>
        <c:spPr>
          <a:solidFill>
            <a:schemeClr val="accent6"/>
          </a:solidFill>
          <a:ln>
            <a:noFill/>
          </a:ln>
          <a:effectLst>
            <a:outerShdw blurRad="254000" sx="102000" sy="102000" algn="ctr" rotWithShape="0">
              <a:prstClr val="black">
                <a:alpha val="20000"/>
              </a:prstClr>
            </a:outerShdw>
          </a:effectLst>
        </c:spPr>
      </c:pivotFmt>
      <c:pivotFmt>
        <c:idx val="2733"/>
        <c:spPr>
          <a:solidFill>
            <a:schemeClr val="accent6"/>
          </a:solidFill>
          <a:ln>
            <a:noFill/>
          </a:ln>
          <a:effectLst>
            <a:outerShdw blurRad="254000" sx="102000" sy="102000" algn="ctr" rotWithShape="0">
              <a:prstClr val="black">
                <a:alpha val="20000"/>
              </a:prstClr>
            </a:outerShdw>
          </a:effectLst>
        </c:spPr>
      </c:pivotFmt>
      <c:pivotFmt>
        <c:idx val="2734"/>
        <c:spPr>
          <a:solidFill>
            <a:schemeClr val="accent6"/>
          </a:solidFill>
          <a:ln>
            <a:noFill/>
          </a:ln>
          <a:effectLst>
            <a:outerShdw blurRad="254000" sx="102000" sy="102000" algn="ctr" rotWithShape="0">
              <a:prstClr val="black">
                <a:alpha val="20000"/>
              </a:prstClr>
            </a:outerShdw>
          </a:effectLst>
        </c:spPr>
      </c:pivotFmt>
      <c:pivotFmt>
        <c:idx val="2735"/>
        <c:spPr>
          <a:solidFill>
            <a:schemeClr val="accent6"/>
          </a:solidFill>
          <a:ln>
            <a:noFill/>
          </a:ln>
          <a:effectLst>
            <a:outerShdw blurRad="254000" sx="102000" sy="102000" algn="ctr" rotWithShape="0">
              <a:prstClr val="black">
                <a:alpha val="20000"/>
              </a:prstClr>
            </a:outerShdw>
          </a:effectLst>
        </c:spPr>
      </c:pivotFmt>
      <c:pivotFmt>
        <c:idx val="2736"/>
        <c:spPr>
          <a:solidFill>
            <a:schemeClr val="accent6"/>
          </a:solidFill>
          <a:ln>
            <a:noFill/>
          </a:ln>
          <a:effectLst>
            <a:outerShdw blurRad="254000" sx="102000" sy="102000" algn="ctr" rotWithShape="0">
              <a:prstClr val="black">
                <a:alpha val="20000"/>
              </a:prstClr>
            </a:outerShdw>
          </a:effectLst>
        </c:spPr>
      </c:pivotFmt>
      <c:pivotFmt>
        <c:idx val="2737"/>
        <c:spPr>
          <a:solidFill>
            <a:schemeClr val="accent6"/>
          </a:solidFill>
          <a:ln>
            <a:noFill/>
          </a:ln>
          <a:effectLst>
            <a:outerShdw blurRad="254000" sx="102000" sy="102000" algn="ctr" rotWithShape="0">
              <a:prstClr val="black">
                <a:alpha val="20000"/>
              </a:prstClr>
            </a:outerShdw>
          </a:effectLst>
        </c:spPr>
      </c:pivotFmt>
      <c:pivotFmt>
        <c:idx val="2738"/>
        <c:spPr>
          <a:solidFill>
            <a:schemeClr val="accent6"/>
          </a:solidFill>
          <a:ln>
            <a:noFill/>
          </a:ln>
          <a:effectLst>
            <a:outerShdw blurRad="254000" sx="102000" sy="102000" algn="ctr" rotWithShape="0">
              <a:prstClr val="black">
                <a:alpha val="20000"/>
              </a:prstClr>
            </a:outerShdw>
          </a:effectLst>
        </c:spPr>
      </c:pivotFmt>
      <c:pivotFmt>
        <c:idx val="2739"/>
        <c:spPr>
          <a:solidFill>
            <a:schemeClr val="accent6"/>
          </a:solidFill>
          <a:ln>
            <a:noFill/>
          </a:ln>
          <a:effectLst>
            <a:outerShdw blurRad="254000" sx="102000" sy="102000" algn="ctr" rotWithShape="0">
              <a:prstClr val="black">
                <a:alpha val="20000"/>
              </a:prstClr>
            </a:outerShdw>
          </a:effectLst>
        </c:spPr>
      </c:pivotFmt>
      <c:pivotFmt>
        <c:idx val="2740"/>
        <c:spPr>
          <a:solidFill>
            <a:schemeClr val="accent6"/>
          </a:solidFill>
          <a:ln>
            <a:noFill/>
          </a:ln>
          <a:effectLst>
            <a:outerShdw blurRad="254000" sx="102000" sy="102000" algn="ctr" rotWithShape="0">
              <a:prstClr val="black">
                <a:alpha val="20000"/>
              </a:prstClr>
            </a:outerShdw>
          </a:effectLst>
        </c:spPr>
      </c:pivotFmt>
      <c:pivotFmt>
        <c:idx val="2741"/>
        <c:spPr>
          <a:solidFill>
            <a:schemeClr val="accent6"/>
          </a:solidFill>
          <a:ln>
            <a:noFill/>
          </a:ln>
          <a:effectLst>
            <a:outerShdw blurRad="254000" sx="102000" sy="102000" algn="ctr" rotWithShape="0">
              <a:prstClr val="black">
                <a:alpha val="20000"/>
              </a:prstClr>
            </a:outerShdw>
          </a:effectLst>
        </c:spPr>
      </c:pivotFmt>
      <c:pivotFmt>
        <c:idx val="2742"/>
        <c:spPr>
          <a:solidFill>
            <a:schemeClr val="accent6"/>
          </a:solidFill>
          <a:ln>
            <a:noFill/>
          </a:ln>
          <a:effectLst>
            <a:outerShdw blurRad="254000" sx="102000" sy="102000" algn="ctr" rotWithShape="0">
              <a:prstClr val="black">
                <a:alpha val="20000"/>
              </a:prstClr>
            </a:outerShdw>
          </a:effectLst>
        </c:spPr>
      </c:pivotFmt>
      <c:pivotFmt>
        <c:idx val="2743"/>
        <c:spPr>
          <a:solidFill>
            <a:schemeClr val="accent6"/>
          </a:solidFill>
          <a:ln>
            <a:noFill/>
          </a:ln>
          <a:effectLst>
            <a:outerShdw blurRad="254000" sx="102000" sy="102000" algn="ctr" rotWithShape="0">
              <a:prstClr val="black">
                <a:alpha val="20000"/>
              </a:prstClr>
            </a:outerShdw>
          </a:effectLst>
        </c:spPr>
      </c:pivotFmt>
      <c:pivotFmt>
        <c:idx val="2744"/>
        <c:spPr>
          <a:solidFill>
            <a:schemeClr val="accent6"/>
          </a:solidFill>
          <a:ln>
            <a:noFill/>
          </a:ln>
          <a:effectLst>
            <a:outerShdw blurRad="254000" sx="102000" sy="102000" algn="ctr" rotWithShape="0">
              <a:prstClr val="black">
                <a:alpha val="20000"/>
              </a:prstClr>
            </a:outerShdw>
          </a:effectLst>
        </c:spPr>
      </c:pivotFmt>
      <c:pivotFmt>
        <c:idx val="2745"/>
        <c:spPr>
          <a:solidFill>
            <a:schemeClr val="accent6"/>
          </a:solidFill>
          <a:ln>
            <a:noFill/>
          </a:ln>
          <a:effectLst>
            <a:outerShdw blurRad="254000" sx="102000" sy="102000" algn="ctr" rotWithShape="0">
              <a:prstClr val="black">
                <a:alpha val="20000"/>
              </a:prstClr>
            </a:outerShdw>
          </a:effectLst>
        </c:spPr>
      </c:pivotFmt>
      <c:pivotFmt>
        <c:idx val="2746"/>
        <c:spPr>
          <a:solidFill>
            <a:schemeClr val="accent6"/>
          </a:solidFill>
          <a:ln>
            <a:noFill/>
          </a:ln>
          <a:effectLst>
            <a:outerShdw blurRad="254000" sx="102000" sy="102000" algn="ctr" rotWithShape="0">
              <a:prstClr val="black">
                <a:alpha val="20000"/>
              </a:prstClr>
            </a:outerShdw>
          </a:effectLst>
        </c:spPr>
      </c:pivotFmt>
      <c:pivotFmt>
        <c:idx val="274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48"/>
        <c:spPr>
          <a:solidFill>
            <a:schemeClr val="accent6"/>
          </a:solidFill>
          <a:ln>
            <a:noFill/>
          </a:ln>
          <a:effectLst>
            <a:outerShdw blurRad="254000" sx="102000" sy="102000" algn="ctr" rotWithShape="0">
              <a:prstClr val="black">
                <a:alpha val="20000"/>
              </a:prstClr>
            </a:outerShdw>
          </a:effectLst>
        </c:spPr>
      </c:pivotFmt>
      <c:pivotFmt>
        <c:idx val="2749"/>
        <c:spPr>
          <a:solidFill>
            <a:schemeClr val="accent6"/>
          </a:solidFill>
          <a:ln>
            <a:noFill/>
          </a:ln>
          <a:effectLst>
            <a:outerShdw blurRad="254000" sx="102000" sy="102000" algn="ctr" rotWithShape="0">
              <a:prstClr val="black">
                <a:alpha val="20000"/>
              </a:prstClr>
            </a:outerShdw>
          </a:effectLst>
        </c:spPr>
      </c:pivotFmt>
      <c:pivotFmt>
        <c:idx val="2750"/>
        <c:spPr>
          <a:solidFill>
            <a:schemeClr val="accent6"/>
          </a:solidFill>
          <a:ln>
            <a:noFill/>
          </a:ln>
          <a:effectLst>
            <a:outerShdw blurRad="254000" sx="102000" sy="102000" algn="ctr" rotWithShape="0">
              <a:prstClr val="black">
                <a:alpha val="20000"/>
              </a:prstClr>
            </a:outerShdw>
          </a:effectLst>
        </c:spPr>
      </c:pivotFmt>
      <c:pivotFmt>
        <c:idx val="2751"/>
        <c:spPr>
          <a:solidFill>
            <a:schemeClr val="accent6"/>
          </a:solidFill>
          <a:ln>
            <a:noFill/>
          </a:ln>
          <a:effectLst>
            <a:outerShdw blurRad="254000" sx="102000" sy="102000" algn="ctr" rotWithShape="0">
              <a:prstClr val="black">
                <a:alpha val="20000"/>
              </a:prstClr>
            </a:outerShdw>
          </a:effectLst>
        </c:spPr>
      </c:pivotFmt>
      <c:pivotFmt>
        <c:idx val="2752"/>
        <c:spPr>
          <a:solidFill>
            <a:schemeClr val="accent6"/>
          </a:solidFill>
          <a:ln>
            <a:noFill/>
          </a:ln>
          <a:effectLst>
            <a:outerShdw blurRad="254000" sx="102000" sy="102000" algn="ctr" rotWithShape="0">
              <a:prstClr val="black">
                <a:alpha val="20000"/>
              </a:prstClr>
            </a:outerShdw>
          </a:effectLst>
        </c:spPr>
      </c:pivotFmt>
      <c:pivotFmt>
        <c:idx val="2753"/>
        <c:spPr>
          <a:solidFill>
            <a:schemeClr val="accent6"/>
          </a:solidFill>
          <a:ln>
            <a:noFill/>
          </a:ln>
          <a:effectLst>
            <a:outerShdw blurRad="254000" sx="102000" sy="102000" algn="ctr" rotWithShape="0">
              <a:prstClr val="black">
                <a:alpha val="20000"/>
              </a:prstClr>
            </a:outerShdw>
          </a:effectLst>
        </c:spPr>
      </c:pivotFmt>
      <c:pivotFmt>
        <c:idx val="2754"/>
        <c:spPr>
          <a:solidFill>
            <a:schemeClr val="accent6"/>
          </a:solidFill>
          <a:ln>
            <a:noFill/>
          </a:ln>
          <a:effectLst>
            <a:outerShdw blurRad="254000" sx="102000" sy="102000" algn="ctr" rotWithShape="0">
              <a:prstClr val="black">
                <a:alpha val="20000"/>
              </a:prstClr>
            </a:outerShdw>
          </a:effectLst>
        </c:spPr>
      </c:pivotFmt>
      <c:pivotFmt>
        <c:idx val="2755"/>
        <c:spPr>
          <a:solidFill>
            <a:schemeClr val="accent6"/>
          </a:solidFill>
          <a:ln>
            <a:noFill/>
          </a:ln>
          <a:effectLst>
            <a:outerShdw blurRad="254000" sx="102000" sy="102000" algn="ctr" rotWithShape="0">
              <a:prstClr val="black">
                <a:alpha val="20000"/>
              </a:prstClr>
            </a:outerShdw>
          </a:effectLst>
        </c:spPr>
      </c:pivotFmt>
      <c:pivotFmt>
        <c:idx val="2756"/>
        <c:spPr>
          <a:solidFill>
            <a:schemeClr val="accent6"/>
          </a:solidFill>
          <a:ln>
            <a:noFill/>
          </a:ln>
          <a:effectLst>
            <a:outerShdw blurRad="254000" sx="102000" sy="102000" algn="ctr" rotWithShape="0">
              <a:prstClr val="black">
                <a:alpha val="20000"/>
              </a:prstClr>
            </a:outerShdw>
          </a:effectLst>
        </c:spPr>
      </c:pivotFmt>
      <c:pivotFmt>
        <c:idx val="275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58"/>
        <c:spPr>
          <a:solidFill>
            <a:schemeClr val="accent6"/>
          </a:solidFill>
          <a:ln>
            <a:noFill/>
          </a:ln>
          <a:effectLst>
            <a:outerShdw blurRad="254000" sx="102000" sy="102000" algn="ctr" rotWithShape="0">
              <a:prstClr val="black">
                <a:alpha val="20000"/>
              </a:prstClr>
            </a:outerShdw>
          </a:effectLst>
        </c:spPr>
      </c:pivotFmt>
      <c:pivotFmt>
        <c:idx val="2759"/>
        <c:spPr>
          <a:solidFill>
            <a:schemeClr val="accent6"/>
          </a:solidFill>
          <a:ln>
            <a:noFill/>
          </a:ln>
          <a:effectLst>
            <a:outerShdw blurRad="254000" sx="102000" sy="102000" algn="ctr" rotWithShape="0">
              <a:prstClr val="black">
                <a:alpha val="20000"/>
              </a:prstClr>
            </a:outerShdw>
          </a:effectLst>
        </c:spPr>
      </c:pivotFmt>
      <c:pivotFmt>
        <c:idx val="2760"/>
        <c:spPr>
          <a:solidFill>
            <a:schemeClr val="accent6"/>
          </a:solidFill>
          <a:ln>
            <a:noFill/>
          </a:ln>
          <a:effectLst>
            <a:outerShdw blurRad="254000" sx="102000" sy="102000" algn="ctr" rotWithShape="0">
              <a:prstClr val="black">
                <a:alpha val="20000"/>
              </a:prstClr>
            </a:outerShdw>
          </a:effectLst>
        </c:spPr>
      </c:pivotFmt>
      <c:pivotFmt>
        <c:idx val="2761"/>
        <c:spPr>
          <a:solidFill>
            <a:schemeClr val="accent6"/>
          </a:solidFill>
          <a:ln>
            <a:noFill/>
          </a:ln>
          <a:effectLst>
            <a:outerShdw blurRad="254000" sx="102000" sy="102000" algn="ctr" rotWithShape="0">
              <a:prstClr val="black">
                <a:alpha val="20000"/>
              </a:prstClr>
            </a:outerShdw>
          </a:effectLst>
        </c:spPr>
      </c:pivotFmt>
      <c:pivotFmt>
        <c:idx val="2762"/>
        <c:spPr>
          <a:solidFill>
            <a:schemeClr val="accent6"/>
          </a:solidFill>
          <a:ln>
            <a:noFill/>
          </a:ln>
          <a:effectLst>
            <a:outerShdw blurRad="254000" sx="102000" sy="102000" algn="ctr" rotWithShape="0">
              <a:prstClr val="black">
                <a:alpha val="20000"/>
              </a:prstClr>
            </a:outerShdw>
          </a:effectLst>
        </c:spPr>
      </c:pivotFmt>
      <c:pivotFmt>
        <c:idx val="2763"/>
        <c:spPr>
          <a:solidFill>
            <a:schemeClr val="accent6"/>
          </a:solidFill>
          <a:ln>
            <a:noFill/>
          </a:ln>
          <a:effectLst>
            <a:outerShdw blurRad="254000" sx="102000" sy="102000" algn="ctr" rotWithShape="0">
              <a:prstClr val="black">
                <a:alpha val="20000"/>
              </a:prstClr>
            </a:outerShdw>
          </a:effectLst>
        </c:spPr>
      </c:pivotFmt>
      <c:pivotFmt>
        <c:idx val="2764"/>
        <c:spPr>
          <a:solidFill>
            <a:schemeClr val="accent6"/>
          </a:solidFill>
          <a:ln>
            <a:noFill/>
          </a:ln>
          <a:effectLst>
            <a:outerShdw blurRad="254000" sx="102000" sy="102000" algn="ctr" rotWithShape="0">
              <a:prstClr val="black">
                <a:alpha val="20000"/>
              </a:prstClr>
            </a:outerShdw>
          </a:effectLst>
        </c:spPr>
      </c:pivotFmt>
      <c:pivotFmt>
        <c:idx val="2765"/>
        <c:spPr>
          <a:solidFill>
            <a:schemeClr val="accent6"/>
          </a:solidFill>
          <a:ln>
            <a:noFill/>
          </a:ln>
          <a:effectLst>
            <a:outerShdw blurRad="254000" sx="102000" sy="102000" algn="ctr" rotWithShape="0">
              <a:prstClr val="black">
                <a:alpha val="20000"/>
              </a:prstClr>
            </a:outerShdw>
          </a:effectLst>
        </c:spPr>
      </c:pivotFmt>
      <c:pivotFmt>
        <c:idx val="2766"/>
        <c:spPr>
          <a:solidFill>
            <a:schemeClr val="accent6"/>
          </a:solidFill>
          <a:ln>
            <a:noFill/>
          </a:ln>
          <a:effectLst>
            <a:outerShdw blurRad="254000" sx="102000" sy="102000" algn="ctr" rotWithShape="0">
              <a:prstClr val="black">
                <a:alpha val="20000"/>
              </a:prstClr>
            </a:outerShdw>
          </a:effectLst>
        </c:spPr>
      </c:pivotFmt>
      <c:pivotFmt>
        <c:idx val="276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6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6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7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8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82"/>
        <c:spPr>
          <a:solidFill>
            <a:schemeClr val="accent6"/>
          </a:solidFill>
          <a:ln>
            <a:noFill/>
          </a:ln>
          <a:effectLst>
            <a:outerShdw blurRad="254000" sx="102000" sy="102000" algn="ctr" rotWithShape="0">
              <a:prstClr val="black">
                <a:alpha val="20000"/>
              </a:prstClr>
            </a:outerShdw>
          </a:effectLst>
        </c:spPr>
      </c:pivotFmt>
      <c:pivotFmt>
        <c:idx val="2783"/>
        <c:spPr>
          <a:solidFill>
            <a:schemeClr val="accent6"/>
          </a:solidFill>
          <a:ln>
            <a:noFill/>
          </a:ln>
          <a:effectLst>
            <a:outerShdw blurRad="254000" sx="102000" sy="102000" algn="ctr" rotWithShape="0">
              <a:prstClr val="black">
                <a:alpha val="20000"/>
              </a:prstClr>
            </a:outerShdw>
          </a:effectLst>
        </c:spPr>
      </c:pivotFmt>
      <c:pivotFmt>
        <c:idx val="2784"/>
        <c:spPr>
          <a:solidFill>
            <a:schemeClr val="accent6"/>
          </a:solidFill>
          <a:ln>
            <a:noFill/>
          </a:ln>
          <a:effectLst>
            <a:outerShdw blurRad="254000" sx="102000" sy="102000" algn="ctr" rotWithShape="0">
              <a:prstClr val="black">
                <a:alpha val="20000"/>
              </a:prstClr>
            </a:outerShdw>
          </a:effectLst>
        </c:spPr>
      </c:pivotFmt>
      <c:pivotFmt>
        <c:idx val="2785"/>
        <c:spPr>
          <a:solidFill>
            <a:schemeClr val="accent6"/>
          </a:solidFill>
          <a:ln>
            <a:noFill/>
          </a:ln>
          <a:effectLst>
            <a:outerShdw blurRad="254000" sx="102000" sy="102000" algn="ctr" rotWithShape="0">
              <a:prstClr val="black">
                <a:alpha val="20000"/>
              </a:prstClr>
            </a:outerShdw>
          </a:effectLst>
        </c:spPr>
      </c:pivotFmt>
      <c:pivotFmt>
        <c:idx val="2786"/>
        <c:spPr>
          <a:solidFill>
            <a:schemeClr val="accent6"/>
          </a:solidFill>
          <a:ln>
            <a:noFill/>
          </a:ln>
          <a:effectLst>
            <a:outerShdw blurRad="254000" sx="102000" sy="102000" algn="ctr" rotWithShape="0">
              <a:prstClr val="black">
                <a:alpha val="20000"/>
              </a:prstClr>
            </a:outerShdw>
          </a:effectLst>
        </c:spPr>
      </c:pivotFmt>
      <c:pivotFmt>
        <c:idx val="2787"/>
        <c:spPr>
          <a:solidFill>
            <a:schemeClr val="accent6"/>
          </a:solidFill>
          <a:ln>
            <a:noFill/>
          </a:ln>
          <a:effectLst>
            <a:outerShdw blurRad="254000" sx="102000" sy="102000" algn="ctr" rotWithShape="0">
              <a:prstClr val="black">
                <a:alpha val="20000"/>
              </a:prstClr>
            </a:outerShdw>
          </a:effectLst>
        </c:spPr>
      </c:pivotFmt>
      <c:pivotFmt>
        <c:idx val="2788"/>
        <c:spPr>
          <a:solidFill>
            <a:schemeClr val="accent6"/>
          </a:solidFill>
          <a:ln>
            <a:noFill/>
          </a:ln>
          <a:effectLst>
            <a:outerShdw blurRad="254000" sx="102000" sy="102000" algn="ctr" rotWithShape="0">
              <a:prstClr val="black">
                <a:alpha val="20000"/>
              </a:prstClr>
            </a:outerShdw>
          </a:effectLst>
        </c:spPr>
      </c:pivotFmt>
      <c:pivotFmt>
        <c:idx val="2789"/>
        <c:spPr>
          <a:solidFill>
            <a:schemeClr val="accent6"/>
          </a:solidFill>
          <a:ln>
            <a:noFill/>
          </a:ln>
          <a:effectLst>
            <a:outerShdw blurRad="254000" sx="102000" sy="102000" algn="ctr" rotWithShape="0">
              <a:prstClr val="black">
                <a:alpha val="20000"/>
              </a:prstClr>
            </a:outerShdw>
          </a:effectLst>
        </c:spPr>
      </c:pivotFmt>
      <c:pivotFmt>
        <c:idx val="2790"/>
        <c:spPr>
          <a:solidFill>
            <a:schemeClr val="accent6"/>
          </a:solidFill>
          <a:ln>
            <a:noFill/>
          </a:ln>
          <a:effectLst>
            <a:outerShdw blurRad="254000" sx="102000" sy="102000" algn="ctr" rotWithShape="0">
              <a:prstClr val="black">
                <a:alpha val="20000"/>
              </a:prstClr>
            </a:outerShdw>
          </a:effectLst>
        </c:spPr>
      </c:pivotFmt>
      <c:pivotFmt>
        <c:idx val="27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92"/>
        <c:spPr>
          <a:solidFill>
            <a:schemeClr val="accent6"/>
          </a:solidFill>
          <a:ln>
            <a:noFill/>
          </a:ln>
          <a:effectLst>
            <a:outerShdw blurRad="254000" sx="102000" sy="102000" algn="ctr" rotWithShape="0">
              <a:prstClr val="black">
                <a:alpha val="20000"/>
              </a:prstClr>
            </a:outerShdw>
          </a:effectLst>
        </c:spPr>
      </c:pivotFmt>
      <c:pivotFmt>
        <c:idx val="2793"/>
        <c:spPr>
          <a:solidFill>
            <a:schemeClr val="accent6"/>
          </a:solidFill>
          <a:ln>
            <a:noFill/>
          </a:ln>
          <a:effectLst>
            <a:outerShdw blurRad="254000" sx="102000" sy="102000" algn="ctr" rotWithShape="0">
              <a:prstClr val="black">
                <a:alpha val="20000"/>
              </a:prstClr>
            </a:outerShdw>
          </a:effectLst>
        </c:spPr>
      </c:pivotFmt>
      <c:pivotFmt>
        <c:idx val="2794"/>
        <c:spPr>
          <a:solidFill>
            <a:schemeClr val="accent6"/>
          </a:solidFill>
          <a:ln>
            <a:noFill/>
          </a:ln>
          <a:effectLst>
            <a:outerShdw blurRad="254000" sx="102000" sy="102000" algn="ctr" rotWithShape="0">
              <a:prstClr val="black">
                <a:alpha val="20000"/>
              </a:prstClr>
            </a:outerShdw>
          </a:effectLst>
        </c:spPr>
      </c:pivotFmt>
      <c:pivotFmt>
        <c:idx val="2795"/>
        <c:spPr>
          <a:solidFill>
            <a:schemeClr val="accent6"/>
          </a:solidFill>
          <a:ln>
            <a:noFill/>
          </a:ln>
          <a:effectLst>
            <a:outerShdw blurRad="254000" sx="102000" sy="102000" algn="ctr" rotWithShape="0">
              <a:prstClr val="black">
                <a:alpha val="20000"/>
              </a:prstClr>
            </a:outerShdw>
          </a:effectLst>
        </c:spPr>
      </c:pivotFmt>
      <c:pivotFmt>
        <c:idx val="2796"/>
        <c:spPr>
          <a:solidFill>
            <a:schemeClr val="accent6"/>
          </a:solidFill>
          <a:ln>
            <a:noFill/>
          </a:ln>
          <a:effectLst>
            <a:outerShdw blurRad="254000" sx="102000" sy="102000" algn="ctr" rotWithShape="0">
              <a:prstClr val="black">
                <a:alpha val="20000"/>
              </a:prstClr>
            </a:outerShdw>
          </a:effectLst>
        </c:spPr>
      </c:pivotFmt>
      <c:pivotFmt>
        <c:idx val="2797"/>
        <c:spPr>
          <a:solidFill>
            <a:schemeClr val="accent6"/>
          </a:solidFill>
          <a:ln>
            <a:noFill/>
          </a:ln>
          <a:effectLst>
            <a:outerShdw blurRad="254000" sx="102000" sy="102000" algn="ctr" rotWithShape="0">
              <a:prstClr val="black">
                <a:alpha val="20000"/>
              </a:prstClr>
            </a:outerShdw>
          </a:effectLst>
        </c:spPr>
      </c:pivotFmt>
      <c:pivotFmt>
        <c:idx val="2798"/>
        <c:spPr>
          <a:solidFill>
            <a:schemeClr val="accent6"/>
          </a:solidFill>
          <a:ln>
            <a:noFill/>
          </a:ln>
          <a:effectLst>
            <a:outerShdw blurRad="254000" sx="102000" sy="102000" algn="ctr" rotWithShape="0">
              <a:prstClr val="black">
                <a:alpha val="20000"/>
              </a:prstClr>
            </a:outerShdw>
          </a:effectLst>
        </c:spPr>
      </c:pivotFmt>
      <c:pivotFmt>
        <c:idx val="2799"/>
        <c:spPr>
          <a:solidFill>
            <a:schemeClr val="accent6"/>
          </a:solidFill>
          <a:ln>
            <a:noFill/>
          </a:ln>
          <a:effectLst>
            <a:outerShdw blurRad="254000" sx="102000" sy="102000" algn="ctr" rotWithShape="0">
              <a:prstClr val="black">
                <a:alpha val="20000"/>
              </a:prstClr>
            </a:outerShdw>
          </a:effectLst>
        </c:spPr>
      </c:pivotFmt>
      <c:pivotFmt>
        <c:idx val="2800"/>
        <c:spPr>
          <a:solidFill>
            <a:schemeClr val="accent6"/>
          </a:solidFill>
          <a:ln>
            <a:noFill/>
          </a:ln>
          <a:effectLst>
            <a:outerShdw blurRad="254000" sx="102000" sy="102000" algn="ctr" rotWithShape="0">
              <a:prstClr val="black">
                <a:alpha val="20000"/>
              </a:prstClr>
            </a:outerShdw>
          </a:effectLst>
        </c:spPr>
      </c:pivotFmt>
      <c:pivotFmt>
        <c:idx val="28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02"/>
        <c:spPr>
          <a:solidFill>
            <a:schemeClr val="accent6"/>
          </a:solidFill>
          <a:ln>
            <a:noFill/>
          </a:ln>
          <a:effectLst>
            <a:outerShdw blurRad="254000" sx="102000" sy="102000" algn="ctr" rotWithShape="0">
              <a:prstClr val="black">
                <a:alpha val="20000"/>
              </a:prstClr>
            </a:outerShdw>
          </a:effectLst>
        </c:spPr>
      </c:pivotFmt>
      <c:pivotFmt>
        <c:idx val="2803"/>
        <c:spPr>
          <a:solidFill>
            <a:schemeClr val="accent6"/>
          </a:solidFill>
          <a:ln>
            <a:noFill/>
          </a:ln>
          <a:effectLst>
            <a:outerShdw blurRad="254000" sx="102000" sy="102000" algn="ctr" rotWithShape="0">
              <a:prstClr val="black">
                <a:alpha val="20000"/>
              </a:prstClr>
            </a:outerShdw>
          </a:effectLst>
        </c:spPr>
      </c:pivotFmt>
      <c:pivotFmt>
        <c:idx val="2804"/>
        <c:spPr>
          <a:solidFill>
            <a:schemeClr val="accent6"/>
          </a:solidFill>
          <a:ln>
            <a:noFill/>
          </a:ln>
          <a:effectLst>
            <a:outerShdw blurRad="254000" sx="102000" sy="102000" algn="ctr" rotWithShape="0">
              <a:prstClr val="black">
                <a:alpha val="20000"/>
              </a:prstClr>
            </a:outerShdw>
          </a:effectLst>
        </c:spPr>
      </c:pivotFmt>
      <c:pivotFmt>
        <c:idx val="2805"/>
        <c:spPr>
          <a:solidFill>
            <a:schemeClr val="accent6"/>
          </a:solidFill>
          <a:ln>
            <a:noFill/>
          </a:ln>
          <a:effectLst>
            <a:outerShdw blurRad="254000" sx="102000" sy="102000" algn="ctr" rotWithShape="0">
              <a:prstClr val="black">
                <a:alpha val="20000"/>
              </a:prstClr>
            </a:outerShdw>
          </a:effectLst>
        </c:spPr>
      </c:pivotFmt>
      <c:pivotFmt>
        <c:idx val="2806"/>
        <c:spPr>
          <a:solidFill>
            <a:schemeClr val="accent6"/>
          </a:solidFill>
          <a:ln>
            <a:noFill/>
          </a:ln>
          <a:effectLst>
            <a:outerShdw blurRad="254000" sx="102000" sy="102000" algn="ctr" rotWithShape="0">
              <a:prstClr val="black">
                <a:alpha val="20000"/>
              </a:prstClr>
            </a:outerShdw>
          </a:effectLst>
        </c:spPr>
      </c:pivotFmt>
      <c:pivotFmt>
        <c:idx val="2807"/>
        <c:spPr>
          <a:solidFill>
            <a:schemeClr val="accent6"/>
          </a:solidFill>
          <a:ln>
            <a:noFill/>
          </a:ln>
          <a:effectLst>
            <a:outerShdw blurRad="254000" sx="102000" sy="102000" algn="ctr" rotWithShape="0">
              <a:prstClr val="black">
                <a:alpha val="20000"/>
              </a:prstClr>
            </a:outerShdw>
          </a:effectLst>
        </c:spPr>
      </c:pivotFmt>
      <c:pivotFmt>
        <c:idx val="2808"/>
        <c:spPr>
          <a:solidFill>
            <a:schemeClr val="accent6"/>
          </a:solidFill>
          <a:ln>
            <a:noFill/>
          </a:ln>
          <a:effectLst>
            <a:outerShdw blurRad="254000" sx="102000" sy="102000" algn="ctr" rotWithShape="0">
              <a:prstClr val="black">
                <a:alpha val="20000"/>
              </a:prstClr>
            </a:outerShdw>
          </a:effectLst>
        </c:spPr>
      </c:pivotFmt>
      <c:pivotFmt>
        <c:idx val="2809"/>
        <c:spPr>
          <a:solidFill>
            <a:schemeClr val="accent6"/>
          </a:solidFill>
          <a:ln>
            <a:noFill/>
          </a:ln>
          <a:effectLst>
            <a:outerShdw blurRad="254000" sx="102000" sy="102000" algn="ctr" rotWithShape="0">
              <a:prstClr val="black">
                <a:alpha val="20000"/>
              </a:prstClr>
            </a:outerShdw>
          </a:effectLst>
        </c:spPr>
      </c:pivotFmt>
      <c:pivotFmt>
        <c:idx val="2810"/>
        <c:spPr>
          <a:solidFill>
            <a:schemeClr val="accent6"/>
          </a:solidFill>
          <a:ln>
            <a:noFill/>
          </a:ln>
          <a:effectLst>
            <a:outerShdw blurRad="254000" sx="102000" sy="102000" algn="ctr" rotWithShape="0">
              <a:prstClr val="black">
                <a:alpha val="20000"/>
              </a:prstClr>
            </a:outerShdw>
          </a:effectLst>
        </c:spPr>
      </c:pivotFmt>
      <c:pivotFmt>
        <c:idx val="28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12"/>
        <c:spPr>
          <a:solidFill>
            <a:schemeClr val="accent6"/>
          </a:solidFill>
          <a:ln>
            <a:noFill/>
          </a:ln>
          <a:effectLst>
            <a:outerShdw blurRad="254000" sx="102000" sy="102000" algn="ctr" rotWithShape="0">
              <a:prstClr val="black">
                <a:alpha val="20000"/>
              </a:prstClr>
            </a:outerShdw>
          </a:effectLst>
        </c:spPr>
      </c:pivotFmt>
      <c:pivotFmt>
        <c:idx val="2813"/>
        <c:spPr>
          <a:solidFill>
            <a:schemeClr val="accent6"/>
          </a:solidFill>
          <a:ln>
            <a:noFill/>
          </a:ln>
          <a:effectLst>
            <a:outerShdw blurRad="254000" sx="102000" sy="102000" algn="ctr" rotWithShape="0">
              <a:prstClr val="black">
                <a:alpha val="20000"/>
              </a:prstClr>
            </a:outerShdw>
          </a:effectLst>
        </c:spPr>
      </c:pivotFmt>
      <c:pivotFmt>
        <c:idx val="2814"/>
        <c:spPr>
          <a:solidFill>
            <a:schemeClr val="accent6"/>
          </a:solidFill>
          <a:ln>
            <a:noFill/>
          </a:ln>
          <a:effectLst>
            <a:outerShdw blurRad="254000" sx="102000" sy="102000" algn="ctr" rotWithShape="0">
              <a:prstClr val="black">
                <a:alpha val="20000"/>
              </a:prstClr>
            </a:outerShdw>
          </a:effectLst>
        </c:spPr>
      </c:pivotFmt>
      <c:pivotFmt>
        <c:idx val="2815"/>
        <c:spPr>
          <a:solidFill>
            <a:schemeClr val="accent6"/>
          </a:solidFill>
          <a:ln>
            <a:noFill/>
          </a:ln>
          <a:effectLst>
            <a:outerShdw blurRad="254000" sx="102000" sy="102000" algn="ctr" rotWithShape="0">
              <a:prstClr val="black">
                <a:alpha val="20000"/>
              </a:prstClr>
            </a:outerShdw>
          </a:effectLst>
        </c:spPr>
      </c:pivotFmt>
      <c:pivotFmt>
        <c:idx val="2816"/>
        <c:spPr>
          <a:solidFill>
            <a:schemeClr val="accent6"/>
          </a:solidFill>
          <a:ln>
            <a:noFill/>
          </a:ln>
          <a:effectLst>
            <a:outerShdw blurRad="254000" sx="102000" sy="102000" algn="ctr" rotWithShape="0">
              <a:prstClr val="black">
                <a:alpha val="20000"/>
              </a:prstClr>
            </a:outerShdw>
          </a:effectLst>
        </c:spPr>
      </c:pivotFmt>
      <c:pivotFmt>
        <c:idx val="2817"/>
        <c:spPr>
          <a:solidFill>
            <a:schemeClr val="accent6"/>
          </a:solidFill>
          <a:ln>
            <a:noFill/>
          </a:ln>
          <a:effectLst>
            <a:outerShdw blurRad="254000" sx="102000" sy="102000" algn="ctr" rotWithShape="0">
              <a:prstClr val="black">
                <a:alpha val="20000"/>
              </a:prstClr>
            </a:outerShdw>
          </a:effectLst>
        </c:spPr>
      </c:pivotFmt>
      <c:pivotFmt>
        <c:idx val="2818"/>
        <c:spPr>
          <a:solidFill>
            <a:schemeClr val="accent6"/>
          </a:solidFill>
          <a:ln>
            <a:noFill/>
          </a:ln>
          <a:effectLst>
            <a:outerShdw blurRad="254000" sx="102000" sy="102000" algn="ctr" rotWithShape="0">
              <a:prstClr val="black">
                <a:alpha val="20000"/>
              </a:prstClr>
            </a:outerShdw>
          </a:effectLst>
        </c:spPr>
      </c:pivotFmt>
      <c:pivotFmt>
        <c:idx val="2819"/>
        <c:spPr>
          <a:solidFill>
            <a:schemeClr val="accent6"/>
          </a:solidFill>
          <a:ln>
            <a:noFill/>
          </a:ln>
          <a:effectLst>
            <a:outerShdw blurRad="254000" sx="102000" sy="102000" algn="ctr" rotWithShape="0">
              <a:prstClr val="black">
                <a:alpha val="20000"/>
              </a:prstClr>
            </a:outerShdw>
          </a:effectLst>
        </c:spPr>
      </c:pivotFmt>
      <c:pivotFmt>
        <c:idx val="2820"/>
        <c:spPr>
          <a:solidFill>
            <a:schemeClr val="accent6"/>
          </a:solidFill>
          <a:ln>
            <a:noFill/>
          </a:ln>
          <a:effectLst>
            <a:outerShdw blurRad="254000" sx="102000" sy="102000" algn="ctr" rotWithShape="0">
              <a:prstClr val="black">
                <a:alpha val="20000"/>
              </a:prstClr>
            </a:outerShdw>
          </a:effectLst>
        </c:spPr>
      </c:pivotFmt>
      <c:pivotFmt>
        <c:idx val="28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22"/>
        <c:spPr>
          <a:solidFill>
            <a:schemeClr val="accent6"/>
          </a:solidFill>
          <a:ln>
            <a:noFill/>
          </a:ln>
          <a:effectLst>
            <a:outerShdw blurRad="254000" sx="102000" sy="102000" algn="ctr" rotWithShape="0">
              <a:prstClr val="black">
                <a:alpha val="20000"/>
              </a:prstClr>
            </a:outerShdw>
          </a:effectLst>
        </c:spPr>
      </c:pivotFmt>
      <c:pivotFmt>
        <c:idx val="2823"/>
        <c:spPr>
          <a:solidFill>
            <a:schemeClr val="accent6"/>
          </a:solidFill>
          <a:ln>
            <a:noFill/>
          </a:ln>
          <a:effectLst>
            <a:outerShdw blurRad="254000" sx="102000" sy="102000" algn="ctr" rotWithShape="0">
              <a:prstClr val="black">
                <a:alpha val="20000"/>
              </a:prstClr>
            </a:outerShdw>
          </a:effectLst>
        </c:spPr>
      </c:pivotFmt>
      <c:pivotFmt>
        <c:idx val="2824"/>
        <c:spPr>
          <a:solidFill>
            <a:schemeClr val="accent6"/>
          </a:solidFill>
          <a:ln>
            <a:noFill/>
          </a:ln>
          <a:effectLst>
            <a:outerShdw blurRad="254000" sx="102000" sy="102000" algn="ctr" rotWithShape="0">
              <a:prstClr val="black">
                <a:alpha val="20000"/>
              </a:prstClr>
            </a:outerShdw>
          </a:effectLst>
        </c:spPr>
      </c:pivotFmt>
      <c:pivotFmt>
        <c:idx val="2825"/>
        <c:spPr>
          <a:solidFill>
            <a:schemeClr val="accent6"/>
          </a:solidFill>
          <a:ln>
            <a:noFill/>
          </a:ln>
          <a:effectLst>
            <a:outerShdw blurRad="254000" sx="102000" sy="102000" algn="ctr" rotWithShape="0">
              <a:prstClr val="black">
                <a:alpha val="20000"/>
              </a:prstClr>
            </a:outerShdw>
          </a:effectLst>
        </c:spPr>
      </c:pivotFmt>
      <c:pivotFmt>
        <c:idx val="2826"/>
        <c:spPr>
          <a:solidFill>
            <a:schemeClr val="accent6"/>
          </a:solidFill>
          <a:ln>
            <a:noFill/>
          </a:ln>
          <a:effectLst>
            <a:outerShdw blurRad="254000" sx="102000" sy="102000" algn="ctr" rotWithShape="0">
              <a:prstClr val="black">
                <a:alpha val="20000"/>
              </a:prstClr>
            </a:outerShdw>
          </a:effectLst>
        </c:spPr>
      </c:pivotFmt>
      <c:pivotFmt>
        <c:idx val="2827"/>
        <c:spPr>
          <a:solidFill>
            <a:schemeClr val="accent6"/>
          </a:solidFill>
          <a:ln>
            <a:noFill/>
          </a:ln>
          <a:effectLst>
            <a:outerShdw blurRad="254000" sx="102000" sy="102000" algn="ctr" rotWithShape="0">
              <a:prstClr val="black">
                <a:alpha val="20000"/>
              </a:prstClr>
            </a:outerShdw>
          </a:effectLst>
        </c:spPr>
      </c:pivotFmt>
      <c:pivotFmt>
        <c:idx val="2828"/>
        <c:spPr>
          <a:solidFill>
            <a:schemeClr val="accent6"/>
          </a:solidFill>
          <a:ln>
            <a:noFill/>
          </a:ln>
          <a:effectLst>
            <a:outerShdw blurRad="254000" sx="102000" sy="102000" algn="ctr" rotWithShape="0">
              <a:prstClr val="black">
                <a:alpha val="20000"/>
              </a:prstClr>
            </a:outerShdw>
          </a:effectLst>
        </c:spPr>
      </c:pivotFmt>
      <c:pivotFmt>
        <c:idx val="2829"/>
        <c:spPr>
          <a:solidFill>
            <a:schemeClr val="accent6"/>
          </a:solidFill>
          <a:ln>
            <a:noFill/>
          </a:ln>
          <a:effectLst>
            <a:outerShdw blurRad="254000" sx="102000" sy="102000" algn="ctr" rotWithShape="0">
              <a:prstClr val="black">
                <a:alpha val="20000"/>
              </a:prstClr>
            </a:outerShdw>
          </a:effectLst>
        </c:spPr>
      </c:pivotFmt>
      <c:pivotFmt>
        <c:idx val="2830"/>
        <c:spPr>
          <a:solidFill>
            <a:schemeClr val="accent6"/>
          </a:solidFill>
          <a:ln>
            <a:noFill/>
          </a:ln>
          <a:effectLst>
            <a:outerShdw blurRad="254000" sx="102000" sy="102000" algn="ctr" rotWithShape="0">
              <a:prstClr val="black">
                <a:alpha val="20000"/>
              </a:prstClr>
            </a:outerShdw>
          </a:effectLst>
        </c:spPr>
      </c:pivotFmt>
      <c:pivotFmt>
        <c:idx val="28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32"/>
        <c:spPr>
          <a:solidFill>
            <a:schemeClr val="accent6"/>
          </a:solidFill>
          <a:ln>
            <a:noFill/>
          </a:ln>
          <a:effectLst>
            <a:outerShdw blurRad="254000" sx="102000" sy="102000" algn="ctr" rotWithShape="0">
              <a:prstClr val="black">
                <a:alpha val="20000"/>
              </a:prstClr>
            </a:outerShdw>
          </a:effectLst>
        </c:spPr>
      </c:pivotFmt>
      <c:pivotFmt>
        <c:idx val="2833"/>
        <c:spPr>
          <a:solidFill>
            <a:schemeClr val="accent6"/>
          </a:solidFill>
          <a:ln>
            <a:noFill/>
          </a:ln>
          <a:effectLst>
            <a:outerShdw blurRad="254000" sx="102000" sy="102000" algn="ctr" rotWithShape="0">
              <a:prstClr val="black">
                <a:alpha val="20000"/>
              </a:prstClr>
            </a:outerShdw>
          </a:effectLst>
        </c:spPr>
      </c:pivotFmt>
      <c:pivotFmt>
        <c:idx val="2834"/>
        <c:spPr>
          <a:solidFill>
            <a:schemeClr val="accent6"/>
          </a:solidFill>
          <a:ln>
            <a:noFill/>
          </a:ln>
          <a:effectLst>
            <a:outerShdw blurRad="254000" sx="102000" sy="102000" algn="ctr" rotWithShape="0">
              <a:prstClr val="black">
                <a:alpha val="20000"/>
              </a:prstClr>
            </a:outerShdw>
          </a:effectLst>
        </c:spPr>
      </c:pivotFmt>
      <c:pivotFmt>
        <c:idx val="2835"/>
        <c:spPr>
          <a:solidFill>
            <a:schemeClr val="accent6"/>
          </a:solidFill>
          <a:ln>
            <a:noFill/>
          </a:ln>
          <a:effectLst>
            <a:outerShdw blurRad="254000" sx="102000" sy="102000" algn="ctr" rotWithShape="0">
              <a:prstClr val="black">
                <a:alpha val="20000"/>
              </a:prstClr>
            </a:outerShdw>
          </a:effectLst>
        </c:spPr>
      </c:pivotFmt>
      <c:pivotFmt>
        <c:idx val="2836"/>
        <c:spPr>
          <a:solidFill>
            <a:schemeClr val="accent6"/>
          </a:solidFill>
          <a:ln>
            <a:noFill/>
          </a:ln>
          <a:effectLst>
            <a:outerShdw blurRad="254000" sx="102000" sy="102000" algn="ctr" rotWithShape="0">
              <a:prstClr val="black">
                <a:alpha val="20000"/>
              </a:prstClr>
            </a:outerShdw>
          </a:effectLst>
        </c:spPr>
      </c:pivotFmt>
      <c:pivotFmt>
        <c:idx val="2837"/>
        <c:spPr>
          <a:solidFill>
            <a:schemeClr val="accent6"/>
          </a:solidFill>
          <a:ln>
            <a:noFill/>
          </a:ln>
          <a:effectLst>
            <a:outerShdw blurRad="254000" sx="102000" sy="102000" algn="ctr" rotWithShape="0">
              <a:prstClr val="black">
                <a:alpha val="20000"/>
              </a:prstClr>
            </a:outerShdw>
          </a:effectLst>
        </c:spPr>
      </c:pivotFmt>
      <c:pivotFmt>
        <c:idx val="2838"/>
        <c:spPr>
          <a:solidFill>
            <a:schemeClr val="accent6"/>
          </a:solidFill>
          <a:ln>
            <a:noFill/>
          </a:ln>
          <a:effectLst>
            <a:outerShdw blurRad="254000" sx="102000" sy="102000" algn="ctr" rotWithShape="0">
              <a:prstClr val="black">
                <a:alpha val="20000"/>
              </a:prstClr>
            </a:outerShdw>
          </a:effectLst>
        </c:spPr>
      </c:pivotFmt>
      <c:pivotFmt>
        <c:idx val="2839"/>
        <c:spPr>
          <a:solidFill>
            <a:schemeClr val="accent6"/>
          </a:solidFill>
          <a:ln>
            <a:noFill/>
          </a:ln>
          <a:effectLst>
            <a:outerShdw blurRad="254000" sx="102000" sy="102000" algn="ctr" rotWithShape="0">
              <a:prstClr val="black">
                <a:alpha val="20000"/>
              </a:prstClr>
            </a:outerShdw>
          </a:effectLst>
        </c:spPr>
      </c:pivotFmt>
      <c:pivotFmt>
        <c:idx val="2840"/>
        <c:spPr>
          <a:solidFill>
            <a:schemeClr val="accent6"/>
          </a:solidFill>
          <a:ln>
            <a:noFill/>
          </a:ln>
          <a:effectLst>
            <a:outerShdw blurRad="254000" sx="102000" sy="102000" algn="ctr" rotWithShape="0">
              <a:prstClr val="black">
                <a:alpha val="20000"/>
              </a:prstClr>
            </a:outerShdw>
          </a:effectLst>
        </c:spPr>
      </c:pivotFmt>
      <c:pivotFmt>
        <c:idx val="284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42"/>
        <c:spPr>
          <a:solidFill>
            <a:schemeClr val="accent6"/>
          </a:solidFill>
          <a:ln>
            <a:noFill/>
          </a:ln>
          <a:effectLst>
            <a:outerShdw blurRad="254000" sx="102000" sy="102000" algn="ctr" rotWithShape="0">
              <a:prstClr val="black">
                <a:alpha val="20000"/>
              </a:prstClr>
            </a:outerShdw>
          </a:effectLst>
        </c:spPr>
      </c:pivotFmt>
      <c:pivotFmt>
        <c:idx val="2843"/>
        <c:spPr>
          <a:solidFill>
            <a:schemeClr val="accent6"/>
          </a:solidFill>
          <a:ln>
            <a:noFill/>
          </a:ln>
          <a:effectLst>
            <a:outerShdw blurRad="254000" sx="102000" sy="102000" algn="ctr" rotWithShape="0">
              <a:prstClr val="black">
                <a:alpha val="20000"/>
              </a:prstClr>
            </a:outerShdw>
          </a:effectLst>
        </c:spPr>
      </c:pivotFmt>
      <c:pivotFmt>
        <c:idx val="2844"/>
        <c:spPr>
          <a:solidFill>
            <a:schemeClr val="accent6"/>
          </a:solidFill>
          <a:ln>
            <a:noFill/>
          </a:ln>
          <a:effectLst>
            <a:outerShdw blurRad="254000" sx="102000" sy="102000" algn="ctr" rotWithShape="0">
              <a:prstClr val="black">
                <a:alpha val="20000"/>
              </a:prstClr>
            </a:outerShdw>
          </a:effectLst>
        </c:spPr>
      </c:pivotFmt>
      <c:pivotFmt>
        <c:idx val="2845"/>
        <c:spPr>
          <a:solidFill>
            <a:schemeClr val="accent6"/>
          </a:solidFill>
          <a:ln>
            <a:noFill/>
          </a:ln>
          <a:effectLst>
            <a:outerShdw blurRad="254000" sx="102000" sy="102000" algn="ctr" rotWithShape="0">
              <a:prstClr val="black">
                <a:alpha val="20000"/>
              </a:prstClr>
            </a:outerShdw>
          </a:effectLst>
        </c:spPr>
      </c:pivotFmt>
      <c:pivotFmt>
        <c:idx val="2846"/>
        <c:spPr>
          <a:solidFill>
            <a:schemeClr val="accent6"/>
          </a:solidFill>
          <a:ln>
            <a:noFill/>
          </a:ln>
          <a:effectLst>
            <a:outerShdw blurRad="254000" sx="102000" sy="102000" algn="ctr" rotWithShape="0">
              <a:prstClr val="black">
                <a:alpha val="20000"/>
              </a:prstClr>
            </a:outerShdw>
          </a:effectLst>
        </c:spPr>
      </c:pivotFmt>
      <c:pivotFmt>
        <c:idx val="2847"/>
        <c:spPr>
          <a:solidFill>
            <a:schemeClr val="accent6"/>
          </a:solidFill>
          <a:ln>
            <a:noFill/>
          </a:ln>
          <a:effectLst>
            <a:outerShdw blurRad="254000" sx="102000" sy="102000" algn="ctr" rotWithShape="0">
              <a:prstClr val="black">
                <a:alpha val="20000"/>
              </a:prstClr>
            </a:outerShdw>
          </a:effectLst>
        </c:spPr>
      </c:pivotFmt>
      <c:pivotFmt>
        <c:idx val="2848"/>
        <c:spPr>
          <a:solidFill>
            <a:schemeClr val="accent6"/>
          </a:solidFill>
          <a:ln>
            <a:noFill/>
          </a:ln>
          <a:effectLst>
            <a:outerShdw blurRad="254000" sx="102000" sy="102000" algn="ctr" rotWithShape="0">
              <a:prstClr val="black">
                <a:alpha val="20000"/>
              </a:prstClr>
            </a:outerShdw>
          </a:effectLst>
        </c:spPr>
      </c:pivotFmt>
      <c:pivotFmt>
        <c:idx val="2849"/>
        <c:spPr>
          <a:solidFill>
            <a:schemeClr val="accent6"/>
          </a:solidFill>
          <a:ln>
            <a:noFill/>
          </a:ln>
          <a:effectLst>
            <a:outerShdw blurRad="254000" sx="102000" sy="102000" algn="ctr" rotWithShape="0">
              <a:prstClr val="black">
                <a:alpha val="20000"/>
              </a:prstClr>
            </a:outerShdw>
          </a:effectLst>
        </c:spPr>
      </c:pivotFmt>
      <c:pivotFmt>
        <c:idx val="2850"/>
        <c:spPr>
          <a:solidFill>
            <a:schemeClr val="accent6"/>
          </a:solidFill>
          <a:ln>
            <a:noFill/>
          </a:ln>
          <a:effectLst>
            <a:outerShdw blurRad="254000" sx="102000" sy="102000" algn="ctr" rotWithShape="0">
              <a:prstClr val="black">
                <a:alpha val="20000"/>
              </a:prstClr>
            </a:outerShdw>
          </a:effectLst>
        </c:spPr>
      </c:pivotFmt>
      <c:pivotFmt>
        <c:idx val="28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52"/>
        <c:spPr>
          <a:solidFill>
            <a:schemeClr val="accent6"/>
          </a:solidFill>
          <a:ln>
            <a:noFill/>
          </a:ln>
          <a:effectLst>
            <a:outerShdw blurRad="254000" sx="102000" sy="102000" algn="ctr" rotWithShape="0">
              <a:prstClr val="black">
                <a:alpha val="20000"/>
              </a:prstClr>
            </a:outerShdw>
          </a:effectLst>
        </c:spPr>
      </c:pivotFmt>
      <c:pivotFmt>
        <c:idx val="2853"/>
        <c:spPr>
          <a:solidFill>
            <a:schemeClr val="accent6"/>
          </a:solidFill>
          <a:ln>
            <a:noFill/>
          </a:ln>
          <a:effectLst>
            <a:outerShdw blurRad="254000" sx="102000" sy="102000" algn="ctr" rotWithShape="0">
              <a:prstClr val="black">
                <a:alpha val="20000"/>
              </a:prstClr>
            </a:outerShdw>
          </a:effectLst>
        </c:spPr>
      </c:pivotFmt>
      <c:pivotFmt>
        <c:idx val="2854"/>
        <c:spPr>
          <a:solidFill>
            <a:schemeClr val="accent6"/>
          </a:solidFill>
          <a:ln>
            <a:noFill/>
          </a:ln>
          <a:effectLst>
            <a:outerShdw blurRad="254000" sx="102000" sy="102000" algn="ctr" rotWithShape="0">
              <a:prstClr val="black">
                <a:alpha val="20000"/>
              </a:prstClr>
            </a:outerShdw>
          </a:effectLst>
        </c:spPr>
      </c:pivotFmt>
      <c:pivotFmt>
        <c:idx val="2855"/>
        <c:spPr>
          <a:solidFill>
            <a:schemeClr val="accent6"/>
          </a:solidFill>
          <a:ln>
            <a:noFill/>
          </a:ln>
          <a:effectLst>
            <a:outerShdw blurRad="254000" sx="102000" sy="102000" algn="ctr" rotWithShape="0">
              <a:prstClr val="black">
                <a:alpha val="20000"/>
              </a:prstClr>
            </a:outerShdw>
          </a:effectLst>
        </c:spPr>
      </c:pivotFmt>
      <c:pivotFmt>
        <c:idx val="2856"/>
        <c:spPr>
          <a:solidFill>
            <a:schemeClr val="accent6"/>
          </a:solidFill>
          <a:ln>
            <a:noFill/>
          </a:ln>
          <a:effectLst>
            <a:outerShdw blurRad="254000" sx="102000" sy="102000" algn="ctr" rotWithShape="0">
              <a:prstClr val="black">
                <a:alpha val="20000"/>
              </a:prstClr>
            </a:outerShdw>
          </a:effectLst>
        </c:spPr>
      </c:pivotFmt>
      <c:pivotFmt>
        <c:idx val="2857"/>
        <c:spPr>
          <a:solidFill>
            <a:schemeClr val="accent6"/>
          </a:solidFill>
          <a:ln>
            <a:noFill/>
          </a:ln>
          <a:effectLst>
            <a:outerShdw blurRad="254000" sx="102000" sy="102000" algn="ctr" rotWithShape="0">
              <a:prstClr val="black">
                <a:alpha val="20000"/>
              </a:prstClr>
            </a:outerShdw>
          </a:effectLst>
        </c:spPr>
      </c:pivotFmt>
      <c:pivotFmt>
        <c:idx val="2858"/>
        <c:spPr>
          <a:solidFill>
            <a:schemeClr val="accent6"/>
          </a:solidFill>
          <a:ln>
            <a:noFill/>
          </a:ln>
          <a:effectLst>
            <a:outerShdw blurRad="254000" sx="102000" sy="102000" algn="ctr" rotWithShape="0">
              <a:prstClr val="black">
                <a:alpha val="20000"/>
              </a:prstClr>
            </a:outerShdw>
          </a:effectLst>
        </c:spPr>
      </c:pivotFmt>
      <c:pivotFmt>
        <c:idx val="2859"/>
        <c:spPr>
          <a:solidFill>
            <a:schemeClr val="accent6"/>
          </a:solidFill>
          <a:ln>
            <a:noFill/>
          </a:ln>
          <a:effectLst>
            <a:outerShdw blurRad="254000" sx="102000" sy="102000" algn="ctr" rotWithShape="0">
              <a:prstClr val="black">
                <a:alpha val="20000"/>
              </a:prstClr>
            </a:outerShdw>
          </a:effectLst>
        </c:spPr>
      </c:pivotFmt>
      <c:pivotFmt>
        <c:idx val="2860"/>
        <c:spPr>
          <a:solidFill>
            <a:schemeClr val="accent6"/>
          </a:solidFill>
          <a:ln>
            <a:noFill/>
          </a:ln>
          <a:effectLst>
            <a:outerShdw blurRad="254000" sx="102000" sy="102000" algn="ctr" rotWithShape="0">
              <a:prstClr val="black">
                <a:alpha val="20000"/>
              </a:prstClr>
            </a:outerShdw>
          </a:effectLst>
        </c:spPr>
      </c:pivotFmt>
      <c:pivotFmt>
        <c:idx val="28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62"/>
        <c:spPr>
          <a:solidFill>
            <a:schemeClr val="accent6"/>
          </a:solidFill>
          <a:ln>
            <a:noFill/>
          </a:ln>
          <a:effectLst>
            <a:outerShdw blurRad="254000" sx="102000" sy="102000" algn="ctr" rotWithShape="0">
              <a:prstClr val="black">
                <a:alpha val="20000"/>
              </a:prstClr>
            </a:outerShdw>
          </a:effectLst>
        </c:spPr>
      </c:pivotFmt>
      <c:pivotFmt>
        <c:idx val="2863"/>
        <c:spPr>
          <a:solidFill>
            <a:schemeClr val="accent6"/>
          </a:solidFill>
          <a:ln>
            <a:noFill/>
          </a:ln>
          <a:effectLst>
            <a:outerShdw blurRad="254000" sx="102000" sy="102000" algn="ctr" rotWithShape="0">
              <a:prstClr val="black">
                <a:alpha val="20000"/>
              </a:prstClr>
            </a:outerShdw>
          </a:effectLst>
        </c:spPr>
      </c:pivotFmt>
      <c:pivotFmt>
        <c:idx val="2864"/>
        <c:spPr>
          <a:solidFill>
            <a:schemeClr val="accent6"/>
          </a:solidFill>
          <a:ln>
            <a:noFill/>
          </a:ln>
          <a:effectLst>
            <a:outerShdw blurRad="254000" sx="102000" sy="102000" algn="ctr" rotWithShape="0">
              <a:prstClr val="black">
                <a:alpha val="20000"/>
              </a:prstClr>
            </a:outerShdw>
          </a:effectLst>
        </c:spPr>
      </c:pivotFmt>
      <c:pivotFmt>
        <c:idx val="2865"/>
        <c:spPr>
          <a:solidFill>
            <a:schemeClr val="accent6"/>
          </a:solidFill>
          <a:ln>
            <a:noFill/>
          </a:ln>
          <a:effectLst>
            <a:outerShdw blurRad="254000" sx="102000" sy="102000" algn="ctr" rotWithShape="0">
              <a:prstClr val="black">
                <a:alpha val="20000"/>
              </a:prstClr>
            </a:outerShdw>
          </a:effectLst>
        </c:spPr>
      </c:pivotFmt>
      <c:pivotFmt>
        <c:idx val="2866"/>
        <c:spPr>
          <a:solidFill>
            <a:schemeClr val="accent6"/>
          </a:solidFill>
          <a:ln>
            <a:noFill/>
          </a:ln>
          <a:effectLst>
            <a:outerShdw blurRad="254000" sx="102000" sy="102000" algn="ctr" rotWithShape="0">
              <a:prstClr val="black">
                <a:alpha val="20000"/>
              </a:prstClr>
            </a:outerShdw>
          </a:effectLst>
        </c:spPr>
      </c:pivotFmt>
      <c:pivotFmt>
        <c:idx val="2867"/>
        <c:spPr>
          <a:solidFill>
            <a:schemeClr val="accent6"/>
          </a:solidFill>
          <a:ln>
            <a:noFill/>
          </a:ln>
          <a:effectLst>
            <a:outerShdw blurRad="254000" sx="102000" sy="102000" algn="ctr" rotWithShape="0">
              <a:prstClr val="black">
                <a:alpha val="20000"/>
              </a:prstClr>
            </a:outerShdw>
          </a:effectLst>
        </c:spPr>
      </c:pivotFmt>
      <c:pivotFmt>
        <c:idx val="2868"/>
        <c:spPr>
          <a:solidFill>
            <a:schemeClr val="accent6"/>
          </a:solidFill>
          <a:ln>
            <a:noFill/>
          </a:ln>
          <a:effectLst>
            <a:outerShdw blurRad="254000" sx="102000" sy="102000" algn="ctr" rotWithShape="0">
              <a:prstClr val="black">
                <a:alpha val="20000"/>
              </a:prstClr>
            </a:outerShdw>
          </a:effectLst>
        </c:spPr>
      </c:pivotFmt>
      <c:pivotFmt>
        <c:idx val="2869"/>
        <c:spPr>
          <a:solidFill>
            <a:schemeClr val="accent6"/>
          </a:solidFill>
          <a:ln>
            <a:noFill/>
          </a:ln>
          <a:effectLst>
            <a:outerShdw blurRad="254000" sx="102000" sy="102000" algn="ctr" rotWithShape="0">
              <a:prstClr val="black">
                <a:alpha val="20000"/>
              </a:prstClr>
            </a:outerShdw>
          </a:effectLst>
        </c:spPr>
      </c:pivotFmt>
      <c:pivotFmt>
        <c:idx val="2870"/>
        <c:spPr>
          <a:solidFill>
            <a:schemeClr val="accent6"/>
          </a:solidFill>
          <a:ln>
            <a:noFill/>
          </a:ln>
          <a:effectLst>
            <a:outerShdw blurRad="254000" sx="102000" sy="102000" algn="ctr" rotWithShape="0">
              <a:prstClr val="black">
                <a:alpha val="20000"/>
              </a:prstClr>
            </a:outerShdw>
          </a:effectLst>
        </c:spPr>
      </c:pivotFmt>
      <c:pivotFmt>
        <c:idx val="28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72"/>
        <c:spPr>
          <a:solidFill>
            <a:schemeClr val="accent6"/>
          </a:solidFill>
          <a:ln>
            <a:noFill/>
          </a:ln>
          <a:effectLst>
            <a:outerShdw blurRad="254000" sx="102000" sy="102000" algn="ctr" rotWithShape="0">
              <a:prstClr val="black">
                <a:alpha val="20000"/>
              </a:prstClr>
            </a:outerShdw>
          </a:effectLst>
        </c:spPr>
      </c:pivotFmt>
      <c:pivotFmt>
        <c:idx val="2873"/>
        <c:spPr>
          <a:solidFill>
            <a:schemeClr val="accent6"/>
          </a:solidFill>
          <a:ln>
            <a:noFill/>
          </a:ln>
          <a:effectLst>
            <a:outerShdw blurRad="254000" sx="102000" sy="102000" algn="ctr" rotWithShape="0">
              <a:prstClr val="black">
                <a:alpha val="20000"/>
              </a:prstClr>
            </a:outerShdw>
          </a:effectLst>
        </c:spPr>
      </c:pivotFmt>
      <c:pivotFmt>
        <c:idx val="2874"/>
        <c:spPr>
          <a:solidFill>
            <a:schemeClr val="accent6"/>
          </a:solidFill>
          <a:ln>
            <a:noFill/>
          </a:ln>
          <a:effectLst>
            <a:outerShdw blurRad="254000" sx="102000" sy="102000" algn="ctr" rotWithShape="0">
              <a:prstClr val="black">
                <a:alpha val="20000"/>
              </a:prstClr>
            </a:outerShdw>
          </a:effectLst>
        </c:spPr>
      </c:pivotFmt>
      <c:pivotFmt>
        <c:idx val="2875"/>
        <c:spPr>
          <a:solidFill>
            <a:schemeClr val="accent6"/>
          </a:solidFill>
          <a:ln>
            <a:noFill/>
          </a:ln>
          <a:effectLst>
            <a:outerShdw blurRad="254000" sx="102000" sy="102000" algn="ctr" rotWithShape="0">
              <a:prstClr val="black">
                <a:alpha val="20000"/>
              </a:prstClr>
            </a:outerShdw>
          </a:effectLst>
        </c:spPr>
      </c:pivotFmt>
      <c:pivotFmt>
        <c:idx val="2876"/>
        <c:spPr>
          <a:solidFill>
            <a:schemeClr val="accent6"/>
          </a:solidFill>
          <a:ln>
            <a:noFill/>
          </a:ln>
          <a:effectLst>
            <a:outerShdw blurRad="254000" sx="102000" sy="102000" algn="ctr" rotWithShape="0">
              <a:prstClr val="black">
                <a:alpha val="20000"/>
              </a:prstClr>
            </a:outerShdw>
          </a:effectLst>
        </c:spPr>
      </c:pivotFmt>
      <c:pivotFmt>
        <c:idx val="2877"/>
        <c:spPr>
          <a:solidFill>
            <a:schemeClr val="accent6"/>
          </a:solidFill>
          <a:ln>
            <a:noFill/>
          </a:ln>
          <a:effectLst>
            <a:outerShdw blurRad="254000" sx="102000" sy="102000" algn="ctr" rotWithShape="0">
              <a:prstClr val="black">
                <a:alpha val="20000"/>
              </a:prstClr>
            </a:outerShdw>
          </a:effectLst>
        </c:spPr>
      </c:pivotFmt>
      <c:pivotFmt>
        <c:idx val="2878"/>
        <c:spPr>
          <a:solidFill>
            <a:schemeClr val="accent6"/>
          </a:solidFill>
          <a:ln>
            <a:noFill/>
          </a:ln>
          <a:effectLst>
            <a:outerShdw blurRad="254000" sx="102000" sy="102000" algn="ctr" rotWithShape="0">
              <a:prstClr val="black">
                <a:alpha val="20000"/>
              </a:prstClr>
            </a:outerShdw>
          </a:effectLst>
        </c:spPr>
      </c:pivotFmt>
      <c:pivotFmt>
        <c:idx val="2879"/>
        <c:spPr>
          <a:solidFill>
            <a:schemeClr val="accent6"/>
          </a:solidFill>
          <a:ln>
            <a:noFill/>
          </a:ln>
          <a:effectLst>
            <a:outerShdw blurRad="254000" sx="102000" sy="102000" algn="ctr" rotWithShape="0">
              <a:prstClr val="black">
                <a:alpha val="20000"/>
              </a:prstClr>
            </a:outerShdw>
          </a:effectLst>
        </c:spPr>
      </c:pivotFmt>
      <c:pivotFmt>
        <c:idx val="2880"/>
        <c:spPr>
          <a:solidFill>
            <a:schemeClr val="accent6"/>
          </a:solidFill>
          <a:ln>
            <a:noFill/>
          </a:ln>
          <a:effectLst>
            <a:outerShdw blurRad="254000" sx="102000" sy="102000" algn="ctr" rotWithShape="0">
              <a:prstClr val="black">
                <a:alpha val="20000"/>
              </a:prstClr>
            </a:outerShdw>
          </a:effectLst>
        </c:spPr>
      </c:pivotFmt>
      <c:pivotFmt>
        <c:idx val="28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82"/>
        <c:spPr>
          <a:solidFill>
            <a:schemeClr val="accent6"/>
          </a:solidFill>
          <a:ln>
            <a:noFill/>
          </a:ln>
          <a:effectLst>
            <a:outerShdw blurRad="254000" sx="102000" sy="102000" algn="ctr" rotWithShape="0">
              <a:prstClr val="black">
                <a:alpha val="20000"/>
              </a:prstClr>
            </a:outerShdw>
          </a:effectLst>
        </c:spPr>
      </c:pivotFmt>
      <c:pivotFmt>
        <c:idx val="2883"/>
        <c:spPr>
          <a:solidFill>
            <a:schemeClr val="accent6"/>
          </a:solidFill>
          <a:ln>
            <a:noFill/>
          </a:ln>
          <a:effectLst>
            <a:outerShdw blurRad="254000" sx="102000" sy="102000" algn="ctr" rotWithShape="0">
              <a:prstClr val="black">
                <a:alpha val="20000"/>
              </a:prstClr>
            </a:outerShdw>
          </a:effectLst>
        </c:spPr>
      </c:pivotFmt>
      <c:pivotFmt>
        <c:idx val="2884"/>
        <c:spPr>
          <a:solidFill>
            <a:schemeClr val="accent6"/>
          </a:solidFill>
          <a:ln>
            <a:noFill/>
          </a:ln>
          <a:effectLst>
            <a:outerShdw blurRad="254000" sx="102000" sy="102000" algn="ctr" rotWithShape="0">
              <a:prstClr val="black">
                <a:alpha val="20000"/>
              </a:prstClr>
            </a:outerShdw>
          </a:effectLst>
        </c:spPr>
      </c:pivotFmt>
      <c:pivotFmt>
        <c:idx val="2885"/>
        <c:spPr>
          <a:solidFill>
            <a:schemeClr val="accent6"/>
          </a:solidFill>
          <a:ln>
            <a:noFill/>
          </a:ln>
          <a:effectLst>
            <a:outerShdw blurRad="254000" sx="102000" sy="102000" algn="ctr" rotWithShape="0">
              <a:prstClr val="black">
                <a:alpha val="20000"/>
              </a:prstClr>
            </a:outerShdw>
          </a:effectLst>
        </c:spPr>
      </c:pivotFmt>
      <c:pivotFmt>
        <c:idx val="2886"/>
        <c:spPr>
          <a:solidFill>
            <a:schemeClr val="accent6"/>
          </a:solidFill>
          <a:ln>
            <a:noFill/>
          </a:ln>
          <a:effectLst>
            <a:outerShdw blurRad="254000" sx="102000" sy="102000" algn="ctr" rotWithShape="0">
              <a:prstClr val="black">
                <a:alpha val="20000"/>
              </a:prstClr>
            </a:outerShdw>
          </a:effectLst>
        </c:spPr>
      </c:pivotFmt>
      <c:pivotFmt>
        <c:idx val="2887"/>
        <c:spPr>
          <a:solidFill>
            <a:schemeClr val="accent6"/>
          </a:solidFill>
          <a:ln>
            <a:noFill/>
          </a:ln>
          <a:effectLst>
            <a:outerShdw blurRad="254000" sx="102000" sy="102000" algn="ctr" rotWithShape="0">
              <a:prstClr val="black">
                <a:alpha val="20000"/>
              </a:prstClr>
            </a:outerShdw>
          </a:effectLst>
        </c:spPr>
      </c:pivotFmt>
      <c:pivotFmt>
        <c:idx val="2888"/>
        <c:spPr>
          <a:solidFill>
            <a:schemeClr val="accent6"/>
          </a:solidFill>
          <a:ln>
            <a:noFill/>
          </a:ln>
          <a:effectLst>
            <a:outerShdw blurRad="254000" sx="102000" sy="102000" algn="ctr" rotWithShape="0">
              <a:prstClr val="black">
                <a:alpha val="20000"/>
              </a:prstClr>
            </a:outerShdw>
          </a:effectLst>
        </c:spPr>
      </c:pivotFmt>
      <c:pivotFmt>
        <c:idx val="2889"/>
        <c:spPr>
          <a:solidFill>
            <a:schemeClr val="accent6"/>
          </a:solidFill>
          <a:ln>
            <a:noFill/>
          </a:ln>
          <a:effectLst>
            <a:outerShdw blurRad="254000" sx="102000" sy="102000" algn="ctr" rotWithShape="0">
              <a:prstClr val="black">
                <a:alpha val="20000"/>
              </a:prstClr>
            </a:outerShdw>
          </a:effectLst>
        </c:spPr>
      </c:pivotFmt>
      <c:pivotFmt>
        <c:idx val="2890"/>
        <c:spPr>
          <a:solidFill>
            <a:schemeClr val="accent6"/>
          </a:solidFill>
          <a:ln>
            <a:noFill/>
          </a:ln>
          <a:effectLst>
            <a:outerShdw blurRad="254000" sx="102000" sy="102000" algn="ctr" rotWithShape="0">
              <a:prstClr val="black">
                <a:alpha val="20000"/>
              </a:prstClr>
            </a:outerShdw>
          </a:effectLst>
        </c:spPr>
      </c:pivotFmt>
      <c:pivotFmt>
        <c:idx val="28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92"/>
        <c:spPr>
          <a:solidFill>
            <a:schemeClr val="accent6"/>
          </a:solidFill>
          <a:ln>
            <a:noFill/>
          </a:ln>
          <a:effectLst>
            <a:outerShdw blurRad="254000" sx="102000" sy="102000" algn="ctr" rotWithShape="0">
              <a:prstClr val="black">
                <a:alpha val="20000"/>
              </a:prstClr>
            </a:outerShdw>
          </a:effectLst>
        </c:spPr>
      </c:pivotFmt>
      <c:pivotFmt>
        <c:idx val="2893"/>
        <c:spPr>
          <a:solidFill>
            <a:schemeClr val="accent6"/>
          </a:solidFill>
          <a:ln>
            <a:noFill/>
          </a:ln>
          <a:effectLst>
            <a:outerShdw blurRad="254000" sx="102000" sy="102000" algn="ctr" rotWithShape="0">
              <a:prstClr val="black">
                <a:alpha val="20000"/>
              </a:prstClr>
            </a:outerShdw>
          </a:effectLst>
        </c:spPr>
      </c:pivotFmt>
      <c:pivotFmt>
        <c:idx val="2894"/>
        <c:spPr>
          <a:solidFill>
            <a:schemeClr val="accent6"/>
          </a:solidFill>
          <a:ln>
            <a:noFill/>
          </a:ln>
          <a:effectLst>
            <a:outerShdw blurRad="254000" sx="102000" sy="102000" algn="ctr" rotWithShape="0">
              <a:prstClr val="black">
                <a:alpha val="20000"/>
              </a:prstClr>
            </a:outerShdw>
          </a:effectLst>
        </c:spPr>
      </c:pivotFmt>
      <c:pivotFmt>
        <c:idx val="2895"/>
        <c:spPr>
          <a:solidFill>
            <a:schemeClr val="accent6"/>
          </a:solidFill>
          <a:ln>
            <a:noFill/>
          </a:ln>
          <a:effectLst>
            <a:outerShdw blurRad="254000" sx="102000" sy="102000" algn="ctr" rotWithShape="0">
              <a:prstClr val="black">
                <a:alpha val="20000"/>
              </a:prstClr>
            </a:outerShdw>
          </a:effectLst>
        </c:spPr>
      </c:pivotFmt>
      <c:pivotFmt>
        <c:idx val="2896"/>
        <c:spPr>
          <a:solidFill>
            <a:schemeClr val="accent6"/>
          </a:solidFill>
          <a:ln>
            <a:noFill/>
          </a:ln>
          <a:effectLst>
            <a:outerShdw blurRad="254000" sx="102000" sy="102000" algn="ctr" rotWithShape="0">
              <a:prstClr val="black">
                <a:alpha val="20000"/>
              </a:prstClr>
            </a:outerShdw>
          </a:effectLst>
        </c:spPr>
      </c:pivotFmt>
      <c:pivotFmt>
        <c:idx val="2897"/>
        <c:spPr>
          <a:solidFill>
            <a:schemeClr val="accent6"/>
          </a:solidFill>
          <a:ln>
            <a:noFill/>
          </a:ln>
          <a:effectLst>
            <a:outerShdw blurRad="254000" sx="102000" sy="102000" algn="ctr" rotWithShape="0">
              <a:prstClr val="black">
                <a:alpha val="20000"/>
              </a:prstClr>
            </a:outerShdw>
          </a:effectLst>
        </c:spPr>
      </c:pivotFmt>
      <c:pivotFmt>
        <c:idx val="2898"/>
        <c:spPr>
          <a:solidFill>
            <a:schemeClr val="accent6"/>
          </a:solidFill>
          <a:ln>
            <a:noFill/>
          </a:ln>
          <a:effectLst>
            <a:outerShdw blurRad="254000" sx="102000" sy="102000" algn="ctr" rotWithShape="0">
              <a:prstClr val="black">
                <a:alpha val="20000"/>
              </a:prstClr>
            </a:outerShdw>
          </a:effectLst>
        </c:spPr>
      </c:pivotFmt>
      <c:pivotFmt>
        <c:idx val="2899"/>
        <c:spPr>
          <a:solidFill>
            <a:schemeClr val="accent6"/>
          </a:solidFill>
          <a:ln>
            <a:noFill/>
          </a:ln>
          <a:effectLst>
            <a:outerShdw blurRad="254000" sx="102000" sy="102000" algn="ctr" rotWithShape="0">
              <a:prstClr val="black">
                <a:alpha val="20000"/>
              </a:prstClr>
            </a:outerShdw>
          </a:effectLst>
        </c:spPr>
      </c:pivotFmt>
      <c:pivotFmt>
        <c:idx val="2900"/>
        <c:spPr>
          <a:solidFill>
            <a:schemeClr val="accent6"/>
          </a:solidFill>
          <a:ln>
            <a:noFill/>
          </a:ln>
          <a:effectLst>
            <a:outerShdw blurRad="254000" sx="102000" sy="102000" algn="ctr" rotWithShape="0">
              <a:prstClr val="black">
                <a:alpha val="20000"/>
              </a:prstClr>
            </a:outerShdw>
          </a:effectLst>
        </c:spPr>
      </c:pivotFmt>
      <c:pivotFmt>
        <c:idx val="29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02"/>
        <c:spPr>
          <a:solidFill>
            <a:schemeClr val="accent6"/>
          </a:solidFill>
          <a:ln>
            <a:noFill/>
          </a:ln>
          <a:effectLst>
            <a:outerShdw blurRad="254000" sx="102000" sy="102000" algn="ctr" rotWithShape="0">
              <a:prstClr val="black">
                <a:alpha val="20000"/>
              </a:prstClr>
            </a:outerShdw>
          </a:effectLst>
        </c:spPr>
      </c:pivotFmt>
      <c:pivotFmt>
        <c:idx val="2903"/>
        <c:spPr>
          <a:solidFill>
            <a:schemeClr val="accent6"/>
          </a:solidFill>
          <a:ln>
            <a:noFill/>
          </a:ln>
          <a:effectLst>
            <a:outerShdw blurRad="254000" sx="102000" sy="102000" algn="ctr" rotWithShape="0">
              <a:prstClr val="black">
                <a:alpha val="20000"/>
              </a:prstClr>
            </a:outerShdw>
          </a:effectLst>
        </c:spPr>
      </c:pivotFmt>
      <c:pivotFmt>
        <c:idx val="2904"/>
        <c:spPr>
          <a:solidFill>
            <a:schemeClr val="accent6"/>
          </a:solidFill>
          <a:ln>
            <a:noFill/>
          </a:ln>
          <a:effectLst>
            <a:outerShdw blurRad="254000" sx="102000" sy="102000" algn="ctr" rotWithShape="0">
              <a:prstClr val="black">
                <a:alpha val="20000"/>
              </a:prstClr>
            </a:outerShdw>
          </a:effectLst>
        </c:spPr>
      </c:pivotFmt>
      <c:pivotFmt>
        <c:idx val="2905"/>
        <c:spPr>
          <a:solidFill>
            <a:schemeClr val="accent6"/>
          </a:solidFill>
          <a:ln>
            <a:noFill/>
          </a:ln>
          <a:effectLst>
            <a:outerShdw blurRad="254000" sx="102000" sy="102000" algn="ctr" rotWithShape="0">
              <a:prstClr val="black">
                <a:alpha val="20000"/>
              </a:prstClr>
            </a:outerShdw>
          </a:effectLst>
        </c:spPr>
      </c:pivotFmt>
      <c:pivotFmt>
        <c:idx val="2906"/>
        <c:spPr>
          <a:solidFill>
            <a:schemeClr val="accent6"/>
          </a:solidFill>
          <a:ln>
            <a:noFill/>
          </a:ln>
          <a:effectLst>
            <a:outerShdw blurRad="254000" sx="102000" sy="102000" algn="ctr" rotWithShape="0">
              <a:prstClr val="black">
                <a:alpha val="20000"/>
              </a:prstClr>
            </a:outerShdw>
          </a:effectLst>
        </c:spPr>
      </c:pivotFmt>
      <c:pivotFmt>
        <c:idx val="2907"/>
        <c:spPr>
          <a:solidFill>
            <a:schemeClr val="accent6"/>
          </a:solidFill>
          <a:ln>
            <a:noFill/>
          </a:ln>
          <a:effectLst>
            <a:outerShdw blurRad="254000" sx="102000" sy="102000" algn="ctr" rotWithShape="0">
              <a:prstClr val="black">
                <a:alpha val="20000"/>
              </a:prstClr>
            </a:outerShdw>
          </a:effectLst>
        </c:spPr>
      </c:pivotFmt>
      <c:pivotFmt>
        <c:idx val="2908"/>
        <c:spPr>
          <a:solidFill>
            <a:schemeClr val="accent6"/>
          </a:solidFill>
          <a:ln>
            <a:noFill/>
          </a:ln>
          <a:effectLst>
            <a:outerShdw blurRad="254000" sx="102000" sy="102000" algn="ctr" rotWithShape="0">
              <a:prstClr val="black">
                <a:alpha val="20000"/>
              </a:prstClr>
            </a:outerShdw>
          </a:effectLst>
        </c:spPr>
      </c:pivotFmt>
      <c:pivotFmt>
        <c:idx val="2909"/>
        <c:spPr>
          <a:solidFill>
            <a:schemeClr val="accent6"/>
          </a:solidFill>
          <a:ln>
            <a:noFill/>
          </a:ln>
          <a:effectLst>
            <a:outerShdw blurRad="254000" sx="102000" sy="102000" algn="ctr" rotWithShape="0">
              <a:prstClr val="black">
                <a:alpha val="20000"/>
              </a:prstClr>
            </a:outerShdw>
          </a:effectLst>
        </c:spPr>
      </c:pivotFmt>
      <c:pivotFmt>
        <c:idx val="2910"/>
        <c:spPr>
          <a:solidFill>
            <a:schemeClr val="accent6"/>
          </a:solidFill>
          <a:ln>
            <a:noFill/>
          </a:ln>
          <a:effectLst>
            <a:outerShdw blurRad="254000" sx="102000" sy="102000" algn="ctr" rotWithShape="0">
              <a:prstClr val="black">
                <a:alpha val="20000"/>
              </a:prstClr>
            </a:outerShdw>
          </a:effectLst>
        </c:spPr>
      </c:pivotFmt>
      <c:pivotFmt>
        <c:idx val="29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12"/>
        <c:spPr>
          <a:solidFill>
            <a:schemeClr val="accent6"/>
          </a:solidFill>
          <a:ln>
            <a:noFill/>
          </a:ln>
          <a:effectLst>
            <a:outerShdw blurRad="254000" sx="102000" sy="102000" algn="ctr" rotWithShape="0">
              <a:prstClr val="black">
                <a:alpha val="20000"/>
              </a:prstClr>
            </a:outerShdw>
          </a:effectLst>
        </c:spPr>
      </c:pivotFmt>
      <c:pivotFmt>
        <c:idx val="2913"/>
        <c:spPr>
          <a:solidFill>
            <a:schemeClr val="accent6"/>
          </a:solidFill>
          <a:ln>
            <a:noFill/>
          </a:ln>
          <a:effectLst>
            <a:outerShdw blurRad="254000" sx="102000" sy="102000" algn="ctr" rotWithShape="0">
              <a:prstClr val="black">
                <a:alpha val="20000"/>
              </a:prstClr>
            </a:outerShdw>
          </a:effectLst>
        </c:spPr>
      </c:pivotFmt>
      <c:pivotFmt>
        <c:idx val="2914"/>
        <c:spPr>
          <a:solidFill>
            <a:schemeClr val="accent6"/>
          </a:solidFill>
          <a:ln>
            <a:noFill/>
          </a:ln>
          <a:effectLst>
            <a:outerShdw blurRad="254000" sx="102000" sy="102000" algn="ctr" rotWithShape="0">
              <a:prstClr val="black">
                <a:alpha val="20000"/>
              </a:prstClr>
            </a:outerShdw>
          </a:effectLst>
        </c:spPr>
      </c:pivotFmt>
      <c:pivotFmt>
        <c:idx val="2915"/>
        <c:spPr>
          <a:solidFill>
            <a:schemeClr val="accent6"/>
          </a:solidFill>
          <a:ln>
            <a:noFill/>
          </a:ln>
          <a:effectLst>
            <a:outerShdw blurRad="254000" sx="102000" sy="102000" algn="ctr" rotWithShape="0">
              <a:prstClr val="black">
                <a:alpha val="20000"/>
              </a:prstClr>
            </a:outerShdw>
          </a:effectLst>
        </c:spPr>
      </c:pivotFmt>
      <c:pivotFmt>
        <c:idx val="2916"/>
        <c:spPr>
          <a:solidFill>
            <a:schemeClr val="accent6"/>
          </a:solidFill>
          <a:ln>
            <a:noFill/>
          </a:ln>
          <a:effectLst>
            <a:outerShdw blurRad="254000" sx="102000" sy="102000" algn="ctr" rotWithShape="0">
              <a:prstClr val="black">
                <a:alpha val="20000"/>
              </a:prstClr>
            </a:outerShdw>
          </a:effectLst>
        </c:spPr>
      </c:pivotFmt>
      <c:pivotFmt>
        <c:idx val="2917"/>
        <c:spPr>
          <a:solidFill>
            <a:schemeClr val="accent6"/>
          </a:solidFill>
          <a:ln>
            <a:noFill/>
          </a:ln>
          <a:effectLst>
            <a:outerShdw blurRad="254000" sx="102000" sy="102000" algn="ctr" rotWithShape="0">
              <a:prstClr val="black">
                <a:alpha val="20000"/>
              </a:prstClr>
            </a:outerShdw>
          </a:effectLst>
        </c:spPr>
      </c:pivotFmt>
      <c:pivotFmt>
        <c:idx val="2918"/>
        <c:spPr>
          <a:solidFill>
            <a:schemeClr val="accent6"/>
          </a:solidFill>
          <a:ln>
            <a:noFill/>
          </a:ln>
          <a:effectLst>
            <a:outerShdw blurRad="254000" sx="102000" sy="102000" algn="ctr" rotWithShape="0">
              <a:prstClr val="black">
                <a:alpha val="20000"/>
              </a:prstClr>
            </a:outerShdw>
          </a:effectLst>
        </c:spPr>
      </c:pivotFmt>
      <c:pivotFmt>
        <c:idx val="2919"/>
        <c:spPr>
          <a:solidFill>
            <a:schemeClr val="accent6"/>
          </a:solidFill>
          <a:ln>
            <a:noFill/>
          </a:ln>
          <a:effectLst>
            <a:outerShdw blurRad="254000" sx="102000" sy="102000" algn="ctr" rotWithShape="0">
              <a:prstClr val="black">
                <a:alpha val="20000"/>
              </a:prstClr>
            </a:outerShdw>
          </a:effectLst>
        </c:spPr>
      </c:pivotFmt>
      <c:pivotFmt>
        <c:idx val="2920"/>
        <c:spPr>
          <a:solidFill>
            <a:schemeClr val="accent6"/>
          </a:solidFill>
          <a:ln>
            <a:noFill/>
          </a:ln>
          <a:effectLst>
            <a:outerShdw blurRad="254000" sx="102000" sy="102000" algn="ctr" rotWithShape="0">
              <a:prstClr val="black">
                <a:alpha val="20000"/>
              </a:prstClr>
            </a:outerShdw>
          </a:effectLst>
        </c:spPr>
      </c:pivotFmt>
      <c:pivotFmt>
        <c:idx val="29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22"/>
        <c:spPr>
          <a:solidFill>
            <a:schemeClr val="accent6"/>
          </a:solidFill>
          <a:ln>
            <a:noFill/>
          </a:ln>
          <a:effectLst>
            <a:outerShdw blurRad="254000" sx="102000" sy="102000" algn="ctr" rotWithShape="0">
              <a:prstClr val="black">
                <a:alpha val="20000"/>
              </a:prstClr>
            </a:outerShdw>
          </a:effectLst>
        </c:spPr>
      </c:pivotFmt>
      <c:pivotFmt>
        <c:idx val="2923"/>
        <c:spPr>
          <a:solidFill>
            <a:schemeClr val="accent6"/>
          </a:solidFill>
          <a:ln>
            <a:noFill/>
          </a:ln>
          <a:effectLst>
            <a:outerShdw blurRad="254000" sx="102000" sy="102000" algn="ctr" rotWithShape="0">
              <a:prstClr val="black">
                <a:alpha val="20000"/>
              </a:prstClr>
            </a:outerShdw>
          </a:effectLst>
        </c:spPr>
      </c:pivotFmt>
      <c:pivotFmt>
        <c:idx val="2924"/>
        <c:spPr>
          <a:solidFill>
            <a:schemeClr val="accent6"/>
          </a:solidFill>
          <a:ln>
            <a:noFill/>
          </a:ln>
          <a:effectLst>
            <a:outerShdw blurRad="254000" sx="102000" sy="102000" algn="ctr" rotWithShape="0">
              <a:prstClr val="black">
                <a:alpha val="20000"/>
              </a:prstClr>
            </a:outerShdw>
          </a:effectLst>
        </c:spPr>
      </c:pivotFmt>
      <c:pivotFmt>
        <c:idx val="2925"/>
        <c:spPr>
          <a:solidFill>
            <a:schemeClr val="accent6"/>
          </a:solidFill>
          <a:ln>
            <a:noFill/>
          </a:ln>
          <a:effectLst>
            <a:outerShdw blurRad="254000" sx="102000" sy="102000" algn="ctr" rotWithShape="0">
              <a:prstClr val="black">
                <a:alpha val="20000"/>
              </a:prstClr>
            </a:outerShdw>
          </a:effectLst>
        </c:spPr>
      </c:pivotFmt>
      <c:pivotFmt>
        <c:idx val="2926"/>
        <c:spPr>
          <a:solidFill>
            <a:schemeClr val="accent6"/>
          </a:solidFill>
          <a:ln>
            <a:noFill/>
          </a:ln>
          <a:effectLst>
            <a:outerShdw blurRad="254000" sx="102000" sy="102000" algn="ctr" rotWithShape="0">
              <a:prstClr val="black">
                <a:alpha val="20000"/>
              </a:prstClr>
            </a:outerShdw>
          </a:effectLst>
        </c:spPr>
      </c:pivotFmt>
      <c:pivotFmt>
        <c:idx val="2927"/>
        <c:spPr>
          <a:solidFill>
            <a:schemeClr val="accent6"/>
          </a:solidFill>
          <a:ln>
            <a:noFill/>
          </a:ln>
          <a:effectLst>
            <a:outerShdw blurRad="254000" sx="102000" sy="102000" algn="ctr" rotWithShape="0">
              <a:prstClr val="black">
                <a:alpha val="20000"/>
              </a:prstClr>
            </a:outerShdw>
          </a:effectLst>
        </c:spPr>
      </c:pivotFmt>
      <c:pivotFmt>
        <c:idx val="2928"/>
        <c:spPr>
          <a:solidFill>
            <a:schemeClr val="accent6"/>
          </a:solidFill>
          <a:ln>
            <a:noFill/>
          </a:ln>
          <a:effectLst>
            <a:outerShdw blurRad="254000" sx="102000" sy="102000" algn="ctr" rotWithShape="0">
              <a:prstClr val="black">
                <a:alpha val="20000"/>
              </a:prstClr>
            </a:outerShdw>
          </a:effectLst>
        </c:spPr>
      </c:pivotFmt>
      <c:pivotFmt>
        <c:idx val="2929"/>
        <c:spPr>
          <a:solidFill>
            <a:schemeClr val="accent6"/>
          </a:solidFill>
          <a:ln>
            <a:noFill/>
          </a:ln>
          <a:effectLst>
            <a:outerShdw blurRad="254000" sx="102000" sy="102000" algn="ctr" rotWithShape="0">
              <a:prstClr val="black">
                <a:alpha val="20000"/>
              </a:prstClr>
            </a:outerShdw>
          </a:effectLst>
        </c:spPr>
      </c:pivotFmt>
      <c:pivotFmt>
        <c:idx val="2930"/>
        <c:spPr>
          <a:solidFill>
            <a:schemeClr val="accent6"/>
          </a:solidFill>
          <a:ln>
            <a:noFill/>
          </a:ln>
          <a:effectLst>
            <a:outerShdw blurRad="254000" sx="102000" sy="102000" algn="ctr" rotWithShape="0">
              <a:prstClr val="black">
                <a:alpha val="20000"/>
              </a:prstClr>
            </a:outerShdw>
          </a:effectLst>
        </c:spPr>
      </c:pivotFmt>
      <c:pivotFmt>
        <c:idx val="29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3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33"/>
        <c:spPr>
          <a:solidFill>
            <a:schemeClr val="accent6"/>
          </a:solidFill>
          <a:ln>
            <a:noFill/>
          </a:ln>
          <a:effectLst>
            <a:outerShdw blurRad="254000" sx="102000" sy="102000" algn="ctr" rotWithShape="0">
              <a:prstClr val="black">
                <a:alpha val="20000"/>
              </a:prstClr>
            </a:outerShdw>
          </a:effectLst>
        </c:spPr>
      </c:pivotFmt>
      <c:pivotFmt>
        <c:idx val="2934"/>
        <c:spPr>
          <a:solidFill>
            <a:schemeClr val="accent6"/>
          </a:solidFill>
          <a:ln>
            <a:noFill/>
          </a:ln>
          <a:effectLst>
            <a:outerShdw blurRad="254000" sx="102000" sy="102000" algn="ctr" rotWithShape="0">
              <a:prstClr val="black">
                <a:alpha val="20000"/>
              </a:prstClr>
            </a:outerShdw>
          </a:effectLst>
        </c:spPr>
      </c:pivotFmt>
      <c:pivotFmt>
        <c:idx val="2935"/>
        <c:spPr>
          <a:solidFill>
            <a:schemeClr val="accent6"/>
          </a:solidFill>
          <a:ln>
            <a:noFill/>
          </a:ln>
          <a:effectLst>
            <a:outerShdw blurRad="254000" sx="102000" sy="102000" algn="ctr" rotWithShape="0">
              <a:prstClr val="black">
                <a:alpha val="20000"/>
              </a:prstClr>
            </a:outerShdw>
          </a:effectLst>
        </c:spPr>
      </c:pivotFmt>
      <c:pivotFmt>
        <c:idx val="2936"/>
        <c:spPr>
          <a:solidFill>
            <a:schemeClr val="accent6"/>
          </a:solidFill>
          <a:ln>
            <a:noFill/>
          </a:ln>
          <a:effectLst>
            <a:outerShdw blurRad="254000" sx="102000" sy="102000" algn="ctr" rotWithShape="0">
              <a:prstClr val="black">
                <a:alpha val="20000"/>
              </a:prstClr>
            </a:outerShdw>
          </a:effectLst>
        </c:spPr>
      </c:pivotFmt>
      <c:pivotFmt>
        <c:idx val="2937"/>
        <c:spPr>
          <a:solidFill>
            <a:schemeClr val="accent6"/>
          </a:solidFill>
          <a:ln>
            <a:noFill/>
          </a:ln>
          <a:effectLst>
            <a:outerShdw blurRad="254000" sx="102000" sy="102000" algn="ctr" rotWithShape="0">
              <a:prstClr val="black">
                <a:alpha val="20000"/>
              </a:prstClr>
            </a:outerShdw>
          </a:effectLst>
        </c:spPr>
      </c:pivotFmt>
      <c:pivotFmt>
        <c:idx val="2938"/>
        <c:spPr>
          <a:solidFill>
            <a:schemeClr val="accent6"/>
          </a:solidFill>
          <a:ln>
            <a:noFill/>
          </a:ln>
          <a:effectLst>
            <a:outerShdw blurRad="254000" sx="102000" sy="102000" algn="ctr" rotWithShape="0">
              <a:prstClr val="black">
                <a:alpha val="20000"/>
              </a:prstClr>
            </a:outerShdw>
          </a:effectLst>
        </c:spPr>
      </c:pivotFmt>
      <c:pivotFmt>
        <c:idx val="2939"/>
        <c:spPr>
          <a:solidFill>
            <a:schemeClr val="accent6"/>
          </a:solidFill>
          <a:ln>
            <a:noFill/>
          </a:ln>
          <a:effectLst>
            <a:outerShdw blurRad="254000" sx="102000" sy="102000" algn="ctr" rotWithShape="0">
              <a:prstClr val="black">
                <a:alpha val="20000"/>
              </a:prstClr>
            </a:outerShdw>
          </a:effectLst>
        </c:spPr>
      </c:pivotFmt>
      <c:pivotFmt>
        <c:idx val="2940"/>
        <c:spPr>
          <a:solidFill>
            <a:schemeClr val="accent6"/>
          </a:solidFill>
          <a:ln>
            <a:noFill/>
          </a:ln>
          <a:effectLst>
            <a:outerShdw blurRad="254000" sx="102000" sy="102000" algn="ctr" rotWithShape="0">
              <a:prstClr val="black">
                <a:alpha val="20000"/>
              </a:prstClr>
            </a:outerShdw>
          </a:effectLst>
        </c:spPr>
      </c:pivotFmt>
      <c:pivotFmt>
        <c:idx val="2941"/>
        <c:spPr>
          <a:solidFill>
            <a:schemeClr val="accent6"/>
          </a:solidFill>
          <a:ln>
            <a:noFill/>
          </a:ln>
          <a:effectLst>
            <a:outerShdw blurRad="254000" sx="102000" sy="102000" algn="ctr" rotWithShape="0">
              <a:prstClr val="black">
                <a:alpha val="20000"/>
              </a:prstClr>
            </a:outerShdw>
          </a:effectLst>
        </c:spPr>
      </c:pivotFmt>
      <c:pivotFmt>
        <c:idx val="294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43"/>
        <c:spPr>
          <a:solidFill>
            <a:schemeClr val="accent6"/>
          </a:solidFill>
          <a:ln>
            <a:noFill/>
          </a:ln>
          <a:effectLst>
            <a:outerShdw blurRad="254000" sx="102000" sy="102000" algn="ctr" rotWithShape="0">
              <a:prstClr val="black">
                <a:alpha val="20000"/>
              </a:prstClr>
            </a:outerShdw>
          </a:effectLst>
        </c:spPr>
      </c:pivotFmt>
      <c:pivotFmt>
        <c:idx val="2944"/>
        <c:spPr>
          <a:solidFill>
            <a:schemeClr val="accent6"/>
          </a:solidFill>
          <a:ln>
            <a:noFill/>
          </a:ln>
          <a:effectLst>
            <a:outerShdw blurRad="254000" sx="102000" sy="102000" algn="ctr" rotWithShape="0">
              <a:prstClr val="black">
                <a:alpha val="20000"/>
              </a:prstClr>
            </a:outerShdw>
          </a:effectLst>
        </c:spPr>
      </c:pivotFmt>
      <c:pivotFmt>
        <c:idx val="2945"/>
        <c:spPr>
          <a:solidFill>
            <a:schemeClr val="accent6"/>
          </a:solidFill>
          <a:ln>
            <a:noFill/>
          </a:ln>
          <a:effectLst>
            <a:outerShdw blurRad="254000" sx="102000" sy="102000" algn="ctr" rotWithShape="0">
              <a:prstClr val="black">
                <a:alpha val="20000"/>
              </a:prstClr>
            </a:outerShdw>
          </a:effectLst>
        </c:spPr>
      </c:pivotFmt>
      <c:pivotFmt>
        <c:idx val="2946"/>
        <c:spPr>
          <a:solidFill>
            <a:schemeClr val="accent6"/>
          </a:solidFill>
          <a:ln>
            <a:noFill/>
          </a:ln>
          <a:effectLst>
            <a:outerShdw blurRad="254000" sx="102000" sy="102000" algn="ctr" rotWithShape="0">
              <a:prstClr val="black">
                <a:alpha val="20000"/>
              </a:prstClr>
            </a:outerShdw>
          </a:effectLst>
        </c:spPr>
      </c:pivotFmt>
      <c:pivotFmt>
        <c:idx val="2947"/>
        <c:spPr>
          <a:solidFill>
            <a:schemeClr val="accent6"/>
          </a:solidFill>
          <a:ln>
            <a:noFill/>
          </a:ln>
          <a:effectLst>
            <a:outerShdw blurRad="254000" sx="102000" sy="102000" algn="ctr" rotWithShape="0">
              <a:prstClr val="black">
                <a:alpha val="20000"/>
              </a:prstClr>
            </a:outerShdw>
          </a:effectLst>
        </c:spPr>
      </c:pivotFmt>
      <c:pivotFmt>
        <c:idx val="2948"/>
        <c:spPr>
          <a:solidFill>
            <a:schemeClr val="accent6"/>
          </a:solidFill>
          <a:ln>
            <a:noFill/>
          </a:ln>
          <a:effectLst>
            <a:outerShdw blurRad="254000" sx="102000" sy="102000" algn="ctr" rotWithShape="0">
              <a:prstClr val="black">
                <a:alpha val="20000"/>
              </a:prstClr>
            </a:outerShdw>
          </a:effectLst>
        </c:spPr>
      </c:pivotFmt>
      <c:pivotFmt>
        <c:idx val="2949"/>
        <c:spPr>
          <a:solidFill>
            <a:schemeClr val="accent6"/>
          </a:solidFill>
          <a:ln>
            <a:noFill/>
          </a:ln>
          <a:effectLst>
            <a:outerShdw blurRad="254000" sx="102000" sy="102000" algn="ctr" rotWithShape="0">
              <a:prstClr val="black">
                <a:alpha val="20000"/>
              </a:prstClr>
            </a:outerShdw>
          </a:effectLst>
        </c:spPr>
      </c:pivotFmt>
      <c:pivotFmt>
        <c:idx val="2950"/>
        <c:spPr>
          <a:solidFill>
            <a:schemeClr val="accent6"/>
          </a:solidFill>
          <a:ln>
            <a:noFill/>
          </a:ln>
          <a:effectLst>
            <a:outerShdw blurRad="254000" sx="102000" sy="102000" algn="ctr" rotWithShape="0">
              <a:prstClr val="black">
                <a:alpha val="20000"/>
              </a:prstClr>
            </a:outerShdw>
          </a:effectLst>
        </c:spPr>
      </c:pivotFmt>
      <c:pivotFmt>
        <c:idx val="2951"/>
        <c:spPr>
          <a:solidFill>
            <a:schemeClr val="accent6"/>
          </a:solidFill>
          <a:ln>
            <a:noFill/>
          </a:ln>
          <a:effectLst>
            <a:outerShdw blurRad="254000" sx="102000" sy="102000" algn="ctr" rotWithShape="0">
              <a:prstClr val="black">
                <a:alpha val="20000"/>
              </a:prstClr>
            </a:outerShdw>
          </a:effectLst>
        </c:spPr>
      </c:pivotFmt>
      <c:pivotFmt>
        <c:idx val="295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53"/>
        <c:spPr>
          <a:solidFill>
            <a:schemeClr val="accent6"/>
          </a:solidFill>
          <a:ln>
            <a:noFill/>
          </a:ln>
          <a:effectLst>
            <a:outerShdw blurRad="254000" sx="102000" sy="102000" algn="ctr" rotWithShape="0">
              <a:prstClr val="black">
                <a:alpha val="20000"/>
              </a:prstClr>
            </a:outerShdw>
          </a:effectLst>
        </c:spPr>
      </c:pivotFmt>
      <c:pivotFmt>
        <c:idx val="2954"/>
        <c:spPr>
          <a:solidFill>
            <a:schemeClr val="accent6"/>
          </a:solidFill>
          <a:ln>
            <a:noFill/>
          </a:ln>
          <a:effectLst>
            <a:outerShdw blurRad="254000" sx="102000" sy="102000" algn="ctr" rotWithShape="0">
              <a:prstClr val="black">
                <a:alpha val="20000"/>
              </a:prstClr>
            </a:outerShdw>
          </a:effectLst>
        </c:spPr>
      </c:pivotFmt>
      <c:pivotFmt>
        <c:idx val="2955"/>
        <c:spPr>
          <a:solidFill>
            <a:schemeClr val="accent6"/>
          </a:solidFill>
          <a:ln>
            <a:noFill/>
          </a:ln>
          <a:effectLst>
            <a:outerShdw blurRad="254000" sx="102000" sy="102000" algn="ctr" rotWithShape="0">
              <a:prstClr val="black">
                <a:alpha val="20000"/>
              </a:prstClr>
            </a:outerShdw>
          </a:effectLst>
        </c:spPr>
      </c:pivotFmt>
      <c:pivotFmt>
        <c:idx val="2956"/>
        <c:spPr>
          <a:solidFill>
            <a:schemeClr val="accent6"/>
          </a:solidFill>
          <a:ln>
            <a:noFill/>
          </a:ln>
          <a:effectLst>
            <a:outerShdw blurRad="254000" sx="102000" sy="102000" algn="ctr" rotWithShape="0">
              <a:prstClr val="black">
                <a:alpha val="20000"/>
              </a:prstClr>
            </a:outerShdw>
          </a:effectLst>
        </c:spPr>
      </c:pivotFmt>
      <c:pivotFmt>
        <c:idx val="2957"/>
        <c:spPr>
          <a:solidFill>
            <a:schemeClr val="accent6"/>
          </a:solidFill>
          <a:ln>
            <a:noFill/>
          </a:ln>
          <a:effectLst>
            <a:outerShdw blurRad="254000" sx="102000" sy="102000" algn="ctr" rotWithShape="0">
              <a:prstClr val="black">
                <a:alpha val="20000"/>
              </a:prstClr>
            </a:outerShdw>
          </a:effectLst>
        </c:spPr>
      </c:pivotFmt>
      <c:pivotFmt>
        <c:idx val="2958"/>
        <c:spPr>
          <a:solidFill>
            <a:schemeClr val="accent6"/>
          </a:solidFill>
          <a:ln>
            <a:noFill/>
          </a:ln>
          <a:effectLst>
            <a:outerShdw blurRad="254000" sx="102000" sy="102000" algn="ctr" rotWithShape="0">
              <a:prstClr val="black">
                <a:alpha val="20000"/>
              </a:prstClr>
            </a:outerShdw>
          </a:effectLst>
        </c:spPr>
      </c:pivotFmt>
      <c:pivotFmt>
        <c:idx val="2959"/>
        <c:spPr>
          <a:solidFill>
            <a:schemeClr val="accent6"/>
          </a:solidFill>
          <a:ln>
            <a:noFill/>
          </a:ln>
          <a:effectLst>
            <a:outerShdw blurRad="254000" sx="102000" sy="102000" algn="ctr" rotWithShape="0">
              <a:prstClr val="black">
                <a:alpha val="20000"/>
              </a:prstClr>
            </a:outerShdw>
          </a:effectLst>
        </c:spPr>
      </c:pivotFmt>
      <c:pivotFmt>
        <c:idx val="2960"/>
        <c:spPr>
          <a:solidFill>
            <a:schemeClr val="accent6"/>
          </a:solidFill>
          <a:ln>
            <a:noFill/>
          </a:ln>
          <a:effectLst>
            <a:outerShdw blurRad="254000" sx="102000" sy="102000" algn="ctr" rotWithShape="0">
              <a:prstClr val="black">
                <a:alpha val="20000"/>
              </a:prstClr>
            </a:outerShdw>
          </a:effectLst>
        </c:spPr>
      </c:pivotFmt>
      <c:pivotFmt>
        <c:idx val="2961"/>
        <c:spPr>
          <a:solidFill>
            <a:schemeClr val="accent6"/>
          </a:solidFill>
          <a:ln>
            <a:noFill/>
          </a:ln>
          <a:effectLst>
            <a:outerShdw blurRad="254000" sx="102000" sy="102000" algn="ctr" rotWithShape="0">
              <a:prstClr val="black">
                <a:alpha val="20000"/>
              </a:prstClr>
            </a:outerShdw>
          </a:effectLst>
        </c:spPr>
      </c:pivotFmt>
      <c:pivotFmt>
        <c:idx val="296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63"/>
        <c:spPr>
          <a:solidFill>
            <a:schemeClr val="accent6"/>
          </a:solidFill>
          <a:ln>
            <a:noFill/>
          </a:ln>
          <a:effectLst>
            <a:outerShdw blurRad="254000" sx="102000" sy="102000" algn="ctr" rotWithShape="0">
              <a:prstClr val="black">
                <a:alpha val="20000"/>
              </a:prstClr>
            </a:outerShdw>
          </a:effectLst>
        </c:spPr>
      </c:pivotFmt>
      <c:pivotFmt>
        <c:idx val="2964"/>
        <c:spPr>
          <a:solidFill>
            <a:schemeClr val="accent6"/>
          </a:solidFill>
          <a:ln>
            <a:noFill/>
          </a:ln>
          <a:effectLst>
            <a:outerShdw blurRad="254000" sx="102000" sy="102000" algn="ctr" rotWithShape="0">
              <a:prstClr val="black">
                <a:alpha val="20000"/>
              </a:prstClr>
            </a:outerShdw>
          </a:effectLst>
        </c:spPr>
      </c:pivotFmt>
      <c:pivotFmt>
        <c:idx val="2965"/>
        <c:spPr>
          <a:solidFill>
            <a:schemeClr val="accent6"/>
          </a:solidFill>
          <a:ln>
            <a:noFill/>
          </a:ln>
          <a:effectLst>
            <a:outerShdw blurRad="254000" sx="102000" sy="102000" algn="ctr" rotWithShape="0">
              <a:prstClr val="black">
                <a:alpha val="20000"/>
              </a:prstClr>
            </a:outerShdw>
          </a:effectLst>
        </c:spPr>
      </c:pivotFmt>
      <c:pivotFmt>
        <c:idx val="2966"/>
        <c:spPr>
          <a:solidFill>
            <a:schemeClr val="accent6"/>
          </a:solidFill>
          <a:ln>
            <a:noFill/>
          </a:ln>
          <a:effectLst>
            <a:outerShdw blurRad="254000" sx="102000" sy="102000" algn="ctr" rotWithShape="0">
              <a:prstClr val="black">
                <a:alpha val="20000"/>
              </a:prstClr>
            </a:outerShdw>
          </a:effectLst>
        </c:spPr>
      </c:pivotFmt>
      <c:pivotFmt>
        <c:idx val="2967"/>
        <c:spPr>
          <a:solidFill>
            <a:schemeClr val="accent6"/>
          </a:solidFill>
          <a:ln>
            <a:noFill/>
          </a:ln>
          <a:effectLst>
            <a:outerShdw blurRad="254000" sx="102000" sy="102000" algn="ctr" rotWithShape="0">
              <a:prstClr val="black">
                <a:alpha val="20000"/>
              </a:prstClr>
            </a:outerShdw>
          </a:effectLst>
        </c:spPr>
      </c:pivotFmt>
      <c:pivotFmt>
        <c:idx val="2968"/>
        <c:spPr>
          <a:solidFill>
            <a:schemeClr val="accent6"/>
          </a:solidFill>
          <a:ln>
            <a:noFill/>
          </a:ln>
          <a:effectLst>
            <a:outerShdw blurRad="254000" sx="102000" sy="102000" algn="ctr" rotWithShape="0">
              <a:prstClr val="black">
                <a:alpha val="20000"/>
              </a:prstClr>
            </a:outerShdw>
          </a:effectLst>
        </c:spPr>
      </c:pivotFmt>
      <c:pivotFmt>
        <c:idx val="2969"/>
        <c:spPr>
          <a:solidFill>
            <a:schemeClr val="accent6"/>
          </a:solidFill>
          <a:ln>
            <a:noFill/>
          </a:ln>
          <a:effectLst>
            <a:outerShdw blurRad="254000" sx="102000" sy="102000" algn="ctr" rotWithShape="0">
              <a:prstClr val="black">
                <a:alpha val="20000"/>
              </a:prstClr>
            </a:outerShdw>
          </a:effectLst>
        </c:spPr>
      </c:pivotFmt>
      <c:pivotFmt>
        <c:idx val="2970"/>
        <c:spPr>
          <a:solidFill>
            <a:schemeClr val="accent6"/>
          </a:solidFill>
          <a:ln>
            <a:noFill/>
          </a:ln>
          <a:effectLst>
            <a:outerShdw blurRad="254000" sx="102000" sy="102000" algn="ctr" rotWithShape="0">
              <a:prstClr val="black">
                <a:alpha val="20000"/>
              </a:prstClr>
            </a:outerShdw>
          </a:effectLst>
        </c:spPr>
      </c:pivotFmt>
      <c:pivotFmt>
        <c:idx val="2971"/>
        <c:spPr>
          <a:solidFill>
            <a:schemeClr val="accent6"/>
          </a:solidFill>
          <a:ln>
            <a:noFill/>
          </a:ln>
          <a:effectLst>
            <a:outerShdw blurRad="254000" sx="102000" sy="102000" algn="ctr" rotWithShape="0">
              <a:prstClr val="black">
                <a:alpha val="20000"/>
              </a:prstClr>
            </a:outerShdw>
          </a:effectLst>
        </c:spPr>
      </c:pivotFmt>
      <c:pivotFmt>
        <c:idx val="297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73"/>
        <c:spPr>
          <a:solidFill>
            <a:schemeClr val="accent6"/>
          </a:solidFill>
          <a:ln>
            <a:noFill/>
          </a:ln>
          <a:effectLst>
            <a:outerShdw blurRad="254000" sx="102000" sy="102000" algn="ctr" rotWithShape="0">
              <a:prstClr val="black">
                <a:alpha val="20000"/>
              </a:prstClr>
            </a:outerShdw>
          </a:effectLst>
        </c:spPr>
      </c:pivotFmt>
      <c:pivotFmt>
        <c:idx val="2974"/>
        <c:spPr>
          <a:solidFill>
            <a:schemeClr val="accent6"/>
          </a:solidFill>
          <a:ln>
            <a:noFill/>
          </a:ln>
          <a:effectLst>
            <a:outerShdw blurRad="254000" sx="102000" sy="102000" algn="ctr" rotWithShape="0">
              <a:prstClr val="black">
                <a:alpha val="20000"/>
              </a:prstClr>
            </a:outerShdw>
          </a:effectLst>
        </c:spPr>
      </c:pivotFmt>
      <c:pivotFmt>
        <c:idx val="2975"/>
        <c:spPr>
          <a:solidFill>
            <a:schemeClr val="accent6"/>
          </a:solidFill>
          <a:ln>
            <a:noFill/>
          </a:ln>
          <a:effectLst>
            <a:outerShdw blurRad="254000" sx="102000" sy="102000" algn="ctr" rotWithShape="0">
              <a:prstClr val="black">
                <a:alpha val="20000"/>
              </a:prstClr>
            </a:outerShdw>
          </a:effectLst>
        </c:spPr>
      </c:pivotFmt>
      <c:pivotFmt>
        <c:idx val="2976"/>
        <c:spPr>
          <a:solidFill>
            <a:schemeClr val="accent6"/>
          </a:solidFill>
          <a:ln>
            <a:noFill/>
          </a:ln>
          <a:effectLst>
            <a:outerShdw blurRad="254000" sx="102000" sy="102000" algn="ctr" rotWithShape="0">
              <a:prstClr val="black">
                <a:alpha val="20000"/>
              </a:prstClr>
            </a:outerShdw>
          </a:effectLst>
        </c:spPr>
      </c:pivotFmt>
      <c:pivotFmt>
        <c:idx val="2977"/>
        <c:spPr>
          <a:solidFill>
            <a:schemeClr val="accent6"/>
          </a:solidFill>
          <a:ln>
            <a:noFill/>
          </a:ln>
          <a:effectLst>
            <a:outerShdw blurRad="254000" sx="102000" sy="102000" algn="ctr" rotWithShape="0">
              <a:prstClr val="black">
                <a:alpha val="20000"/>
              </a:prstClr>
            </a:outerShdw>
          </a:effectLst>
        </c:spPr>
      </c:pivotFmt>
      <c:pivotFmt>
        <c:idx val="2978"/>
        <c:spPr>
          <a:solidFill>
            <a:schemeClr val="accent6"/>
          </a:solidFill>
          <a:ln>
            <a:noFill/>
          </a:ln>
          <a:effectLst>
            <a:outerShdw blurRad="254000" sx="102000" sy="102000" algn="ctr" rotWithShape="0">
              <a:prstClr val="black">
                <a:alpha val="20000"/>
              </a:prstClr>
            </a:outerShdw>
          </a:effectLst>
        </c:spPr>
      </c:pivotFmt>
      <c:pivotFmt>
        <c:idx val="2979"/>
        <c:spPr>
          <a:solidFill>
            <a:schemeClr val="accent6"/>
          </a:solidFill>
          <a:ln>
            <a:noFill/>
          </a:ln>
          <a:effectLst>
            <a:outerShdw blurRad="254000" sx="102000" sy="102000" algn="ctr" rotWithShape="0">
              <a:prstClr val="black">
                <a:alpha val="20000"/>
              </a:prstClr>
            </a:outerShdw>
          </a:effectLst>
        </c:spPr>
      </c:pivotFmt>
      <c:pivotFmt>
        <c:idx val="2980"/>
        <c:spPr>
          <a:solidFill>
            <a:schemeClr val="accent6"/>
          </a:solidFill>
          <a:ln>
            <a:noFill/>
          </a:ln>
          <a:effectLst>
            <a:outerShdw blurRad="254000" sx="102000" sy="102000" algn="ctr" rotWithShape="0">
              <a:prstClr val="black">
                <a:alpha val="20000"/>
              </a:prstClr>
            </a:outerShdw>
          </a:effectLst>
        </c:spPr>
      </c:pivotFmt>
      <c:pivotFmt>
        <c:idx val="2981"/>
        <c:spPr>
          <a:solidFill>
            <a:schemeClr val="accent6"/>
          </a:solidFill>
          <a:ln>
            <a:noFill/>
          </a:ln>
          <a:effectLst>
            <a:outerShdw blurRad="254000" sx="102000" sy="102000" algn="ctr" rotWithShape="0">
              <a:prstClr val="black">
                <a:alpha val="20000"/>
              </a:prstClr>
            </a:outerShdw>
          </a:effectLst>
        </c:spPr>
      </c:pivotFmt>
      <c:pivotFmt>
        <c:idx val="298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83"/>
        <c:spPr>
          <a:solidFill>
            <a:schemeClr val="accent6"/>
          </a:solidFill>
          <a:ln>
            <a:noFill/>
          </a:ln>
          <a:effectLst>
            <a:outerShdw blurRad="254000" sx="102000" sy="102000" algn="ctr" rotWithShape="0">
              <a:prstClr val="black">
                <a:alpha val="20000"/>
              </a:prstClr>
            </a:outerShdw>
          </a:effectLst>
        </c:spPr>
      </c:pivotFmt>
      <c:pivotFmt>
        <c:idx val="2984"/>
        <c:spPr>
          <a:solidFill>
            <a:schemeClr val="accent6"/>
          </a:solidFill>
          <a:ln>
            <a:noFill/>
          </a:ln>
          <a:effectLst>
            <a:outerShdw blurRad="254000" sx="102000" sy="102000" algn="ctr" rotWithShape="0">
              <a:prstClr val="black">
                <a:alpha val="20000"/>
              </a:prstClr>
            </a:outerShdw>
          </a:effectLst>
        </c:spPr>
      </c:pivotFmt>
      <c:pivotFmt>
        <c:idx val="2985"/>
        <c:spPr>
          <a:solidFill>
            <a:schemeClr val="accent6"/>
          </a:solidFill>
          <a:ln>
            <a:noFill/>
          </a:ln>
          <a:effectLst>
            <a:outerShdw blurRad="254000" sx="102000" sy="102000" algn="ctr" rotWithShape="0">
              <a:prstClr val="black">
                <a:alpha val="20000"/>
              </a:prstClr>
            </a:outerShdw>
          </a:effectLst>
        </c:spPr>
      </c:pivotFmt>
      <c:pivotFmt>
        <c:idx val="2986"/>
        <c:spPr>
          <a:solidFill>
            <a:schemeClr val="accent6"/>
          </a:solidFill>
          <a:ln>
            <a:noFill/>
          </a:ln>
          <a:effectLst>
            <a:outerShdw blurRad="254000" sx="102000" sy="102000" algn="ctr" rotWithShape="0">
              <a:prstClr val="black">
                <a:alpha val="20000"/>
              </a:prstClr>
            </a:outerShdw>
          </a:effectLst>
        </c:spPr>
      </c:pivotFmt>
      <c:pivotFmt>
        <c:idx val="2987"/>
        <c:spPr>
          <a:solidFill>
            <a:schemeClr val="accent6"/>
          </a:solidFill>
          <a:ln>
            <a:noFill/>
          </a:ln>
          <a:effectLst>
            <a:outerShdw blurRad="254000" sx="102000" sy="102000" algn="ctr" rotWithShape="0">
              <a:prstClr val="black">
                <a:alpha val="20000"/>
              </a:prstClr>
            </a:outerShdw>
          </a:effectLst>
        </c:spPr>
      </c:pivotFmt>
      <c:pivotFmt>
        <c:idx val="2988"/>
        <c:spPr>
          <a:solidFill>
            <a:schemeClr val="accent6"/>
          </a:solidFill>
          <a:ln>
            <a:noFill/>
          </a:ln>
          <a:effectLst>
            <a:outerShdw blurRad="254000" sx="102000" sy="102000" algn="ctr" rotWithShape="0">
              <a:prstClr val="black">
                <a:alpha val="20000"/>
              </a:prstClr>
            </a:outerShdw>
          </a:effectLst>
        </c:spPr>
      </c:pivotFmt>
      <c:pivotFmt>
        <c:idx val="2989"/>
        <c:spPr>
          <a:solidFill>
            <a:schemeClr val="accent6"/>
          </a:solidFill>
          <a:ln>
            <a:noFill/>
          </a:ln>
          <a:effectLst>
            <a:outerShdw blurRad="254000" sx="102000" sy="102000" algn="ctr" rotWithShape="0">
              <a:prstClr val="black">
                <a:alpha val="20000"/>
              </a:prstClr>
            </a:outerShdw>
          </a:effectLst>
        </c:spPr>
      </c:pivotFmt>
      <c:pivotFmt>
        <c:idx val="2990"/>
        <c:spPr>
          <a:solidFill>
            <a:schemeClr val="accent6"/>
          </a:solidFill>
          <a:ln>
            <a:noFill/>
          </a:ln>
          <a:effectLst>
            <a:outerShdw blurRad="254000" sx="102000" sy="102000" algn="ctr" rotWithShape="0">
              <a:prstClr val="black">
                <a:alpha val="20000"/>
              </a:prstClr>
            </a:outerShdw>
          </a:effectLst>
        </c:spPr>
      </c:pivotFmt>
      <c:pivotFmt>
        <c:idx val="2991"/>
        <c:spPr>
          <a:solidFill>
            <a:schemeClr val="accent6"/>
          </a:solidFill>
          <a:ln>
            <a:noFill/>
          </a:ln>
          <a:effectLst>
            <a:outerShdw blurRad="254000" sx="102000" sy="102000" algn="ctr" rotWithShape="0">
              <a:prstClr val="black">
                <a:alpha val="20000"/>
              </a:prstClr>
            </a:outerShdw>
          </a:effectLst>
        </c:spPr>
      </c:pivotFmt>
      <c:pivotFmt>
        <c:idx val="29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AE"/>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93"/>
        <c:spPr>
          <a:solidFill>
            <a:schemeClr val="accent6"/>
          </a:solidFill>
          <a:ln>
            <a:noFill/>
          </a:ln>
          <a:effectLst>
            <a:outerShdw blurRad="254000" sx="102000" sy="102000" algn="ctr" rotWithShape="0">
              <a:prstClr val="black">
                <a:alpha val="20000"/>
              </a:prstClr>
            </a:outerShdw>
          </a:effectLst>
        </c:spPr>
      </c:pivotFmt>
      <c:pivotFmt>
        <c:idx val="2994"/>
        <c:spPr>
          <a:solidFill>
            <a:schemeClr val="accent6"/>
          </a:solidFill>
          <a:ln>
            <a:noFill/>
          </a:ln>
          <a:effectLst>
            <a:outerShdw blurRad="254000" sx="102000" sy="102000" algn="ctr" rotWithShape="0">
              <a:prstClr val="black">
                <a:alpha val="20000"/>
              </a:prstClr>
            </a:outerShdw>
          </a:effectLst>
        </c:spPr>
      </c:pivotFmt>
      <c:pivotFmt>
        <c:idx val="2995"/>
        <c:spPr>
          <a:solidFill>
            <a:schemeClr val="accent6"/>
          </a:solidFill>
          <a:ln>
            <a:noFill/>
          </a:ln>
          <a:effectLst>
            <a:outerShdw blurRad="254000" sx="102000" sy="102000" algn="ctr" rotWithShape="0">
              <a:prstClr val="black">
                <a:alpha val="20000"/>
              </a:prstClr>
            </a:outerShdw>
          </a:effectLst>
        </c:spPr>
      </c:pivotFmt>
      <c:pivotFmt>
        <c:idx val="2996"/>
        <c:spPr>
          <a:solidFill>
            <a:schemeClr val="accent6"/>
          </a:solidFill>
          <a:ln>
            <a:noFill/>
          </a:ln>
          <a:effectLst>
            <a:outerShdw blurRad="254000" sx="102000" sy="102000" algn="ctr" rotWithShape="0">
              <a:prstClr val="black">
                <a:alpha val="20000"/>
              </a:prstClr>
            </a:outerShdw>
          </a:effectLst>
        </c:spPr>
      </c:pivotFmt>
      <c:pivotFmt>
        <c:idx val="2997"/>
        <c:spPr>
          <a:solidFill>
            <a:schemeClr val="accent6"/>
          </a:solidFill>
          <a:ln>
            <a:noFill/>
          </a:ln>
          <a:effectLst>
            <a:outerShdw blurRad="254000" sx="102000" sy="102000" algn="ctr" rotWithShape="0">
              <a:prstClr val="black">
                <a:alpha val="20000"/>
              </a:prstClr>
            </a:outerShdw>
          </a:effectLst>
        </c:spPr>
      </c:pivotFmt>
      <c:pivotFmt>
        <c:idx val="2998"/>
        <c:spPr>
          <a:solidFill>
            <a:schemeClr val="accent6"/>
          </a:solidFill>
          <a:ln>
            <a:noFill/>
          </a:ln>
          <a:effectLst>
            <a:outerShdw blurRad="254000" sx="102000" sy="102000" algn="ctr" rotWithShape="0">
              <a:prstClr val="black">
                <a:alpha val="20000"/>
              </a:prstClr>
            </a:outerShdw>
          </a:effectLst>
        </c:spPr>
      </c:pivotFmt>
      <c:pivotFmt>
        <c:idx val="2999"/>
        <c:spPr>
          <a:solidFill>
            <a:schemeClr val="accent6"/>
          </a:solidFill>
          <a:ln>
            <a:noFill/>
          </a:ln>
          <a:effectLst>
            <a:outerShdw blurRad="254000" sx="102000" sy="102000" algn="ctr" rotWithShape="0">
              <a:prstClr val="black">
                <a:alpha val="20000"/>
              </a:prstClr>
            </a:outerShdw>
          </a:effectLst>
        </c:spPr>
      </c:pivotFmt>
      <c:pivotFmt>
        <c:idx val="3000"/>
        <c:spPr>
          <a:solidFill>
            <a:schemeClr val="accent6"/>
          </a:solidFill>
          <a:ln>
            <a:noFill/>
          </a:ln>
          <a:effectLst>
            <a:outerShdw blurRad="254000" sx="102000" sy="102000" algn="ctr" rotWithShape="0">
              <a:prstClr val="black">
                <a:alpha val="20000"/>
              </a:prstClr>
            </a:outerShdw>
          </a:effectLst>
        </c:spPr>
      </c:pivotFmt>
      <c:pivotFmt>
        <c:idx val="3001"/>
        <c:spPr>
          <a:solidFill>
            <a:schemeClr val="accent6"/>
          </a:solidFill>
          <a:ln>
            <a:noFill/>
          </a:ln>
          <a:effectLst>
            <a:outerShdw blurRad="254000" sx="102000" sy="102000" algn="ctr" rotWithShape="0">
              <a:prstClr val="black">
                <a:alpha val="20000"/>
              </a:prstClr>
            </a:outerShdw>
          </a:effectLst>
        </c:spPr>
      </c:pivotFmt>
      <c:pivotFmt>
        <c:idx val="3002"/>
        <c:spPr>
          <a:solidFill>
            <a:schemeClr val="accent6"/>
          </a:solidFill>
          <a:ln>
            <a:noFill/>
          </a:ln>
          <a:effectLst>
            <a:outerShdw blurRad="254000" sx="102000" sy="102000" algn="ctr" rotWithShape="0">
              <a:prstClr val="black">
                <a:alpha val="20000"/>
              </a:prstClr>
            </a:outerShdw>
          </a:effectLst>
        </c:spPr>
      </c:pivotFmt>
      <c:pivotFmt>
        <c:idx val="3003"/>
        <c:spPr>
          <a:solidFill>
            <a:schemeClr val="accent6"/>
          </a:solidFill>
          <a:ln>
            <a:noFill/>
          </a:ln>
          <a:effectLst>
            <a:outerShdw blurRad="254000" sx="102000" sy="102000" algn="ctr" rotWithShape="0">
              <a:prstClr val="black">
                <a:alpha val="20000"/>
              </a:prstClr>
            </a:outerShdw>
          </a:effectLst>
        </c:spPr>
      </c:pivotFmt>
      <c:pivotFmt>
        <c:idx val="3004"/>
        <c:spPr>
          <a:solidFill>
            <a:schemeClr val="accent6"/>
          </a:solidFill>
          <a:ln>
            <a:noFill/>
          </a:ln>
          <a:effectLst>
            <a:outerShdw blurRad="254000" sx="102000" sy="102000" algn="ctr" rotWithShape="0">
              <a:prstClr val="black">
                <a:alpha val="20000"/>
              </a:prstClr>
            </a:outerShdw>
          </a:effectLst>
        </c:spPr>
      </c:pivotFmt>
      <c:pivotFmt>
        <c:idx val="3005"/>
        <c:spPr>
          <a:solidFill>
            <a:schemeClr val="accent6"/>
          </a:solidFill>
          <a:ln>
            <a:noFill/>
          </a:ln>
          <a:effectLst>
            <a:outerShdw blurRad="254000" sx="102000" sy="102000" algn="ctr" rotWithShape="0">
              <a:prstClr val="black">
                <a:alpha val="20000"/>
              </a:prstClr>
            </a:outerShdw>
          </a:effectLst>
        </c:spPr>
      </c:pivotFmt>
      <c:pivotFmt>
        <c:idx val="3006"/>
        <c:spPr>
          <a:solidFill>
            <a:schemeClr val="accent6"/>
          </a:solidFill>
          <a:ln>
            <a:noFill/>
          </a:ln>
          <a:effectLst>
            <a:outerShdw blurRad="254000" sx="102000" sy="102000" algn="ctr" rotWithShape="0">
              <a:prstClr val="black">
                <a:alpha val="20000"/>
              </a:prstClr>
            </a:outerShdw>
          </a:effectLst>
        </c:spPr>
      </c:pivotFmt>
      <c:pivotFmt>
        <c:idx val="3007"/>
        <c:spPr>
          <a:solidFill>
            <a:schemeClr val="accent6"/>
          </a:solidFill>
          <a:ln>
            <a:noFill/>
          </a:ln>
          <a:effectLst>
            <a:outerShdw blurRad="254000" sx="102000" sy="102000" algn="ctr" rotWithShape="0">
              <a:prstClr val="black">
                <a:alpha val="20000"/>
              </a:prstClr>
            </a:outerShdw>
          </a:effectLst>
        </c:spPr>
      </c:pivotFmt>
      <c:pivotFmt>
        <c:idx val="3008"/>
        <c:spPr>
          <a:solidFill>
            <a:schemeClr val="accent6"/>
          </a:solidFill>
          <a:ln>
            <a:noFill/>
          </a:ln>
          <a:effectLst>
            <a:outerShdw blurRad="254000" sx="102000" sy="102000" algn="ctr" rotWithShape="0">
              <a:prstClr val="black">
                <a:alpha val="20000"/>
              </a:prstClr>
            </a:outerShdw>
          </a:effectLst>
        </c:spPr>
      </c:pivotFmt>
      <c:pivotFmt>
        <c:idx val="3009"/>
        <c:spPr>
          <a:solidFill>
            <a:schemeClr val="accent6"/>
          </a:solidFill>
          <a:ln>
            <a:noFill/>
          </a:ln>
          <a:effectLst>
            <a:outerShdw blurRad="254000" sx="102000" sy="102000" algn="ctr" rotWithShape="0">
              <a:prstClr val="black">
                <a:alpha val="20000"/>
              </a:prstClr>
            </a:outerShdw>
          </a:effectLst>
        </c:spPr>
      </c:pivotFmt>
      <c:pivotFmt>
        <c:idx val="3010"/>
        <c:spPr>
          <a:solidFill>
            <a:schemeClr val="accent6"/>
          </a:solidFill>
          <a:ln>
            <a:noFill/>
          </a:ln>
          <a:effectLst>
            <a:outerShdw blurRad="254000" sx="102000" sy="102000" algn="ctr" rotWithShape="0">
              <a:prstClr val="black">
                <a:alpha val="20000"/>
              </a:prstClr>
            </a:outerShdw>
          </a:effectLst>
        </c:spPr>
      </c:pivotFmt>
      <c:pivotFmt>
        <c:idx val="30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12"/>
        <c:spPr>
          <a:solidFill>
            <a:schemeClr val="accent6"/>
          </a:solidFill>
          <a:ln>
            <a:noFill/>
          </a:ln>
          <a:effectLst>
            <a:outerShdw blurRad="254000" sx="102000" sy="102000" algn="ctr" rotWithShape="0">
              <a:prstClr val="black">
                <a:alpha val="20000"/>
              </a:prstClr>
            </a:outerShdw>
          </a:effectLst>
        </c:spPr>
      </c:pivotFmt>
      <c:pivotFmt>
        <c:idx val="3013"/>
        <c:spPr>
          <a:solidFill>
            <a:schemeClr val="accent6"/>
          </a:solidFill>
          <a:ln>
            <a:noFill/>
          </a:ln>
          <a:effectLst>
            <a:outerShdw blurRad="254000" sx="102000" sy="102000" algn="ctr" rotWithShape="0">
              <a:prstClr val="black">
                <a:alpha val="20000"/>
              </a:prstClr>
            </a:outerShdw>
          </a:effectLst>
        </c:spPr>
      </c:pivotFmt>
      <c:pivotFmt>
        <c:idx val="3014"/>
        <c:spPr>
          <a:solidFill>
            <a:schemeClr val="accent6"/>
          </a:solidFill>
          <a:ln>
            <a:noFill/>
          </a:ln>
          <a:effectLst>
            <a:outerShdw blurRad="254000" sx="102000" sy="102000" algn="ctr" rotWithShape="0">
              <a:prstClr val="black">
                <a:alpha val="20000"/>
              </a:prstClr>
            </a:outerShdw>
          </a:effectLst>
        </c:spPr>
      </c:pivotFmt>
      <c:pivotFmt>
        <c:idx val="3015"/>
        <c:spPr>
          <a:solidFill>
            <a:schemeClr val="accent6"/>
          </a:solidFill>
          <a:ln>
            <a:noFill/>
          </a:ln>
          <a:effectLst>
            <a:outerShdw blurRad="254000" sx="102000" sy="102000" algn="ctr" rotWithShape="0">
              <a:prstClr val="black">
                <a:alpha val="20000"/>
              </a:prstClr>
            </a:outerShdw>
          </a:effectLst>
        </c:spPr>
      </c:pivotFmt>
      <c:pivotFmt>
        <c:idx val="3016"/>
        <c:spPr>
          <a:solidFill>
            <a:schemeClr val="accent6"/>
          </a:solidFill>
          <a:ln>
            <a:noFill/>
          </a:ln>
          <a:effectLst>
            <a:outerShdw blurRad="254000" sx="102000" sy="102000" algn="ctr" rotWithShape="0">
              <a:prstClr val="black">
                <a:alpha val="20000"/>
              </a:prstClr>
            </a:outerShdw>
          </a:effectLst>
        </c:spPr>
      </c:pivotFmt>
      <c:pivotFmt>
        <c:idx val="3017"/>
        <c:spPr>
          <a:solidFill>
            <a:schemeClr val="accent6"/>
          </a:solidFill>
          <a:ln>
            <a:noFill/>
          </a:ln>
          <a:effectLst>
            <a:outerShdw blurRad="254000" sx="102000" sy="102000" algn="ctr" rotWithShape="0">
              <a:prstClr val="black">
                <a:alpha val="20000"/>
              </a:prstClr>
            </a:outerShdw>
          </a:effectLst>
        </c:spPr>
      </c:pivotFmt>
      <c:pivotFmt>
        <c:idx val="3018"/>
        <c:spPr>
          <a:solidFill>
            <a:schemeClr val="accent6"/>
          </a:solidFill>
          <a:ln>
            <a:noFill/>
          </a:ln>
          <a:effectLst>
            <a:outerShdw blurRad="254000" sx="102000" sy="102000" algn="ctr" rotWithShape="0">
              <a:prstClr val="black">
                <a:alpha val="20000"/>
              </a:prstClr>
            </a:outerShdw>
          </a:effectLst>
        </c:spPr>
      </c:pivotFmt>
      <c:pivotFmt>
        <c:idx val="3019"/>
        <c:spPr>
          <a:solidFill>
            <a:schemeClr val="accent6"/>
          </a:solidFill>
          <a:ln>
            <a:noFill/>
          </a:ln>
          <a:effectLst>
            <a:outerShdw blurRad="254000" sx="102000" sy="102000" algn="ctr" rotWithShape="0">
              <a:prstClr val="black">
                <a:alpha val="20000"/>
              </a:prstClr>
            </a:outerShdw>
          </a:effectLst>
        </c:spPr>
      </c:pivotFmt>
      <c:pivotFmt>
        <c:idx val="3020"/>
        <c:spPr>
          <a:solidFill>
            <a:schemeClr val="accent6"/>
          </a:solidFill>
          <a:ln>
            <a:noFill/>
          </a:ln>
          <a:effectLst>
            <a:outerShdw blurRad="254000" sx="102000" sy="102000" algn="ctr" rotWithShape="0">
              <a:prstClr val="black">
                <a:alpha val="20000"/>
              </a:prstClr>
            </a:outerShdw>
          </a:effectLst>
        </c:spPr>
      </c:pivotFmt>
      <c:pivotFmt>
        <c:idx val="30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22"/>
        <c:spPr>
          <a:solidFill>
            <a:schemeClr val="accent6"/>
          </a:solidFill>
          <a:ln>
            <a:noFill/>
          </a:ln>
          <a:effectLst>
            <a:outerShdw blurRad="254000" sx="102000" sy="102000" algn="ctr" rotWithShape="0">
              <a:prstClr val="black">
                <a:alpha val="20000"/>
              </a:prstClr>
            </a:outerShdw>
          </a:effectLst>
        </c:spPr>
      </c:pivotFmt>
      <c:pivotFmt>
        <c:idx val="3023"/>
        <c:spPr>
          <a:solidFill>
            <a:schemeClr val="accent6"/>
          </a:solidFill>
          <a:ln>
            <a:noFill/>
          </a:ln>
          <a:effectLst>
            <a:outerShdw blurRad="254000" sx="102000" sy="102000" algn="ctr" rotWithShape="0">
              <a:prstClr val="black">
                <a:alpha val="20000"/>
              </a:prstClr>
            </a:outerShdw>
          </a:effectLst>
        </c:spPr>
      </c:pivotFmt>
      <c:pivotFmt>
        <c:idx val="3024"/>
        <c:spPr>
          <a:solidFill>
            <a:schemeClr val="accent6"/>
          </a:solidFill>
          <a:ln>
            <a:noFill/>
          </a:ln>
          <a:effectLst>
            <a:outerShdw blurRad="254000" sx="102000" sy="102000" algn="ctr" rotWithShape="0">
              <a:prstClr val="black">
                <a:alpha val="20000"/>
              </a:prstClr>
            </a:outerShdw>
          </a:effectLst>
        </c:spPr>
      </c:pivotFmt>
      <c:pivotFmt>
        <c:idx val="3025"/>
        <c:spPr>
          <a:solidFill>
            <a:schemeClr val="accent6"/>
          </a:solidFill>
          <a:ln>
            <a:noFill/>
          </a:ln>
          <a:effectLst>
            <a:outerShdw blurRad="254000" sx="102000" sy="102000" algn="ctr" rotWithShape="0">
              <a:prstClr val="black">
                <a:alpha val="20000"/>
              </a:prstClr>
            </a:outerShdw>
          </a:effectLst>
        </c:spPr>
      </c:pivotFmt>
      <c:pivotFmt>
        <c:idx val="3026"/>
        <c:spPr>
          <a:solidFill>
            <a:schemeClr val="accent6"/>
          </a:solidFill>
          <a:ln>
            <a:noFill/>
          </a:ln>
          <a:effectLst>
            <a:outerShdw blurRad="254000" sx="102000" sy="102000" algn="ctr" rotWithShape="0">
              <a:prstClr val="black">
                <a:alpha val="20000"/>
              </a:prstClr>
            </a:outerShdw>
          </a:effectLst>
        </c:spPr>
      </c:pivotFmt>
      <c:pivotFmt>
        <c:idx val="3027"/>
        <c:spPr>
          <a:solidFill>
            <a:schemeClr val="accent6"/>
          </a:solidFill>
          <a:ln>
            <a:noFill/>
          </a:ln>
          <a:effectLst>
            <a:outerShdw blurRad="254000" sx="102000" sy="102000" algn="ctr" rotWithShape="0">
              <a:prstClr val="black">
                <a:alpha val="20000"/>
              </a:prstClr>
            </a:outerShdw>
          </a:effectLst>
        </c:spPr>
      </c:pivotFmt>
      <c:pivotFmt>
        <c:idx val="3028"/>
        <c:spPr>
          <a:solidFill>
            <a:schemeClr val="accent6"/>
          </a:solidFill>
          <a:ln>
            <a:noFill/>
          </a:ln>
          <a:effectLst>
            <a:outerShdw blurRad="254000" sx="102000" sy="102000" algn="ctr" rotWithShape="0">
              <a:prstClr val="black">
                <a:alpha val="20000"/>
              </a:prstClr>
            </a:outerShdw>
          </a:effectLst>
        </c:spPr>
      </c:pivotFmt>
      <c:pivotFmt>
        <c:idx val="3029"/>
        <c:spPr>
          <a:solidFill>
            <a:schemeClr val="accent6"/>
          </a:solidFill>
          <a:ln>
            <a:noFill/>
          </a:ln>
          <a:effectLst>
            <a:outerShdw blurRad="254000" sx="102000" sy="102000" algn="ctr" rotWithShape="0">
              <a:prstClr val="black">
                <a:alpha val="20000"/>
              </a:prstClr>
            </a:outerShdw>
          </a:effectLst>
        </c:spPr>
      </c:pivotFmt>
      <c:pivotFmt>
        <c:idx val="3030"/>
        <c:spPr>
          <a:solidFill>
            <a:schemeClr val="accent6"/>
          </a:solidFill>
          <a:ln>
            <a:noFill/>
          </a:ln>
          <a:effectLst>
            <a:outerShdw blurRad="254000" sx="102000" sy="102000" algn="ctr" rotWithShape="0">
              <a:prstClr val="black">
                <a:alpha val="20000"/>
              </a:prstClr>
            </a:outerShdw>
          </a:effectLst>
        </c:spPr>
      </c:pivotFmt>
      <c:pivotFmt>
        <c:idx val="30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32"/>
        <c:spPr>
          <a:solidFill>
            <a:schemeClr val="accent6"/>
          </a:solidFill>
          <a:ln>
            <a:noFill/>
          </a:ln>
          <a:effectLst>
            <a:outerShdw blurRad="254000" sx="102000" sy="102000" algn="ctr" rotWithShape="0">
              <a:prstClr val="black">
                <a:alpha val="20000"/>
              </a:prstClr>
            </a:outerShdw>
          </a:effectLst>
        </c:spPr>
      </c:pivotFmt>
      <c:pivotFmt>
        <c:idx val="3033"/>
        <c:spPr>
          <a:solidFill>
            <a:schemeClr val="accent6"/>
          </a:solidFill>
          <a:ln>
            <a:noFill/>
          </a:ln>
          <a:effectLst>
            <a:outerShdw blurRad="254000" sx="102000" sy="102000" algn="ctr" rotWithShape="0">
              <a:prstClr val="black">
                <a:alpha val="20000"/>
              </a:prstClr>
            </a:outerShdw>
          </a:effectLst>
        </c:spPr>
      </c:pivotFmt>
      <c:pivotFmt>
        <c:idx val="3034"/>
        <c:spPr>
          <a:solidFill>
            <a:schemeClr val="accent6"/>
          </a:solidFill>
          <a:ln>
            <a:noFill/>
          </a:ln>
          <a:effectLst>
            <a:outerShdw blurRad="254000" sx="102000" sy="102000" algn="ctr" rotWithShape="0">
              <a:prstClr val="black">
                <a:alpha val="20000"/>
              </a:prstClr>
            </a:outerShdw>
          </a:effectLst>
        </c:spPr>
      </c:pivotFmt>
      <c:pivotFmt>
        <c:idx val="3035"/>
        <c:spPr>
          <a:solidFill>
            <a:schemeClr val="accent6"/>
          </a:solidFill>
          <a:ln>
            <a:noFill/>
          </a:ln>
          <a:effectLst>
            <a:outerShdw blurRad="254000" sx="102000" sy="102000" algn="ctr" rotWithShape="0">
              <a:prstClr val="black">
                <a:alpha val="20000"/>
              </a:prstClr>
            </a:outerShdw>
          </a:effectLst>
        </c:spPr>
      </c:pivotFmt>
      <c:pivotFmt>
        <c:idx val="3036"/>
        <c:spPr>
          <a:solidFill>
            <a:schemeClr val="accent6"/>
          </a:solidFill>
          <a:ln>
            <a:noFill/>
          </a:ln>
          <a:effectLst>
            <a:outerShdw blurRad="254000" sx="102000" sy="102000" algn="ctr" rotWithShape="0">
              <a:prstClr val="black">
                <a:alpha val="20000"/>
              </a:prstClr>
            </a:outerShdw>
          </a:effectLst>
        </c:spPr>
      </c:pivotFmt>
      <c:pivotFmt>
        <c:idx val="3037"/>
        <c:spPr>
          <a:solidFill>
            <a:schemeClr val="accent6"/>
          </a:solidFill>
          <a:ln>
            <a:noFill/>
          </a:ln>
          <a:effectLst>
            <a:outerShdw blurRad="254000" sx="102000" sy="102000" algn="ctr" rotWithShape="0">
              <a:prstClr val="black">
                <a:alpha val="20000"/>
              </a:prstClr>
            </a:outerShdw>
          </a:effectLst>
        </c:spPr>
      </c:pivotFmt>
      <c:pivotFmt>
        <c:idx val="3038"/>
        <c:spPr>
          <a:solidFill>
            <a:schemeClr val="accent6"/>
          </a:solidFill>
          <a:ln>
            <a:noFill/>
          </a:ln>
          <a:effectLst>
            <a:outerShdw blurRad="254000" sx="102000" sy="102000" algn="ctr" rotWithShape="0">
              <a:prstClr val="black">
                <a:alpha val="20000"/>
              </a:prstClr>
            </a:outerShdw>
          </a:effectLst>
        </c:spPr>
      </c:pivotFmt>
      <c:pivotFmt>
        <c:idx val="3039"/>
        <c:spPr>
          <a:solidFill>
            <a:schemeClr val="accent6"/>
          </a:solidFill>
          <a:ln>
            <a:noFill/>
          </a:ln>
          <a:effectLst>
            <a:outerShdw blurRad="254000" sx="102000" sy="102000" algn="ctr" rotWithShape="0">
              <a:prstClr val="black">
                <a:alpha val="20000"/>
              </a:prstClr>
            </a:outerShdw>
          </a:effectLst>
        </c:spPr>
      </c:pivotFmt>
      <c:pivotFmt>
        <c:idx val="3040"/>
        <c:spPr>
          <a:solidFill>
            <a:schemeClr val="accent6"/>
          </a:solidFill>
          <a:ln>
            <a:noFill/>
          </a:ln>
          <a:effectLst>
            <a:outerShdw blurRad="254000" sx="102000" sy="102000" algn="ctr" rotWithShape="0">
              <a:prstClr val="black">
                <a:alpha val="20000"/>
              </a:prstClr>
            </a:outerShdw>
          </a:effectLst>
        </c:spPr>
      </c:pivotFmt>
      <c:pivotFmt>
        <c:idx val="304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42"/>
        <c:spPr>
          <a:solidFill>
            <a:schemeClr val="accent6"/>
          </a:solidFill>
          <a:ln>
            <a:noFill/>
          </a:ln>
          <a:effectLst>
            <a:outerShdw blurRad="254000" sx="102000" sy="102000" algn="ctr" rotWithShape="0">
              <a:prstClr val="black">
                <a:alpha val="20000"/>
              </a:prstClr>
            </a:outerShdw>
          </a:effectLst>
        </c:spPr>
      </c:pivotFmt>
      <c:pivotFmt>
        <c:idx val="3043"/>
        <c:spPr>
          <a:solidFill>
            <a:schemeClr val="accent6"/>
          </a:solidFill>
          <a:ln>
            <a:noFill/>
          </a:ln>
          <a:effectLst>
            <a:outerShdw blurRad="254000" sx="102000" sy="102000" algn="ctr" rotWithShape="0">
              <a:prstClr val="black">
                <a:alpha val="20000"/>
              </a:prstClr>
            </a:outerShdw>
          </a:effectLst>
        </c:spPr>
      </c:pivotFmt>
      <c:pivotFmt>
        <c:idx val="3044"/>
        <c:spPr>
          <a:solidFill>
            <a:schemeClr val="accent6"/>
          </a:solidFill>
          <a:ln>
            <a:noFill/>
          </a:ln>
          <a:effectLst>
            <a:outerShdw blurRad="254000" sx="102000" sy="102000" algn="ctr" rotWithShape="0">
              <a:prstClr val="black">
                <a:alpha val="20000"/>
              </a:prstClr>
            </a:outerShdw>
          </a:effectLst>
        </c:spPr>
      </c:pivotFmt>
      <c:pivotFmt>
        <c:idx val="3045"/>
        <c:spPr>
          <a:solidFill>
            <a:schemeClr val="accent6"/>
          </a:solidFill>
          <a:ln>
            <a:noFill/>
          </a:ln>
          <a:effectLst>
            <a:outerShdw blurRad="254000" sx="102000" sy="102000" algn="ctr" rotWithShape="0">
              <a:prstClr val="black">
                <a:alpha val="20000"/>
              </a:prstClr>
            </a:outerShdw>
          </a:effectLst>
        </c:spPr>
      </c:pivotFmt>
      <c:pivotFmt>
        <c:idx val="3046"/>
        <c:spPr>
          <a:solidFill>
            <a:schemeClr val="accent6"/>
          </a:solidFill>
          <a:ln>
            <a:noFill/>
          </a:ln>
          <a:effectLst>
            <a:outerShdw blurRad="254000" sx="102000" sy="102000" algn="ctr" rotWithShape="0">
              <a:prstClr val="black">
                <a:alpha val="20000"/>
              </a:prstClr>
            </a:outerShdw>
          </a:effectLst>
        </c:spPr>
      </c:pivotFmt>
      <c:pivotFmt>
        <c:idx val="3047"/>
        <c:spPr>
          <a:solidFill>
            <a:schemeClr val="accent6"/>
          </a:solidFill>
          <a:ln>
            <a:noFill/>
          </a:ln>
          <a:effectLst>
            <a:outerShdw blurRad="254000" sx="102000" sy="102000" algn="ctr" rotWithShape="0">
              <a:prstClr val="black">
                <a:alpha val="20000"/>
              </a:prstClr>
            </a:outerShdw>
          </a:effectLst>
        </c:spPr>
      </c:pivotFmt>
      <c:pivotFmt>
        <c:idx val="3048"/>
        <c:spPr>
          <a:solidFill>
            <a:schemeClr val="accent6"/>
          </a:solidFill>
          <a:ln>
            <a:noFill/>
          </a:ln>
          <a:effectLst>
            <a:outerShdw blurRad="254000" sx="102000" sy="102000" algn="ctr" rotWithShape="0">
              <a:prstClr val="black">
                <a:alpha val="20000"/>
              </a:prstClr>
            </a:outerShdw>
          </a:effectLst>
        </c:spPr>
      </c:pivotFmt>
      <c:pivotFmt>
        <c:idx val="3049"/>
        <c:spPr>
          <a:solidFill>
            <a:schemeClr val="accent6"/>
          </a:solidFill>
          <a:ln>
            <a:noFill/>
          </a:ln>
          <a:effectLst>
            <a:outerShdw blurRad="254000" sx="102000" sy="102000" algn="ctr" rotWithShape="0">
              <a:prstClr val="black">
                <a:alpha val="20000"/>
              </a:prstClr>
            </a:outerShdw>
          </a:effectLst>
        </c:spPr>
      </c:pivotFmt>
      <c:pivotFmt>
        <c:idx val="3050"/>
        <c:spPr>
          <a:solidFill>
            <a:schemeClr val="accent6"/>
          </a:solidFill>
          <a:ln>
            <a:noFill/>
          </a:ln>
          <a:effectLst>
            <a:outerShdw blurRad="254000" sx="102000" sy="102000" algn="ctr" rotWithShape="0">
              <a:prstClr val="black">
                <a:alpha val="20000"/>
              </a:prstClr>
            </a:outerShdw>
          </a:effectLst>
        </c:spPr>
      </c:pivotFmt>
      <c:pivotFmt>
        <c:idx val="30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52"/>
        <c:spPr>
          <a:solidFill>
            <a:schemeClr val="accent6"/>
          </a:solidFill>
          <a:ln>
            <a:noFill/>
          </a:ln>
          <a:effectLst>
            <a:outerShdw blurRad="254000" sx="102000" sy="102000" algn="ctr" rotWithShape="0">
              <a:prstClr val="black">
                <a:alpha val="20000"/>
              </a:prstClr>
            </a:outerShdw>
          </a:effectLst>
        </c:spPr>
      </c:pivotFmt>
      <c:pivotFmt>
        <c:idx val="3053"/>
        <c:spPr>
          <a:solidFill>
            <a:schemeClr val="accent6"/>
          </a:solidFill>
          <a:ln>
            <a:noFill/>
          </a:ln>
          <a:effectLst>
            <a:outerShdw blurRad="254000" sx="102000" sy="102000" algn="ctr" rotWithShape="0">
              <a:prstClr val="black">
                <a:alpha val="20000"/>
              </a:prstClr>
            </a:outerShdw>
          </a:effectLst>
        </c:spPr>
      </c:pivotFmt>
      <c:pivotFmt>
        <c:idx val="3054"/>
        <c:spPr>
          <a:solidFill>
            <a:schemeClr val="accent6"/>
          </a:solidFill>
          <a:ln>
            <a:noFill/>
          </a:ln>
          <a:effectLst>
            <a:outerShdw blurRad="254000" sx="102000" sy="102000" algn="ctr" rotWithShape="0">
              <a:prstClr val="black">
                <a:alpha val="20000"/>
              </a:prstClr>
            </a:outerShdw>
          </a:effectLst>
        </c:spPr>
      </c:pivotFmt>
      <c:pivotFmt>
        <c:idx val="3055"/>
        <c:spPr>
          <a:solidFill>
            <a:schemeClr val="accent6"/>
          </a:solidFill>
          <a:ln>
            <a:noFill/>
          </a:ln>
          <a:effectLst>
            <a:outerShdw blurRad="254000" sx="102000" sy="102000" algn="ctr" rotWithShape="0">
              <a:prstClr val="black">
                <a:alpha val="20000"/>
              </a:prstClr>
            </a:outerShdw>
          </a:effectLst>
        </c:spPr>
      </c:pivotFmt>
      <c:pivotFmt>
        <c:idx val="3056"/>
        <c:spPr>
          <a:solidFill>
            <a:schemeClr val="accent6"/>
          </a:solidFill>
          <a:ln>
            <a:noFill/>
          </a:ln>
          <a:effectLst>
            <a:outerShdw blurRad="254000" sx="102000" sy="102000" algn="ctr" rotWithShape="0">
              <a:prstClr val="black">
                <a:alpha val="20000"/>
              </a:prstClr>
            </a:outerShdw>
          </a:effectLst>
        </c:spPr>
      </c:pivotFmt>
      <c:pivotFmt>
        <c:idx val="3057"/>
        <c:spPr>
          <a:solidFill>
            <a:schemeClr val="accent6"/>
          </a:solidFill>
          <a:ln>
            <a:noFill/>
          </a:ln>
          <a:effectLst>
            <a:outerShdw blurRad="254000" sx="102000" sy="102000" algn="ctr" rotWithShape="0">
              <a:prstClr val="black">
                <a:alpha val="20000"/>
              </a:prstClr>
            </a:outerShdw>
          </a:effectLst>
        </c:spPr>
      </c:pivotFmt>
      <c:pivotFmt>
        <c:idx val="3058"/>
        <c:spPr>
          <a:solidFill>
            <a:schemeClr val="accent6"/>
          </a:solidFill>
          <a:ln>
            <a:noFill/>
          </a:ln>
          <a:effectLst>
            <a:outerShdw blurRad="254000" sx="102000" sy="102000" algn="ctr" rotWithShape="0">
              <a:prstClr val="black">
                <a:alpha val="20000"/>
              </a:prstClr>
            </a:outerShdw>
          </a:effectLst>
        </c:spPr>
      </c:pivotFmt>
      <c:pivotFmt>
        <c:idx val="3059"/>
        <c:spPr>
          <a:solidFill>
            <a:schemeClr val="accent6"/>
          </a:solidFill>
          <a:ln>
            <a:noFill/>
          </a:ln>
          <a:effectLst>
            <a:outerShdw blurRad="254000" sx="102000" sy="102000" algn="ctr" rotWithShape="0">
              <a:prstClr val="black">
                <a:alpha val="20000"/>
              </a:prstClr>
            </a:outerShdw>
          </a:effectLst>
        </c:spPr>
      </c:pivotFmt>
      <c:pivotFmt>
        <c:idx val="3060"/>
        <c:spPr>
          <a:solidFill>
            <a:schemeClr val="accent6"/>
          </a:solidFill>
          <a:ln>
            <a:noFill/>
          </a:ln>
          <a:effectLst>
            <a:outerShdw blurRad="254000" sx="102000" sy="102000" algn="ctr" rotWithShape="0">
              <a:prstClr val="black">
                <a:alpha val="20000"/>
              </a:prstClr>
            </a:outerShdw>
          </a:effectLst>
        </c:spPr>
      </c:pivotFmt>
      <c:pivotFmt>
        <c:idx val="30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62"/>
        <c:spPr>
          <a:solidFill>
            <a:schemeClr val="accent6"/>
          </a:solidFill>
          <a:ln>
            <a:noFill/>
          </a:ln>
          <a:effectLst>
            <a:outerShdw blurRad="254000" sx="102000" sy="102000" algn="ctr" rotWithShape="0">
              <a:prstClr val="black">
                <a:alpha val="20000"/>
              </a:prstClr>
            </a:outerShdw>
          </a:effectLst>
        </c:spPr>
      </c:pivotFmt>
      <c:pivotFmt>
        <c:idx val="3063"/>
        <c:spPr>
          <a:solidFill>
            <a:schemeClr val="accent6"/>
          </a:solidFill>
          <a:ln>
            <a:noFill/>
          </a:ln>
          <a:effectLst>
            <a:outerShdw blurRad="254000" sx="102000" sy="102000" algn="ctr" rotWithShape="0">
              <a:prstClr val="black">
                <a:alpha val="20000"/>
              </a:prstClr>
            </a:outerShdw>
          </a:effectLst>
        </c:spPr>
      </c:pivotFmt>
      <c:pivotFmt>
        <c:idx val="3064"/>
        <c:spPr>
          <a:solidFill>
            <a:schemeClr val="accent6"/>
          </a:solidFill>
          <a:ln>
            <a:noFill/>
          </a:ln>
          <a:effectLst>
            <a:outerShdw blurRad="254000" sx="102000" sy="102000" algn="ctr" rotWithShape="0">
              <a:prstClr val="black">
                <a:alpha val="20000"/>
              </a:prstClr>
            </a:outerShdw>
          </a:effectLst>
        </c:spPr>
      </c:pivotFmt>
      <c:pivotFmt>
        <c:idx val="3065"/>
        <c:spPr>
          <a:solidFill>
            <a:schemeClr val="accent6"/>
          </a:solidFill>
          <a:ln>
            <a:noFill/>
          </a:ln>
          <a:effectLst>
            <a:outerShdw blurRad="254000" sx="102000" sy="102000" algn="ctr" rotWithShape="0">
              <a:prstClr val="black">
                <a:alpha val="20000"/>
              </a:prstClr>
            </a:outerShdw>
          </a:effectLst>
        </c:spPr>
      </c:pivotFmt>
      <c:pivotFmt>
        <c:idx val="3066"/>
        <c:spPr>
          <a:solidFill>
            <a:schemeClr val="accent6"/>
          </a:solidFill>
          <a:ln>
            <a:noFill/>
          </a:ln>
          <a:effectLst>
            <a:outerShdw blurRad="254000" sx="102000" sy="102000" algn="ctr" rotWithShape="0">
              <a:prstClr val="black">
                <a:alpha val="20000"/>
              </a:prstClr>
            </a:outerShdw>
          </a:effectLst>
        </c:spPr>
      </c:pivotFmt>
      <c:pivotFmt>
        <c:idx val="3067"/>
        <c:spPr>
          <a:solidFill>
            <a:schemeClr val="accent6"/>
          </a:solidFill>
          <a:ln>
            <a:noFill/>
          </a:ln>
          <a:effectLst>
            <a:outerShdw blurRad="254000" sx="102000" sy="102000" algn="ctr" rotWithShape="0">
              <a:prstClr val="black">
                <a:alpha val="20000"/>
              </a:prstClr>
            </a:outerShdw>
          </a:effectLst>
        </c:spPr>
      </c:pivotFmt>
      <c:pivotFmt>
        <c:idx val="3068"/>
        <c:spPr>
          <a:solidFill>
            <a:schemeClr val="accent6"/>
          </a:solidFill>
          <a:ln>
            <a:noFill/>
          </a:ln>
          <a:effectLst>
            <a:outerShdw blurRad="254000" sx="102000" sy="102000" algn="ctr" rotWithShape="0">
              <a:prstClr val="black">
                <a:alpha val="20000"/>
              </a:prstClr>
            </a:outerShdw>
          </a:effectLst>
        </c:spPr>
      </c:pivotFmt>
      <c:pivotFmt>
        <c:idx val="3069"/>
        <c:spPr>
          <a:solidFill>
            <a:schemeClr val="accent6"/>
          </a:solidFill>
          <a:ln>
            <a:noFill/>
          </a:ln>
          <a:effectLst>
            <a:outerShdw blurRad="254000" sx="102000" sy="102000" algn="ctr" rotWithShape="0">
              <a:prstClr val="black">
                <a:alpha val="20000"/>
              </a:prstClr>
            </a:outerShdw>
          </a:effectLst>
        </c:spPr>
      </c:pivotFmt>
      <c:pivotFmt>
        <c:idx val="3070"/>
        <c:spPr>
          <a:solidFill>
            <a:schemeClr val="accent6"/>
          </a:solidFill>
          <a:ln>
            <a:noFill/>
          </a:ln>
          <a:effectLst>
            <a:outerShdw blurRad="254000" sx="102000" sy="102000" algn="ctr" rotWithShape="0">
              <a:prstClr val="black">
                <a:alpha val="20000"/>
              </a:prstClr>
            </a:outerShdw>
          </a:effectLst>
        </c:spPr>
      </c:pivotFmt>
      <c:pivotFmt>
        <c:idx val="30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72"/>
        <c:spPr>
          <a:solidFill>
            <a:schemeClr val="accent6"/>
          </a:solidFill>
          <a:ln>
            <a:noFill/>
          </a:ln>
          <a:effectLst>
            <a:outerShdw blurRad="254000" sx="102000" sy="102000" algn="ctr" rotWithShape="0">
              <a:prstClr val="black">
                <a:alpha val="20000"/>
              </a:prstClr>
            </a:outerShdw>
          </a:effectLst>
        </c:spPr>
      </c:pivotFmt>
      <c:pivotFmt>
        <c:idx val="3073"/>
        <c:spPr>
          <a:solidFill>
            <a:schemeClr val="accent6"/>
          </a:solidFill>
          <a:ln>
            <a:noFill/>
          </a:ln>
          <a:effectLst>
            <a:outerShdw blurRad="254000" sx="102000" sy="102000" algn="ctr" rotWithShape="0">
              <a:prstClr val="black">
                <a:alpha val="20000"/>
              </a:prstClr>
            </a:outerShdw>
          </a:effectLst>
        </c:spPr>
      </c:pivotFmt>
      <c:pivotFmt>
        <c:idx val="3074"/>
        <c:spPr>
          <a:solidFill>
            <a:schemeClr val="accent6"/>
          </a:solidFill>
          <a:ln>
            <a:noFill/>
          </a:ln>
          <a:effectLst>
            <a:outerShdw blurRad="254000" sx="102000" sy="102000" algn="ctr" rotWithShape="0">
              <a:prstClr val="black">
                <a:alpha val="20000"/>
              </a:prstClr>
            </a:outerShdw>
          </a:effectLst>
        </c:spPr>
      </c:pivotFmt>
      <c:pivotFmt>
        <c:idx val="3075"/>
        <c:spPr>
          <a:solidFill>
            <a:schemeClr val="accent6"/>
          </a:solidFill>
          <a:ln>
            <a:noFill/>
          </a:ln>
          <a:effectLst>
            <a:outerShdw blurRad="254000" sx="102000" sy="102000" algn="ctr" rotWithShape="0">
              <a:prstClr val="black">
                <a:alpha val="20000"/>
              </a:prstClr>
            </a:outerShdw>
          </a:effectLst>
        </c:spPr>
      </c:pivotFmt>
      <c:pivotFmt>
        <c:idx val="3076"/>
        <c:spPr>
          <a:solidFill>
            <a:schemeClr val="accent6"/>
          </a:solidFill>
          <a:ln>
            <a:noFill/>
          </a:ln>
          <a:effectLst>
            <a:outerShdw blurRad="254000" sx="102000" sy="102000" algn="ctr" rotWithShape="0">
              <a:prstClr val="black">
                <a:alpha val="20000"/>
              </a:prstClr>
            </a:outerShdw>
          </a:effectLst>
        </c:spPr>
      </c:pivotFmt>
      <c:pivotFmt>
        <c:idx val="3077"/>
        <c:spPr>
          <a:solidFill>
            <a:schemeClr val="accent6"/>
          </a:solidFill>
          <a:ln>
            <a:noFill/>
          </a:ln>
          <a:effectLst>
            <a:outerShdw blurRad="254000" sx="102000" sy="102000" algn="ctr" rotWithShape="0">
              <a:prstClr val="black">
                <a:alpha val="20000"/>
              </a:prstClr>
            </a:outerShdw>
          </a:effectLst>
        </c:spPr>
      </c:pivotFmt>
      <c:pivotFmt>
        <c:idx val="3078"/>
        <c:spPr>
          <a:solidFill>
            <a:schemeClr val="accent6"/>
          </a:solidFill>
          <a:ln>
            <a:noFill/>
          </a:ln>
          <a:effectLst>
            <a:outerShdw blurRad="254000" sx="102000" sy="102000" algn="ctr" rotWithShape="0">
              <a:prstClr val="black">
                <a:alpha val="20000"/>
              </a:prstClr>
            </a:outerShdw>
          </a:effectLst>
        </c:spPr>
      </c:pivotFmt>
      <c:pivotFmt>
        <c:idx val="3079"/>
        <c:spPr>
          <a:solidFill>
            <a:schemeClr val="accent6"/>
          </a:solidFill>
          <a:ln>
            <a:noFill/>
          </a:ln>
          <a:effectLst>
            <a:outerShdw blurRad="254000" sx="102000" sy="102000" algn="ctr" rotWithShape="0">
              <a:prstClr val="black">
                <a:alpha val="20000"/>
              </a:prstClr>
            </a:outerShdw>
          </a:effectLst>
        </c:spPr>
      </c:pivotFmt>
      <c:pivotFmt>
        <c:idx val="3080"/>
        <c:spPr>
          <a:solidFill>
            <a:schemeClr val="accent6"/>
          </a:solidFill>
          <a:ln>
            <a:noFill/>
          </a:ln>
          <a:effectLst>
            <a:outerShdw blurRad="254000" sx="102000" sy="102000" algn="ctr" rotWithShape="0">
              <a:prstClr val="black">
                <a:alpha val="20000"/>
              </a:prstClr>
            </a:outerShdw>
          </a:effectLst>
        </c:spPr>
      </c:pivotFmt>
      <c:pivotFmt>
        <c:idx val="30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82"/>
        <c:spPr>
          <a:solidFill>
            <a:schemeClr val="accent6"/>
          </a:solidFill>
          <a:ln>
            <a:noFill/>
          </a:ln>
          <a:effectLst>
            <a:outerShdw blurRad="254000" sx="102000" sy="102000" algn="ctr" rotWithShape="0">
              <a:prstClr val="black">
                <a:alpha val="20000"/>
              </a:prstClr>
            </a:outerShdw>
          </a:effectLst>
        </c:spPr>
      </c:pivotFmt>
      <c:pivotFmt>
        <c:idx val="3083"/>
        <c:spPr>
          <a:solidFill>
            <a:schemeClr val="accent6"/>
          </a:solidFill>
          <a:ln>
            <a:noFill/>
          </a:ln>
          <a:effectLst>
            <a:outerShdw blurRad="254000" sx="102000" sy="102000" algn="ctr" rotWithShape="0">
              <a:prstClr val="black">
                <a:alpha val="20000"/>
              </a:prstClr>
            </a:outerShdw>
          </a:effectLst>
        </c:spPr>
      </c:pivotFmt>
      <c:pivotFmt>
        <c:idx val="3084"/>
        <c:spPr>
          <a:solidFill>
            <a:schemeClr val="accent6"/>
          </a:solidFill>
          <a:ln>
            <a:noFill/>
          </a:ln>
          <a:effectLst>
            <a:outerShdw blurRad="254000" sx="102000" sy="102000" algn="ctr" rotWithShape="0">
              <a:prstClr val="black">
                <a:alpha val="20000"/>
              </a:prstClr>
            </a:outerShdw>
          </a:effectLst>
        </c:spPr>
      </c:pivotFmt>
      <c:pivotFmt>
        <c:idx val="3085"/>
        <c:spPr>
          <a:solidFill>
            <a:schemeClr val="accent6"/>
          </a:solidFill>
          <a:ln>
            <a:noFill/>
          </a:ln>
          <a:effectLst>
            <a:outerShdw blurRad="254000" sx="102000" sy="102000" algn="ctr" rotWithShape="0">
              <a:prstClr val="black">
                <a:alpha val="20000"/>
              </a:prstClr>
            </a:outerShdw>
          </a:effectLst>
        </c:spPr>
      </c:pivotFmt>
      <c:pivotFmt>
        <c:idx val="3086"/>
        <c:spPr>
          <a:solidFill>
            <a:schemeClr val="accent6"/>
          </a:solidFill>
          <a:ln>
            <a:noFill/>
          </a:ln>
          <a:effectLst>
            <a:outerShdw blurRad="254000" sx="102000" sy="102000" algn="ctr" rotWithShape="0">
              <a:prstClr val="black">
                <a:alpha val="20000"/>
              </a:prstClr>
            </a:outerShdw>
          </a:effectLst>
        </c:spPr>
      </c:pivotFmt>
      <c:pivotFmt>
        <c:idx val="3087"/>
        <c:spPr>
          <a:solidFill>
            <a:schemeClr val="accent6"/>
          </a:solidFill>
          <a:ln>
            <a:noFill/>
          </a:ln>
          <a:effectLst>
            <a:outerShdw blurRad="254000" sx="102000" sy="102000" algn="ctr" rotWithShape="0">
              <a:prstClr val="black">
                <a:alpha val="20000"/>
              </a:prstClr>
            </a:outerShdw>
          </a:effectLst>
        </c:spPr>
      </c:pivotFmt>
      <c:pivotFmt>
        <c:idx val="3088"/>
        <c:spPr>
          <a:solidFill>
            <a:schemeClr val="accent6"/>
          </a:solidFill>
          <a:ln>
            <a:noFill/>
          </a:ln>
          <a:effectLst>
            <a:outerShdw blurRad="254000" sx="102000" sy="102000" algn="ctr" rotWithShape="0">
              <a:prstClr val="black">
                <a:alpha val="20000"/>
              </a:prstClr>
            </a:outerShdw>
          </a:effectLst>
        </c:spPr>
      </c:pivotFmt>
      <c:pivotFmt>
        <c:idx val="3089"/>
        <c:spPr>
          <a:solidFill>
            <a:schemeClr val="accent6"/>
          </a:solidFill>
          <a:ln>
            <a:noFill/>
          </a:ln>
          <a:effectLst>
            <a:outerShdw blurRad="254000" sx="102000" sy="102000" algn="ctr" rotWithShape="0">
              <a:prstClr val="black">
                <a:alpha val="20000"/>
              </a:prstClr>
            </a:outerShdw>
          </a:effectLst>
        </c:spPr>
      </c:pivotFmt>
      <c:pivotFmt>
        <c:idx val="3090"/>
        <c:spPr>
          <a:solidFill>
            <a:schemeClr val="accent6"/>
          </a:solidFill>
          <a:ln>
            <a:noFill/>
          </a:ln>
          <a:effectLst>
            <a:outerShdw blurRad="254000" sx="102000" sy="102000" algn="ctr" rotWithShape="0">
              <a:prstClr val="black">
                <a:alpha val="20000"/>
              </a:prstClr>
            </a:outerShdw>
          </a:effectLst>
        </c:spPr>
      </c:pivotFmt>
      <c:pivotFmt>
        <c:idx val="30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92"/>
        <c:spPr>
          <a:solidFill>
            <a:schemeClr val="accent6"/>
          </a:solidFill>
          <a:ln>
            <a:noFill/>
          </a:ln>
          <a:effectLst>
            <a:outerShdw blurRad="254000" sx="102000" sy="102000" algn="ctr" rotWithShape="0">
              <a:prstClr val="black">
                <a:alpha val="20000"/>
              </a:prstClr>
            </a:outerShdw>
          </a:effectLst>
        </c:spPr>
      </c:pivotFmt>
      <c:pivotFmt>
        <c:idx val="3093"/>
        <c:spPr>
          <a:solidFill>
            <a:schemeClr val="accent6"/>
          </a:solidFill>
          <a:ln>
            <a:noFill/>
          </a:ln>
          <a:effectLst>
            <a:outerShdw blurRad="254000" sx="102000" sy="102000" algn="ctr" rotWithShape="0">
              <a:prstClr val="black">
                <a:alpha val="20000"/>
              </a:prstClr>
            </a:outerShdw>
          </a:effectLst>
        </c:spPr>
      </c:pivotFmt>
      <c:pivotFmt>
        <c:idx val="3094"/>
        <c:spPr>
          <a:solidFill>
            <a:schemeClr val="accent6"/>
          </a:solidFill>
          <a:ln>
            <a:noFill/>
          </a:ln>
          <a:effectLst>
            <a:outerShdw blurRad="254000" sx="102000" sy="102000" algn="ctr" rotWithShape="0">
              <a:prstClr val="black">
                <a:alpha val="20000"/>
              </a:prstClr>
            </a:outerShdw>
          </a:effectLst>
        </c:spPr>
      </c:pivotFmt>
      <c:pivotFmt>
        <c:idx val="3095"/>
        <c:spPr>
          <a:solidFill>
            <a:schemeClr val="accent6"/>
          </a:solidFill>
          <a:ln>
            <a:noFill/>
          </a:ln>
          <a:effectLst>
            <a:outerShdw blurRad="254000" sx="102000" sy="102000" algn="ctr" rotWithShape="0">
              <a:prstClr val="black">
                <a:alpha val="20000"/>
              </a:prstClr>
            </a:outerShdw>
          </a:effectLst>
        </c:spPr>
      </c:pivotFmt>
      <c:pivotFmt>
        <c:idx val="3096"/>
        <c:spPr>
          <a:solidFill>
            <a:schemeClr val="accent6"/>
          </a:solidFill>
          <a:ln>
            <a:noFill/>
          </a:ln>
          <a:effectLst>
            <a:outerShdw blurRad="254000" sx="102000" sy="102000" algn="ctr" rotWithShape="0">
              <a:prstClr val="black">
                <a:alpha val="20000"/>
              </a:prstClr>
            </a:outerShdw>
          </a:effectLst>
        </c:spPr>
      </c:pivotFmt>
      <c:pivotFmt>
        <c:idx val="3097"/>
        <c:spPr>
          <a:solidFill>
            <a:schemeClr val="accent6"/>
          </a:solidFill>
          <a:ln>
            <a:noFill/>
          </a:ln>
          <a:effectLst>
            <a:outerShdw blurRad="254000" sx="102000" sy="102000" algn="ctr" rotWithShape="0">
              <a:prstClr val="black">
                <a:alpha val="20000"/>
              </a:prstClr>
            </a:outerShdw>
          </a:effectLst>
        </c:spPr>
      </c:pivotFmt>
      <c:pivotFmt>
        <c:idx val="3098"/>
        <c:spPr>
          <a:solidFill>
            <a:schemeClr val="accent6"/>
          </a:solidFill>
          <a:ln>
            <a:noFill/>
          </a:ln>
          <a:effectLst>
            <a:outerShdw blurRad="254000" sx="102000" sy="102000" algn="ctr" rotWithShape="0">
              <a:prstClr val="black">
                <a:alpha val="20000"/>
              </a:prstClr>
            </a:outerShdw>
          </a:effectLst>
        </c:spPr>
      </c:pivotFmt>
      <c:pivotFmt>
        <c:idx val="3099"/>
        <c:spPr>
          <a:solidFill>
            <a:schemeClr val="accent6"/>
          </a:solidFill>
          <a:ln>
            <a:noFill/>
          </a:ln>
          <a:effectLst>
            <a:outerShdw blurRad="254000" sx="102000" sy="102000" algn="ctr" rotWithShape="0">
              <a:prstClr val="black">
                <a:alpha val="20000"/>
              </a:prstClr>
            </a:outerShdw>
          </a:effectLst>
        </c:spPr>
      </c:pivotFmt>
      <c:pivotFmt>
        <c:idx val="3100"/>
        <c:spPr>
          <a:solidFill>
            <a:schemeClr val="accent6"/>
          </a:solidFill>
          <a:ln>
            <a:noFill/>
          </a:ln>
          <a:effectLst>
            <a:outerShdw blurRad="254000" sx="102000" sy="102000" algn="ctr" rotWithShape="0">
              <a:prstClr val="black">
                <a:alpha val="20000"/>
              </a:prstClr>
            </a:outerShdw>
          </a:effectLst>
        </c:spPr>
      </c:pivotFmt>
      <c:pivotFmt>
        <c:idx val="31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02"/>
        <c:spPr>
          <a:solidFill>
            <a:schemeClr val="accent6"/>
          </a:solidFill>
          <a:ln>
            <a:noFill/>
          </a:ln>
          <a:effectLst>
            <a:outerShdw blurRad="254000" sx="102000" sy="102000" algn="ctr" rotWithShape="0">
              <a:prstClr val="black">
                <a:alpha val="20000"/>
              </a:prstClr>
            </a:outerShdw>
          </a:effectLst>
        </c:spPr>
      </c:pivotFmt>
      <c:pivotFmt>
        <c:idx val="3103"/>
        <c:spPr>
          <a:solidFill>
            <a:schemeClr val="accent6"/>
          </a:solidFill>
          <a:ln>
            <a:noFill/>
          </a:ln>
          <a:effectLst>
            <a:outerShdw blurRad="254000" sx="102000" sy="102000" algn="ctr" rotWithShape="0">
              <a:prstClr val="black">
                <a:alpha val="20000"/>
              </a:prstClr>
            </a:outerShdw>
          </a:effectLst>
        </c:spPr>
      </c:pivotFmt>
      <c:pivotFmt>
        <c:idx val="3104"/>
        <c:spPr>
          <a:solidFill>
            <a:schemeClr val="accent6"/>
          </a:solidFill>
          <a:ln>
            <a:noFill/>
          </a:ln>
          <a:effectLst>
            <a:outerShdw blurRad="254000" sx="102000" sy="102000" algn="ctr" rotWithShape="0">
              <a:prstClr val="black">
                <a:alpha val="20000"/>
              </a:prstClr>
            </a:outerShdw>
          </a:effectLst>
        </c:spPr>
      </c:pivotFmt>
      <c:pivotFmt>
        <c:idx val="3105"/>
        <c:spPr>
          <a:solidFill>
            <a:schemeClr val="accent6"/>
          </a:solidFill>
          <a:ln>
            <a:noFill/>
          </a:ln>
          <a:effectLst>
            <a:outerShdw blurRad="254000" sx="102000" sy="102000" algn="ctr" rotWithShape="0">
              <a:prstClr val="black">
                <a:alpha val="20000"/>
              </a:prstClr>
            </a:outerShdw>
          </a:effectLst>
        </c:spPr>
      </c:pivotFmt>
      <c:pivotFmt>
        <c:idx val="3106"/>
        <c:spPr>
          <a:solidFill>
            <a:schemeClr val="accent6"/>
          </a:solidFill>
          <a:ln>
            <a:noFill/>
          </a:ln>
          <a:effectLst>
            <a:outerShdw blurRad="254000" sx="102000" sy="102000" algn="ctr" rotWithShape="0">
              <a:prstClr val="black">
                <a:alpha val="20000"/>
              </a:prstClr>
            </a:outerShdw>
          </a:effectLst>
        </c:spPr>
      </c:pivotFmt>
      <c:pivotFmt>
        <c:idx val="3107"/>
        <c:spPr>
          <a:solidFill>
            <a:schemeClr val="accent6"/>
          </a:solidFill>
          <a:ln>
            <a:noFill/>
          </a:ln>
          <a:effectLst>
            <a:outerShdw blurRad="254000" sx="102000" sy="102000" algn="ctr" rotWithShape="0">
              <a:prstClr val="black">
                <a:alpha val="20000"/>
              </a:prstClr>
            </a:outerShdw>
          </a:effectLst>
        </c:spPr>
      </c:pivotFmt>
      <c:pivotFmt>
        <c:idx val="3108"/>
        <c:spPr>
          <a:solidFill>
            <a:schemeClr val="accent6"/>
          </a:solidFill>
          <a:ln>
            <a:noFill/>
          </a:ln>
          <a:effectLst>
            <a:outerShdw blurRad="254000" sx="102000" sy="102000" algn="ctr" rotWithShape="0">
              <a:prstClr val="black">
                <a:alpha val="20000"/>
              </a:prstClr>
            </a:outerShdw>
          </a:effectLst>
        </c:spPr>
      </c:pivotFmt>
      <c:pivotFmt>
        <c:idx val="3109"/>
        <c:spPr>
          <a:solidFill>
            <a:schemeClr val="accent6"/>
          </a:solidFill>
          <a:ln>
            <a:noFill/>
          </a:ln>
          <a:effectLst>
            <a:outerShdw blurRad="254000" sx="102000" sy="102000" algn="ctr" rotWithShape="0">
              <a:prstClr val="black">
                <a:alpha val="20000"/>
              </a:prstClr>
            </a:outerShdw>
          </a:effectLst>
        </c:spPr>
      </c:pivotFmt>
      <c:pivotFmt>
        <c:idx val="3110"/>
        <c:spPr>
          <a:solidFill>
            <a:schemeClr val="accent6"/>
          </a:solidFill>
          <a:ln>
            <a:noFill/>
          </a:ln>
          <a:effectLst>
            <a:outerShdw blurRad="254000" sx="102000" sy="102000" algn="ctr" rotWithShape="0">
              <a:prstClr val="black">
                <a:alpha val="20000"/>
              </a:prstClr>
            </a:outerShdw>
          </a:effectLst>
        </c:spPr>
      </c:pivotFmt>
      <c:pivotFmt>
        <c:idx val="31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12"/>
        <c:spPr>
          <a:solidFill>
            <a:schemeClr val="accent6"/>
          </a:solidFill>
          <a:ln>
            <a:noFill/>
          </a:ln>
          <a:effectLst>
            <a:outerShdw blurRad="254000" sx="102000" sy="102000" algn="ctr" rotWithShape="0">
              <a:prstClr val="black">
                <a:alpha val="20000"/>
              </a:prstClr>
            </a:outerShdw>
          </a:effectLst>
        </c:spPr>
      </c:pivotFmt>
      <c:pivotFmt>
        <c:idx val="3113"/>
        <c:spPr>
          <a:solidFill>
            <a:schemeClr val="accent6"/>
          </a:solidFill>
          <a:ln>
            <a:noFill/>
          </a:ln>
          <a:effectLst>
            <a:outerShdw blurRad="254000" sx="102000" sy="102000" algn="ctr" rotWithShape="0">
              <a:prstClr val="black">
                <a:alpha val="20000"/>
              </a:prstClr>
            </a:outerShdw>
          </a:effectLst>
        </c:spPr>
      </c:pivotFmt>
      <c:pivotFmt>
        <c:idx val="3114"/>
        <c:spPr>
          <a:solidFill>
            <a:schemeClr val="accent6"/>
          </a:solidFill>
          <a:ln>
            <a:noFill/>
          </a:ln>
          <a:effectLst>
            <a:outerShdw blurRad="254000" sx="102000" sy="102000" algn="ctr" rotWithShape="0">
              <a:prstClr val="black">
                <a:alpha val="20000"/>
              </a:prstClr>
            </a:outerShdw>
          </a:effectLst>
        </c:spPr>
      </c:pivotFmt>
      <c:pivotFmt>
        <c:idx val="3115"/>
        <c:spPr>
          <a:solidFill>
            <a:schemeClr val="accent6"/>
          </a:solidFill>
          <a:ln>
            <a:noFill/>
          </a:ln>
          <a:effectLst>
            <a:outerShdw blurRad="254000" sx="102000" sy="102000" algn="ctr" rotWithShape="0">
              <a:prstClr val="black">
                <a:alpha val="20000"/>
              </a:prstClr>
            </a:outerShdw>
          </a:effectLst>
        </c:spPr>
      </c:pivotFmt>
      <c:pivotFmt>
        <c:idx val="3116"/>
        <c:spPr>
          <a:solidFill>
            <a:schemeClr val="accent6"/>
          </a:solidFill>
          <a:ln>
            <a:noFill/>
          </a:ln>
          <a:effectLst>
            <a:outerShdw blurRad="254000" sx="102000" sy="102000" algn="ctr" rotWithShape="0">
              <a:prstClr val="black">
                <a:alpha val="20000"/>
              </a:prstClr>
            </a:outerShdw>
          </a:effectLst>
        </c:spPr>
      </c:pivotFmt>
      <c:pivotFmt>
        <c:idx val="3117"/>
        <c:spPr>
          <a:solidFill>
            <a:schemeClr val="accent6"/>
          </a:solidFill>
          <a:ln>
            <a:noFill/>
          </a:ln>
          <a:effectLst>
            <a:outerShdw blurRad="254000" sx="102000" sy="102000" algn="ctr" rotWithShape="0">
              <a:prstClr val="black">
                <a:alpha val="20000"/>
              </a:prstClr>
            </a:outerShdw>
          </a:effectLst>
        </c:spPr>
      </c:pivotFmt>
      <c:pivotFmt>
        <c:idx val="3118"/>
        <c:spPr>
          <a:solidFill>
            <a:schemeClr val="accent6"/>
          </a:solidFill>
          <a:ln>
            <a:noFill/>
          </a:ln>
          <a:effectLst>
            <a:outerShdw blurRad="254000" sx="102000" sy="102000" algn="ctr" rotWithShape="0">
              <a:prstClr val="black">
                <a:alpha val="20000"/>
              </a:prstClr>
            </a:outerShdw>
          </a:effectLst>
        </c:spPr>
      </c:pivotFmt>
      <c:pivotFmt>
        <c:idx val="3119"/>
        <c:spPr>
          <a:solidFill>
            <a:schemeClr val="accent6"/>
          </a:solidFill>
          <a:ln>
            <a:noFill/>
          </a:ln>
          <a:effectLst>
            <a:outerShdw blurRad="254000" sx="102000" sy="102000" algn="ctr" rotWithShape="0">
              <a:prstClr val="black">
                <a:alpha val="20000"/>
              </a:prstClr>
            </a:outerShdw>
          </a:effectLst>
        </c:spPr>
      </c:pivotFmt>
      <c:pivotFmt>
        <c:idx val="3120"/>
        <c:spPr>
          <a:solidFill>
            <a:schemeClr val="accent6"/>
          </a:solidFill>
          <a:ln>
            <a:noFill/>
          </a:ln>
          <a:effectLst>
            <a:outerShdw blurRad="254000" sx="102000" sy="102000" algn="ctr" rotWithShape="0">
              <a:prstClr val="black">
                <a:alpha val="20000"/>
              </a:prstClr>
            </a:outerShdw>
          </a:effectLst>
        </c:spPr>
      </c:pivotFmt>
      <c:pivotFmt>
        <c:idx val="31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22"/>
        <c:spPr>
          <a:solidFill>
            <a:schemeClr val="accent6"/>
          </a:solidFill>
          <a:ln>
            <a:noFill/>
          </a:ln>
          <a:effectLst>
            <a:outerShdw blurRad="254000" sx="102000" sy="102000" algn="ctr" rotWithShape="0">
              <a:prstClr val="black">
                <a:alpha val="20000"/>
              </a:prstClr>
            </a:outerShdw>
          </a:effectLst>
        </c:spPr>
      </c:pivotFmt>
      <c:pivotFmt>
        <c:idx val="3123"/>
        <c:spPr>
          <a:solidFill>
            <a:schemeClr val="accent6"/>
          </a:solidFill>
          <a:ln>
            <a:noFill/>
          </a:ln>
          <a:effectLst>
            <a:outerShdw blurRad="254000" sx="102000" sy="102000" algn="ctr" rotWithShape="0">
              <a:prstClr val="black">
                <a:alpha val="20000"/>
              </a:prstClr>
            </a:outerShdw>
          </a:effectLst>
        </c:spPr>
      </c:pivotFmt>
      <c:pivotFmt>
        <c:idx val="3124"/>
        <c:spPr>
          <a:solidFill>
            <a:schemeClr val="accent6"/>
          </a:solidFill>
          <a:ln>
            <a:noFill/>
          </a:ln>
          <a:effectLst>
            <a:outerShdw blurRad="254000" sx="102000" sy="102000" algn="ctr" rotWithShape="0">
              <a:prstClr val="black">
                <a:alpha val="20000"/>
              </a:prstClr>
            </a:outerShdw>
          </a:effectLst>
        </c:spPr>
      </c:pivotFmt>
      <c:pivotFmt>
        <c:idx val="3125"/>
        <c:spPr>
          <a:solidFill>
            <a:schemeClr val="accent6"/>
          </a:solidFill>
          <a:ln>
            <a:noFill/>
          </a:ln>
          <a:effectLst>
            <a:outerShdw blurRad="254000" sx="102000" sy="102000" algn="ctr" rotWithShape="0">
              <a:prstClr val="black">
                <a:alpha val="20000"/>
              </a:prstClr>
            </a:outerShdw>
          </a:effectLst>
        </c:spPr>
      </c:pivotFmt>
      <c:pivotFmt>
        <c:idx val="3126"/>
        <c:spPr>
          <a:solidFill>
            <a:schemeClr val="accent6"/>
          </a:solidFill>
          <a:ln>
            <a:noFill/>
          </a:ln>
          <a:effectLst>
            <a:outerShdw blurRad="254000" sx="102000" sy="102000" algn="ctr" rotWithShape="0">
              <a:prstClr val="black">
                <a:alpha val="20000"/>
              </a:prstClr>
            </a:outerShdw>
          </a:effectLst>
        </c:spPr>
      </c:pivotFmt>
      <c:pivotFmt>
        <c:idx val="3127"/>
        <c:spPr>
          <a:solidFill>
            <a:schemeClr val="accent6"/>
          </a:solidFill>
          <a:ln>
            <a:noFill/>
          </a:ln>
          <a:effectLst>
            <a:outerShdw blurRad="254000" sx="102000" sy="102000" algn="ctr" rotWithShape="0">
              <a:prstClr val="black">
                <a:alpha val="20000"/>
              </a:prstClr>
            </a:outerShdw>
          </a:effectLst>
        </c:spPr>
      </c:pivotFmt>
      <c:pivotFmt>
        <c:idx val="3128"/>
        <c:spPr>
          <a:solidFill>
            <a:schemeClr val="accent6"/>
          </a:solidFill>
          <a:ln>
            <a:noFill/>
          </a:ln>
          <a:effectLst>
            <a:outerShdw blurRad="254000" sx="102000" sy="102000" algn="ctr" rotWithShape="0">
              <a:prstClr val="black">
                <a:alpha val="20000"/>
              </a:prstClr>
            </a:outerShdw>
          </a:effectLst>
        </c:spPr>
      </c:pivotFmt>
      <c:pivotFmt>
        <c:idx val="3129"/>
        <c:spPr>
          <a:solidFill>
            <a:schemeClr val="accent6"/>
          </a:solidFill>
          <a:ln>
            <a:noFill/>
          </a:ln>
          <a:effectLst>
            <a:outerShdw blurRad="254000" sx="102000" sy="102000" algn="ctr" rotWithShape="0">
              <a:prstClr val="black">
                <a:alpha val="20000"/>
              </a:prstClr>
            </a:outerShdw>
          </a:effectLst>
        </c:spPr>
      </c:pivotFmt>
      <c:pivotFmt>
        <c:idx val="3130"/>
        <c:spPr>
          <a:solidFill>
            <a:schemeClr val="accent6"/>
          </a:solidFill>
          <a:ln>
            <a:noFill/>
          </a:ln>
          <a:effectLst>
            <a:outerShdw blurRad="254000" sx="102000" sy="102000" algn="ctr" rotWithShape="0">
              <a:prstClr val="black">
                <a:alpha val="20000"/>
              </a:prstClr>
            </a:outerShdw>
          </a:effectLst>
        </c:spPr>
      </c:pivotFmt>
      <c:pivotFmt>
        <c:idx val="31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32"/>
        <c:spPr>
          <a:solidFill>
            <a:schemeClr val="accent6"/>
          </a:solidFill>
          <a:ln>
            <a:noFill/>
          </a:ln>
          <a:effectLst>
            <a:outerShdw blurRad="254000" sx="102000" sy="102000" algn="ctr" rotWithShape="0">
              <a:prstClr val="black">
                <a:alpha val="20000"/>
              </a:prstClr>
            </a:outerShdw>
          </a:effectLst>
        </c:spPr>
      </c:pivotFmt>
      <c:pivotFmt>
        <c:idx val="3133"/>
        <c:spPr>
          <a:solidFill>
            <a:schemeClr val="accent6"/>
          </a:solidFill>
          <a:ln>
            <a:noFill/>
          </a:ln>
          <a:effectLst>
            <a:outerShdw blurRad="254000" sx="102000" sy="102000" algn="ctr" rotWithShape="0">
              <a:prstClr val="black">
                <a:alpha val="20000"/>
              </a:prstClr>
            </a:outerShdw>
          </a:effectLst>
        </c:spPr>
      </c:pivotFmt>
      <c:pivotFmt>
        <c:idx val="3134"/>
        <c:spPr>
          <a:solidFill>
            <a:schemeClr val="accent6"/>
          </a:solidFill>
          <a:ln>
            <a:noFill/>
          </a:ln>
          <a:effectLst>
            <a:outerShdw blurRad="254000" sx="102000" sy="102000" algn="ctr" rotWithShape="0">
              <a:prstClr val="black">
                <a:alpha val="20000"/>
              </a:prstClr>
            </a:outerShdw>
          </a:effectLst>
        </c:spPr>
      </c:pivotFmt>
      <c:pivotFmt>
        <c:idx val="3135"/>
        <c:spPr>
          <a:solidFill>
            <a:schemeClr val="accent6"/>
          </a:solidFill>
          <a:ln>
            <a:noFill/>
          </a:ln>
          <a:effectLst>
            <a:outerShdw blurRad="254000" sx="102000" sy="102000" algn="ctr" rotWithShape="0">
              <a:prstClr val="black">
                <a:alpha val="20000"/>
              </a:prstClr>
            </a:outerShdw>
          </a:effectLst>
        </c:spPr>
      </c:pivotFmt>
      <c:pivotFmt>
        <c:idx val="3136"/>
        <c:spPr>
          <a:solidFill>
            <a:schemeClr val="accent6"/>
          </a:solidFill>
          <a:ln>
            <a:noFill/>
          </a:ln>
          <a:effectLst>
            <a:outerShdw blurRad="254000" sx="102000" sy="102000" algn="ctr" rotWithShape="0">
              <a:prstClr val="black">
                <a:alpha val="20000"/>
              </a:prstClr>
            </a:outerShdw>
          </a:effectLst>
        </c:spPr>
      </c:pivotFmt>
      <c:pivotFmt>
        <c:idx val="3137"/>
        <c:spPr>
          <a:solidFill>
            <a:schemeClr val="accent6"/>
          </a:solidFill>
          <a:ln>
            <a:noFill/>
          </a:ln>
          <a:effectLst>
            <a:outerShdw blurRad="254000" sx="102000" sy="102000" algn="ctr" rotWithShape="0">
              <a:prstClr val="black">
                <a:alpha val="20000"/>
              </a:prstClr>
            </a:outerShdw>
          </a:effectLst>
        </c:spPr>
      </c:pivotFmt>
      <c:pivotFmt>
        <c:idx val="3138"/>
        <c:spPr>
          <a:solidFill>
            <a:schemeClr val="accent6"/>
          </a:solidFill>
          <a:ln>
            <a:noFill/>
          </a:ln>
          <a:effectLst>
            <a:outerShdw blurRad="254000" sx="102000" sy="102000" algn="ctr" rotWithShape="0">
              <a:prstClr val="black">
                <a:alpha val="20000"/>
              </a:prstClr>
            </a:outerShdw>
          </a:effectLst>
        </c:spPr>
      </c:pivotFmt>
      <c:pivotFmt>
        <c:idx val="3139"/>
        <c:spPr>
          <a:solidFill>
            <a:schemeClr val="accent6"/>
          </a:solidFill>
          <a:ln>
            <a:noFill/>
          </a:ln>
          <a:effectLst>
            <a:outerShdw blurRad="254000" sx="102000" sy="102000" algn="ctr" rotWithShape="0">
              <a:prstClr val="black">
                <a:alpha val="20000"/>
              </a:prstClr>
            </a:outerShdw>
          </a:effectLst>
        </c:spPr>
      </c:pivotFmt>
      <c:pivotFmt>
        <c:idx val="3140"/>
        <c:spPr>
          <a:solidFill>
            <a:schemeClr val="accent6"/>
          </a:solidFill>
          <a:ln>
            <a:noFill/>
          </a:ln>
          <a:effectLst>
            <a:outerShdw blurRad="254000" sx="102000" sy="102000" algn="ctr" rotWithShape="0">
              <a:prstClr val="black">
                <a:alpha val="20000"/>
              </a:prstClr>
            </a:outerShdw>
          </a:effectLst>
        </c:spPr>
      </c:pivotFmt>
      <c:pivotFmt>
        <c:idx val="314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42"/>
        <c:spPr>
          <a:solidFill>
            <a:schemeClr val="accent6"/>
          </a:solidFill>
          <a:ln>
            <a:noFill/>
          </a:ln>
          <a:effectLst>
            <a:outerShdw blurRad="254000" sx="102000" sy="102000" algn="ctr" rotWithShape="0">
              <a:prstClr val="black">
                <a:alpha val="20000"/>
              </a:prstClr>
            </a:outerShdw>
          </a:effectLst>
        </c:spPr>
      </c:pivotFmt>
      <c:pivotFmt>
        <c:idx val="3143"/>
        <c:spPr>
          <a:solidFill>
            <a:schemeClr val="accent6"/>
          </a:solidFill>
          <a:ln>
            <a:noFill/>
          </a:ln>
          <a:effectLst>
            <a:outerShdw blurRad="254000" sx="102000" sy="102000" algn="ctr" rotWithShape="0">
              <a:prstClr val="black">
                <a:alpha val="20000"/>
              </a:prstClr>
            </a:outerShdw>
          </a:effectLst>
        </c:spPr>
      </c:pivotFmt>
      <c:pivotFmt>
        <c:idx val="3144"/>
        <c:spPr>
          <a:solidFill>
            <a:schemeClr val="accent6"/>
          </a:solidFill>
          <a:ln>
            <a:noFill/>
          </a:ln>
          <a:effectLst>
            <a:outerShdw blurRad="254000" sx="102000" sy="102000" algn="ctr" rotWithShape="0">
              <a:prstClr val="black">
                <a:alpha val="20000"/>
              </a:prstClr>
            </a:outerShdw>
          </a:effectLst>
        </c:spPr>
      </c:pivotFmt>
      <c:pivotFmt>
        <c:idx val="3145"/>
        <c:spPr>
          <a:solidFill>
            <a:schemeClr val="accent6"/>
          </a:solidFill>
          <a:ln>
            <a:noFill/>
          </a:ln>
          <a:effectLst>
            <a:outerShdw blurRad="254000" sx="102000" sy="102000" algn="ctr" rotWithShape="0">
              <a:prstClr val="black">
                <a:alpha val="20000"/>
              </a:prstClr>
            </a:outerShdw>
          </a:effectLst>
        </c:spPr>
      </c:pivotFmt>
      <c:pivotFmt>
        <c:idx val="3146"/>
        <c:spPr>
          <a:solidFill>
            <a:schemeClr val="accent6"/>
          </a:solidFill>
          <a:ln>
            <a:noFill/>
          </a:ln>
          <a:effectLst>
            <a:outerShdw blurRad="254000" sx="102000" sy="102000" algn="ctr" rotWithShape="0">
              <a:prstClr val="black">
                <a:alpha val="20000"/>
              </a:prstClr>
            </a:outerShdw>
          </a:effectLst>
        </c:spPr>
      </c:pivotFmt>
      <c:pivotFmt>
        <c:idx val="3147"/>
        <c:spPr>
          <a:solidFill>
            <a:schemeClr val="accent6"/>
          </a:solidFill>
          <a:ln>
            <a:noFill/>
          </a:ln>
          <a:effectLst>
            <a:outerShdw blurRad="254000" sx="102000" sy="102000" algn="ctr" rotWithShape="0">
              <a:prstClr val="black">
                <a:alpha val="20000"/>
              </a:prstClr>
            </a:outerShdw>
          </a:effectLst>
        </c:spPr>
      </c:pivotFmt>
      <c:pivotFmt>
        <c:idx val="3148"/>
        <c:spPr>
          <a:solidFill>
            <a:schemeClr val="accent6"/>
          </a:solidFill>
          <a:ln>
            <a:noFill/>
          </a:ln>
          <a:effectLst>
            <a:outerShdw blurRad="254000" sx="102000" sy="102000" algn="ctr" rotWithShape="0">
              <a:prstClr val="black">
                <a:alpha val="20000"/>
              </a:prstClr>
            </a:outerShdw>
          </a:effectLst>
        </c:spPr>
      </c:pivotFmt>
      <c:pivotFmt>
        <c:idx val="3149"/>
        <c:spPr>
          <a:solidFill>
            <a:schemeClr val="accent6"/>
          </a:solidFill>
          <a:ln>
            <a:noFill/>
          </a:ln>
          <a:effectLst>
            <a:outerShdw blurRad="254000" sx="102000" sy="102000" algn="ctr" rotWithShape="0">
              <a:prstClr val="black">
                <a:alpha val="20000"/>
              </a:prstClr>
            </a:outerShdw>
          </a:effectLst>
        </c:spPr>
      </c:pivotFmt>
      <c:pivotFmt>
        <c:idx val="3150"/>
        <c:spPr>
          <a:solidFill>
            <a:schemeClr val="accent6"/>
          </a:solidFill>
          <a:ln>
            <a:noFill/>
          </a:ln>
          <a:effectLst>
            <a:outerShdw blurRad="254000" sx="102000" sy="102000" algn="ctr" rotWithShape="0">
              <a:prstClr val="black">
                <a:alpha val="20000"/>
              </a:prstClr>
            </a:outerShdw>
          </a:effectLst>
        </c:spPr>
      </c:pivotFmt>
      <c:pivotFmt>
        <c:idx val="315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52"/>
        <c:spPr>
          <a:solidFill>
            <a:schemeClr val="accent6"/>
          </a:solidFill>
          <a:ln>
            <a:noFill/>
          </a:ln>
          <a:effectLst>
            <a:outerShdw blurRad="254000" sx="102000" sy="102000" algn="ctr" rotWithShape="0">
              <a:prstClr val="black">
                <a:alpha val="20000"/>
              </a:prstClr>
            </a:outerShdw>
          </a:effectLst>
        </c:spPr>
      </c:pivotFmt>
      <c:pivotFmt>
        <c:idx val="3153"/>
        <c:spPr>
          <a:solidFill>
            <a:schemeClr val="accent6"/>
          </a:solidFill>
          <a:ln>
            <a:noFill/>
          </a:ln>
          <a:effectLst>
            <a:outerShdw blurRad="254000" sx="102000" sy="102000" algn="ctr" rotWithShape="0">
              <a:prstClr val="black">
                <a:alpha val="20000"/>
              </a:prstClr>
            </a:outerShdw>
          </a:effectLst>
        </c:spPr>
      </c:pivotFmt>
      <c:pivotFmt>
        <c:idx val="3154"/>
        <c:spPr>
          <a:solidFill>
            <a:schemeClr val="accent6"/>
          </a:solidFill>
          <a:ln>
            <a:noFill/>
          </a:ln>
          <a:effectLst>
            <a:outerShdw blurRad="254000" sx="102000" sy="102000" algn="ctr" rotWithShape="0">
              <a:prstClr val="black">
                <a:alpha val="20000"/>
              </a:prstClr>
            </a:outerShdw>
          </a:effectLst>
        </c:spPr>
      </c:pivotFmt>
      <c:pivotFmt>
        <c:idx val="3155"/>
        <c:spPr>
          <a:solidFill>
            <a:schemeClr val="accent6"/>
          </a:solidFill>
          <a:ln>
            <a:noFill/>
          </a:ln>
          <a:effectLst>
            <a:outerShdw blurRad="254000" sx="102000" sy="102000" algn="ctr" rotWithShape="0">
              <a:prstClr val="black">
                <a:alpha val="20000"/>
              </a:prstClr>
            </a:outerShdw>
          </a:effectLst>
        </c:spPr>
      </c:pivotFmt>
      <c:pivotFmt>
        <c:idx val="3156"/>
        <c:spPr>
          <a:solidFill>
            <a:schemeClr val="accent6"/>
          </a:solidFill>
          <a:ln>
            <a:noFill/>
          </a:ln>
          <a:effectLst>
            <a:outerShdw blurRad="254000" sx="102000" sy="102000" algn="ctr" rotWithShape="0">
              <a:prstClr val="black">
                <a:alpha val="20000"/>
              </a:prstClr>
            </a:outerShdw>
          </a:effectLst>
        </c:spPr>
      </c:pivotFmt>
      <c:pivotFmt>
        <c:idx val="3157"/>
        <c:spPr>
          <a:solidFill>
            <a:schemeClr val="accent6"/>
          </a:solidFill>
          <a:ln>
            <a:noFill/>
          </a:ln>
          <a:effectLst>
            <a:outerShdw blurRad="254000" sx="102000" sy="102000" algn="ctr" rotWithShape="0">
              <a:prstClr val="black">
                <a:alpha val="20000"/>
              </a:prstClr>
            </a:outerShdw>
          </a:effectLst>
        </c:spPr>
      </c:pivotFmt>
      <c:pivotFmt>
        <c:idx val="3158"/>
        <c:spPr>
          <a:solidFill>
            <a:schemeClr val="accent6"/>
          </a:solidFill>
          <a:ln>
            <a:noFill/>
          </a:ln>
          <a:effectLst>
            <a:outerShdw blurRad="254000" sx="102000" sy="102000" algn="ctr" rotWithShape="0">
              <a:prstClr val="black">
                <a:alpha val="20000"/>
              </a:prstClr>
            </a:outerShdw>
          </a:effectLst>
        </c:spPr>
      </c:pivotFmt>
      <c:pivotFmt>
        <c:idx val="3159"/>
        <c:spPr>
          <a:solidFill>
            <a:schemeClr val="accent6"/>
          </a:solidFill>
          <a:ln>
            <a:noFill/>
          </a:ln>
          <a:effectLst>
            <a:outerShdw blurRad="254000" sx="102000" sy="102000" algn="ctr" rotWithShape="0">
              <a:prstClr val="black">
                <a:alpha val="20000"/>
              </a:prstClr>
            </a:outerShdw>
          </a:effectLst>
        </c:spPr>
      </c:pivotFmt>
      <c:pivotFmt>
        <c:idx val="3160"/>
        <c:spPr>
          <a:solidFill>
            <a:schemeClr val="accent6"/>
          </a:solidFill>
          <a:ln>
            <a:noFill/>
          </a:ln>
          <a:effectLst>
            <a:outerShdw blurRad="254000" sx="102000" sy="102000" algn="ctr" rotWithShape="0">
              <a:prstClr val="black">
                <a:alpha val="20000"/>
              </a:prstClr>
            </a:outerShdw>
          </a:effectLst>
        </c:spPr>
      </c:pivotFmt>
      <c:pivotFmt>
        <c:idx val="31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62"/>
        <c:spPr>
          <a:solidFill>
            <a:schemeClr val="accent6"/>
          </a:solidFill>
          <a:ln>
            <a:noFill/>
          </a:ln>
          <a:effectLst>
            <a:outerShdw blurRad="254000" sx="102000" sy="102000" algn="ctr" rotWithShape="0">
              <a:prstClr val="black">
                <a:alpha val="20000"/>
              </a:prstClr>
            </a:outerShdw>
          </a:effectLst>
        </c:spPr>
      </c:pivotFmt>
      <c:pivotFmt>
        <c:idx val="3163"/>
        <c:spPr>
          <a:solidFill>
            <a:schemeClr val="accent6"/>
          </a:solidFill>
          <a:ln>
            <a:noFill/>
          </a:ln>
          <a:effectLst>
            <a:outerShdw blurRad="254000" sx="102000" sy="102000" algn="ctr" rotWithShape="0">
              <a:prstClr val="black">
                <a:alpha val="20000"/>
              </a:prstClr>
            </a:outerShdw>
          </a:effectLst>
        </c:spPr>
      </c:pivotFmt>
      <c:pivotFmt>
        <c:idx val="3164"/>
        <c:spPr>
          <a:solidFill>
            <a:schemeClr val="accent6"/>
          </a:solidFill>
          <a:ln>
            <a:noFill/>
          </a:ln>
          <a:effectLst>
            <a:outerShdw blurRad="254000" sx="102000" sy="102000" algn="ctr" rotWithShape="0">
              <a:prstClr val="black">
                <a:alpha val="20000"/>
              </a:prstClr>
            </a:outerShdw>
          </a:effectLst>
        </c:spPr>
      </c:pivotFmt>
      <c:pivotFmt>
        <c:idx val="3165"/>
        <c:spPr>
          <a:solidFill>
            <a:schemeClr val="accent6"/>
          </a:solidFill>
          <a:ln>
            <a:noFill/>
          </a:ln>
          <a:effectLst>
            <a:outerShdw blurRad="254000" sx="102000" sy="102000" algn="ctr" rotWithShape="0">
              <a:prstClr val="black">
                <a:alpha val="20000"/>
              </a:prstClr>
            </a:outerShdw>
          </a:effectLst>
        </c:spPr>
      </c:pivotFmt>
      <c:pivotFmt>
        <c:idx val="3166"/>
        <c:spPr>
          <a:solidFill>
            <a:schemeClr val="accent6"/>
          </a:solidFill>
          <a:ln>
            <a:noFill/>
          </a:ln>
          <a:effectLst>
            <a:outerShdw blurRad="254000" sx="102000" sy="102000" algn="ctr" rotWithShape="0">
              <a:prstClr val="black">
                <a:alpha val="20000"/>
              </a:prstClr>
            </a:outerShdw>
          </a:effectLst>
        </c:spPr>
      </c:pivotFmt>
      <c:pivotFmt>
        <c:idx val="3167"/>
        <c:spPr>
          <a:solidFill>
            <a:schemeClr val="accent6"/>
          </a:solidFill>
          <a:ln>
            <a:noFill/>
          </a:ln>
          <a:effectLst>
            <a:outerShdw blurRad="254000" sx="102000" sy="102000" algn="ctr" rotWithShape="0">
              <a:prstClr val="black">
                <a:alpha val="20000"/>
              </a:prstClr>
            </a:outerShdw>
          </a:effectLst>
        </c:spPr>
      </c:pivotFmt>
      <c:pivotFmt>
        <c:idx val="3168"/>
        <c:spPr>
          <a:solidFill>
            <a:schemeClr val="accent6"/>
          </a:solidFill>
          <a:ln>
            <a:noFill/>
          </a:ln>
          <a:effectLst>
            <a:outerShdw blurRad="254000" sx="102000" sy="102000" algn="ctr" rotWithShape="0">
              <a:prstClr val="black">
                <a:alpha val="20000"/>
              </a:prstClr>
            </a:outerShdw>
          </a:effectLst>
        </c:spPr>
      </c:pivotFmt>
      <c:pivotFmt>
        <c:idx val="3169"/>
        <c:spPr>
          <a:solidFill>
            <a:schemeClr val="accent6"/>
          </a:solidFill>
          <a:ln>
            <a:noFill/>
          </a:ln>
          <a:effectLst>
            <a:outerShdw blurRad="254000" sx="102000" sy="102000" algn="ctr" rotWithShape="0">
              <a:prstClr val="black">
                <a:alpha val="20000"/>
              </a:prstClr>
            </a:outerShdw>
          </a:effectLst>
        </c:spPr>
      </c:pivotFmt>
      <c:pivotFmt>
        <c:idx val="3170"/>
        <c:spPr>
          <a:solidFill>
            <a:schemeClr val="accent6"/>
          </a:solidFill>
          <a:ln>
            <a:noFill/>
          </a:ln>
          <a:effectLst>
            <a:outerShdw blurRad="254000" sx="102000" sy="102000" algn="ctr" rotWithShape="0">
              <a:prstClr val="black">
                <a:alpha val="20000"/>
              </a:prstClr>
            </a:outerShdw>
          </a:effectLst>
        </c:spPr>
      </c:pivotFmt>
      <c:pivotFmt>
        <c:idx val="317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72"/>
        <c:spPr>
          <a:solidFill>
            <a:schemeClr val="accent6"/>
          </a:solidFill>
          <a:ln>
            <a:noFill/>
          </a:ln>
          <a:effectLst>
            <a:outerShdw blurRad="254000" sx="102000" sy="102000" algn="ctr" rotWithShape="0">
              <a:prstClr val="black">
                <a:alpha val="20000"/>
              </a:prstClr>
            </a:outerShdw>
          </a:effectLst>
        </c:spPr>
      </c:pivotFmt>
      <c:pivotFmt>
        <c:idx val="3173"/>
        <c:spPr>
          <a:solidFill>
            <a:schemeClr val="accent6"/>
          </a:solidFill>
          <a:ln>
            <a:noFill/>
          </a:ln>
          <a:effectLst>
            <a:outerShdw blurRad="254000" sx="102000" sy="102000" algn="ctr" rotWithShape="0">
              <a:prstClr val="black">
                <a:alpha val="20000"/>
              </a:prstClr>
            </a:outerShdw>
          </a:effectLst>
        </c:spPr>
      </c:pivotFmt>
      <c:pivotFmt>
        <c:idx val="3174"/>
        <c:spPr>
          <a:solidFill>
            <a:schemeClr val="accent6"/>
          </a:solidFill>
          <a:ln>
            <a:noFill/>
          </a:ln>
          <a:effectLst>
            <a:outerShdw blurRad="254000" sx="102000" sy="102000" algn="ctr" rotWithShape="0">
              <a:prstClr val="black">
                <a:alpha val="20000"/>
              </a:prstClr>
            </a:outerShdw>
          </a:effectLst>
        </c:spPr>
      </c:pivotFmt>
      <c:pivotFmt>
        <c:idx val="3175"/>
        <c:spPr>
          <a:solidFill>
            <a:schemeClr val="accent6"/>
          </a:solidFill>
          <a:ln>
            <a:noFill/>
          </a:ln>
          <a:effectLst>
            <a:outerShdw blurRad="254000" sx="102000" sy="102000" algn="ctr" rotWithShape="0">
              <a:prstClr val="black">
                <a:alpha val="20000"/>
              </a:prstClr>
            </a:outerShdw>
          </a:effectLst>
        </c:spPr>
      </c:pivotFmt>
      <c:pivotFmt>
        <c:idx val="3176"/>
        <c:spPr>
          <a:solidFill>
            <a:schemeClr val="accent6"/>
          </a:solidFill>
          <a:ln>
            <a:noFill/>
          </a:ln>
          <a:effectLst>
            <a:outerShdw blurRad="254000" sx="102000" sy="102000" algn="ctr" rotWithShape="0">
              <a:prstClr val="black">
                <a:alpha val="20000"/>
              </a:prstClr>
            </a:outerShdw>
          </a:effectLst>
        </c:spPr>
      </c:pivotFmt>
      <c:pivotFmt>
        <c:idx val="3177"/>
        <c:spPr>
          <a:solidFill>
            <a:schemeClr val="accent6"/>
          </a:solidFill>
          <a:ln>
            <a:noFill/>
          </a:ln>
          <a:effectLst>
            <a:outerShdw blurRad="254000" sx="102000" sy="102000" algn="ctr" rotWithShape="0">
              <a:prstClr val="black">
                <a:alpha val="20000"/>
              </a:prstClr>
            </a:outerShdw>
          </a:effectLst>
        </c:spPr>
      </c:pivotFmt>
      <c:pivotFmt>
        <c:idx val="3178"/>
        <c:spPr>
          <a:solidFill>
            <a:schemeClr val="accent6"/>
          </a:solidFill>
          <a:ln>
            <a:noFill/>
          </a:ln>
          <a:effectLst>
            <a:outerShdw blurRad="254000" sx="102000" sy="102000" algn="ctr" rotWithShape="0">
              <a:prstClr val="black">
                <a:alpha val="20000"/>
              </a:prstClr>
            </a:outerShdw>
          </a:effectLst>
        </c:spPr>
      </c:pivotFmt>
      <c:pivotFmt>
        <c:idx val="3179"/>
        <c:spPr>
          <a:solidFill>
            <a:schemeClr val="accent6"/>
          </a:solidFill>
          <a:ln>
            <a:noFill/>
          </a:ln>
          <a:effectLst>
            <a:outerShdw blurRad="254000" sx="102000" sy="102000" algn="ctr" rotWithShape="0">
              <a:prstClr val="black">
                <a:alpha val="20000"/>
              </a:prstClr>
            </a:outerShdw>
          </a:effectLst>
        </c:spPr>
      </c:pivotFmt>
      <c:pivotFmt>
        <c:idx val="3180"/>
        <c:spPr>
          <a:solidFill>
            <a:schemeClr val="accent6"/>
          </a:solidFill>
          <a:ln>
            <a:noFill/>
          </a:ln>
          <a:effectLst>
            <a:outerShdw blurRad="254000" sx="102000" sy="102000" algn="ctr" rotWithShape="0">
              <a:prstClr val="black">
                <a:alpha val="20000"/>
              </a:prstClr>
            </a:outerShdw>
          </a:effectLst>
        </c:spPr>
      </c:pivotFmt>
      <c:pivotFmt>
        <c:idx val="3181"/>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182"/>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183"/>
        <c:spPr>
          <a:solidFill>
            <a:schemeClr val="accent6"/>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18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8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8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8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8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8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9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9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93"/>
        <c:spPr>
          <a:solidFill>
            <a:schemeClr val="accent6"/>
          </a:solidFill>
          <a:ln>
            <a:noFill/>
          </a:ln>
          <a:effectLst>
            <a:outerShdw blurRad="254000" sx="102000" sy="102000" algn="ctr" rotWithShape="0">
              <a:prstClr val="black">
                <a:alpha val="20000"/>
              </a:prstClr>
            </a:outerShdw>
          </a:effectLst>
        </c:spPr>
      </c:pivotFmt>
      <c:pivotFmt>
        <c:idx val="3194"/>
        <c:spPr>
          <a:solidFill>
            <a:schemeClr val="accent6"/>
          </a:solidFill>
          <a:ln>
            <a:noFill/>
          </a:ln>
          <a:effectLst>
            <a:outerShdw blurRad="254000" sx="102000" sy="102000" algn="ctr" rotWithShape="0">
              <a:prstClr val="black">
                <a:alpha val="20000"/>
              </a:prstClr>
            </a:outerShdw>
          </a:effectLst>
        </c:spPr>
      </c:pivotFmt>
      <c:pivotFmt>
        <c:idx val="3195"/>
        <c:spPr>
          <a:solidFill>
            <a:schemeClr val="accent6"/>
          </a:solidFill>
          <a:ln>
            <a:noFill/>
          </a:ln>
          <a:effectLst>
            <a:outerShdw blurRad="254000" sx="102000" sy="102000" algn="ctr" rotWithShape="0">
              <a:prstClr val="black">
                <a:alpha val="20000"/>
              </a:prstClr>
            </a:outerShdw>
          </a:effectLst>
        </c:spPr>
      </c:pivotFmt>
      <c:pivotFmt>
        <c:idx val="3196"/>
        <c:spPr>
          <a:solidFill>
            <a:schemeClr val="accent6"/>
          </a:solidFill>
          <a:ln>
            <a:noFill/>
          </a:ln>
          <a:effectLst>
            <a:outerShdw blurRad="254000" sx="102000" sy="102000" algn="ctr" rotWithShape="0">
              <a:prstClr val="black">
                <a:alpha val="20000"/>
              </a:prstClr>
            </a:outerShdw>
          </a:effectLst>
        </c:spPr>
      </c:pivotFmt>
      <c:pivotFmt>
        <c:idx val="3197"/>
        <c:spPr>
          <a:solidFill>
            <a:schemeClr val="accent6"/>
          </a:solidFill>
          <a:ln>
            <a:noFill/>
          </a:ln>
          <a:effectLst>
            <a:outerShdw blurRad="254000" sx="102000" sy="102000" algn="ctr" rotWithShape="0">
              <a:prstClr val="black">
                <a:alpha val="20000"/>
              </a:prstClr>
            </a:outerShdw>
          </a:effectLst>
        </c:spPr>
      </c:pivotFmt>
      <c:pivotFmt>
        <c:idx val="3198"/>
        <c:spPr>
          <a:solidFill>
            <a:schemeClr val="accent6"/>
          </a:solidFill>
          <a:ln>
            <a:noFill/>
          </a:ln>
          <a:effectLst>
            <a:outerShdw blurRad="254000" sx="102000" sy="102000" algn="ctr" rotWithShape="0">
              <a:prstClr val="black">
                <a:alpha val="20000"/>
              </a:prstClr>
            </a:outerShdw>
          </a:effectLst>
        </c:spPr>
      </c:pivotFmt>
      <c:pivotFmt>
        <c:idx val="3199"/>
        <c:spPr>
          <a:solidFill>
            <a:schemeClr val="accent6"/>
          </a:solidFill>
          <a:ln>
            <a:noFill/>
          </a:ln>
          <a:effectLst>
            <a:outerShdw blurRad="254000" sx="102000" sy="102000" algn="ctr" rotWithShape="0">
              <a:prstClr val="black">
                <a:alpha val="20000"/>
              </a:prstClr>
            </a:outerShdw>
          </a:effectLst>
        </c:spPr>
      </c:pivotFmt>
      <c:pivotFmt>
        <c:idx val="3200"/>
        <c:spPr>
          <a:solidFill>
            <a:schemeClr val="accent6"/>
          </a:solidFill>
          <a:ln>
            <a:noFill/>
          </a:ln>
          <a:effectLst>
            <a:outerShdw blurRad="254000" sx="102000" sy="102000" algn="ctr" rotWithShape="0">
              <a:prstClr val="black">
                <a:alpha val="20000"/>
              </a:prstClr>
            </a:outerShdw>
          </a:effectLst>
        </c:spPr>
      </c:pivotFmt>
      <c:pivotFmt>
        <c:idx val="3201"/>
        <c:spPr>
          <a:solidFill>
            <a:schemeClr val="accent6"/>
          </a:solidFill>
          <a:ln>
            <a:noFill/>
          </a:ln>
          <a:effectLst>
            <a:outerShdw blurRad="254000" sx="102000" sy="102000" algn="ctr" rotWithShape="0">
              <a:prstClr val="black">
                <a:alpha val="20000"/>
              </a:prstClr>
            </a:outerShdw>
          </a:effectLst>
        </c:spPr>
      </c:pivotFmt>
      <c:pivotFmt>
        <c:idx val="320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03"/>
        <c:spPr>
          <a:solidFill>
            <a:schemeClr val="accent6"/>
          </a:solidFill>
          <a:ln>
            <a:noFill/>
          </a:ln>
          <a:effectLst>
            <a:outerShdw blurRad="254000" sx="102000" sy="102000" algn="ctr" rotWithShape="0">
              <a:prstClr val="black">
                <a:alpha val="20000"/>
              </a:prstClr>
            </a:outerShdw>
          </a:effectLst>
        </c:spPr>
      </c:pivotFmt>
      <c:pivotFmt>
        <c:idx val="3204"/>
        <c:spPr>
          <a:solidFill>
            <a:schemeClr val="accent6"/>
          </a:solidFill>
          <a:ln>
            <a:noFill/>
          </a:ln>
          <a:effectLst>
            <a:outerShdw blurRad="254000" sx="102000" sy="102000" algn="ctr" rotWithShape="0">
              <a:prstClr val="black">
                <a:alpha val="20000"/>
              </a:prstClr>
            </a:outerShdw>
          </a:effectLst>
        </c:spPr>
      </c:pivotFmt>
      <c:pivotFmt>
        <c:idx val="3205"/>
        <c:spPr>
          <a:solidFill>
            <a:schemeClr val="accent6"/>
          </a:solidFill>
          <a:ln>
            <a:noFill/>
          </a:ln>
          <a:effectLst>
            <a:outerShdw blurRad="254000" sx="102000" sy="102000" algn="ctr" rotWithShape="0">
              <a:prstClr val="black">
                <a:alpha val="20000"/>
              </a:prstClr>
            </a:outerShdw>
          </a:effectLst>
        </c:spPr>
      </c:pivotFmt>
      <c:pivotFmt>
        <c:idx val="3206"/>
        <c:spPr>
          <a:solidFill>
            <a:schemeClr val="accent6"/>
          </a:solidFill>
          <a:ln>
            <a:noFill/>
          </a:ln>
          <a:effectLst>
            <a:outerShdw blurRad="254000" sx="102000" sy="102000" algn="ctr" rotWithShape="0">
              <a:prstClr val="black">
                <a:alpha val="20000"/>
              </a:prstClr>
            </a:outerShdw>
          </a:effectLst>
        </c:spPr>
      </c:pivotFmt>
      <c:pivotFmt>
        <c:idx val="3207"/>
        <c:spPr>
          <a:solidFill>
            <a:schemeClr val="accent6"/>
          </a:solidFill>
          <a:ln>
            <a:noFill/>
          </a:ln>
          <a:effectLst>
            <a:outerShdw blurRad="254000" sx="102000" sy="102000" algn="ctr" rotWithShape="0">
              <a:prstClr val="black">
                <a:alpha val="20000"/>
              </a:prstClr>
            </a:outerShdw>
          </a:effectLst>
        </c:spPr>
      </c:pivotFmt>
      <c:pivotFmt>
        <c:idx val="3208"/>
        <c:spPr>
          <a:solidFill>
            <a:schemeClr val="accent6"/>
          </a:solidFill>
          <a:ln>
            <a:noFill/>
          </a:ln>
          <a:effectLst>
            <a:outerShdw blurRad="254000" sx="102000" sy="102000" algn="ctr" rotWithShape="0">
              <a:prstClr val="black">
                <a:alpha val="20000"/>
              </a:prstClr>
            </a:outerShdw>
          </a:effectLst>
        </c:spPr>
      </c:pivotFmt>
      <c:pivotFmt>
        <c:idx val="3209"/>
        <c:spPr>
          <a:solidFill>
            <a:schemeClr val="accent6"/>
          </a:solidFill>
          <a:ln>
            <a:noFill/>
          </a:ln>
          <a:effectLst>
            <a:outerShdw blurRad="254000" sx="102000" sy="102000" algn="ctr" rotWithShape="0">
              <a:prstClr val="black">
                <a:alpha val="20000"/>
              </a:prstClr>
            </a:outerShdw>
          </a:effectLst>
        </c:spPr>
      </c:pivotFmt>
      <c:pivotFmt>
        <c:idx val="3210"/>
        <c:spPr>
          <a:solidFill>
            <a:schemeClr val="accent6"/>
          </a:solidFill>
          <a:ln>
            <a:noFill/>
          </a:ln>
          <a:effectLst>
            <a:outerShdw blurRad="254000" sx="102000" sy="102000" algn="ctr" rotWithShape="0">
              <a:prstClr val="black">
                <a:alpha val="20000"/>
              </a:prstClr>
            </a:outerShdw>
          </a:effectLst>
        </c:spPr>
      </c:pivotFmt>
      <c:pivotFmt>
        <c:idx val="3211"/>
        <c:spPr>
          <a:solidFill>
            <a:schemeClr val="accent6"/>
          </a:solidFill>
          <a:ln>
            <a:noFill/>
          </a:ln>
          <a:effectLst>
            <a:outerShdw blurRad="254000" sx="102000" sy="102000" algn="ctr" rotWithShape="0">
              <a:prstClr val="black">
                <a:alpha val="20000"/>
              </a:prstClr>
            </a:outerShdw>
          </a:effectLst>
        </c:spPr>
      </c:pivotFmt>
      <c:pivotFmt>
        <c:idx val="321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13"/>
        <c:spPr>
          <a:solidFill>
            <a:schemeClr val="accent6"/>
          </a:solidFill>
          <a:ln>
            <a:noFill/>
          </a:ln>
          <a:effectLst>
            <a:outerShdw blurRad="254000" sx="102000" sy="102000" algn="ctr" rotWithShape="0">
              <a:prstClr val="black">
                <a:alpha val="20000"/>
              </a:prstClr>
            </a:outerShdw>
          </a:effectLst>
        </c:spPr>
      </c:pivotFmt>
      <c:pivotFmt>
        <c:idx val="3214"/>
        <c:spPr>
          <a:solidFill>
            <a:schemeClr val="accent6"/>
          </a:solidFill>
          <a:ln>
            <a:noFill/>
          </a:ln>
          <a:effectLst>
            <a:outerShdw blurRad="254000" sx="102000" sy="102000" algn="ctr" rotWithShape="0">
              <a:prstClr val="black">
                <a:alpha val="20000"/>
              </a:prstClr>
            </a:outerShdw>
          </a:effectLst>
        </c:spPr>
      </c:pivotFmt>
      <c:pivotFmt>
        <c:idx val="3215"/>
        <c:spPr>
          <a:solidFill>
            <a:schemeClr val="accent6"/>
          </a:solidFill>
          <a:ln>
            <a:noFill/>
          </a:ln>
          <a:effectLst>
            <a:outerShdw blurRad="254000" sx="102000" sy="102000" algn="ctr" rotWithShape="0">
              <a:prstClr val="black">
                <a:alpha val="20000"/>
              </a:prstClr>
            </a:outerShdw>
          </a:effectLst>
        </c:spPr>
      </c:pivotFmt>
      <c:pivotFmt>
        <c:idx val="3216"/>
        <c:spPr>
          <a:solidFill>
            <a:schemeClr val="accent6"/>
          </a:solidFill>
          <a:ln>
            <a:noFill/>
          </a:ln>
          <a:effectLst>
            <a:outerShdw blurRad="254000" sx="102000" sy="102000" algn="ctr" rotWithShape="0">
              <a:prstClr val="black">
                <a:alpha val="20000"/>
              </a:prstClr>
            </a:outerShdw>
          </a:effectLst>
        </c:spPr>
      </c:pivotFmt>
      <c:pivotFmt>
        <c:idx val="3217"/>
        <c:spPr>
          <a:solidFill>
            <a:schemeClr val="accent6"/>
          </a:solidFill>
          <a:ln>
            <a:noFill/>
          </a:ln>
          <a:effectLst>
            <a:outerShdw blurRad="254000" sx="102000" sy="102000" algn="ctr" rotWithShape="0">
              <a:prstClr val="black">
                <a:alpha val="20000"/>
              </a:prstClr>
            </a:outerShdw>
          </a:effectLst>
        </c:spPr>
      </c:pivotFmt>
      <c:pivotFmt>
        <c:idx val="3218"/>
        <c:spPr>
          <a:solidFill>
            <a:schemeClr val="accent6"/>
          </a:solidFill>
          <a:ln>
            <a:noFill/>
          </a:ln>
          <a:effectLst>
            <a:outerShdw blurRad="254000" sx="102000" sy="102000" algn="ctr" rotWithShape="0">
              <a:prstClr val="black">
                <a:alpha val="20000"/>
              </a:prstClr>
            </a:outerShdw>
          </a:effectLst>
        </c:spPr>
      </c:pivotFmt>
      <c:pivotFmt>
        <c:idx val="3219"/>
        <c:spPr>
          <a:solidFill>
            <a:schemeClr val="accent6"/>
          </a:solidFill>
          <a:ln>
            <a:noFill/>
          </a:ln>
          <a:effectLst>
            <a:outerShdw blurRad="254000" sx="102000" sy="102000" algn="ctr" rotWithShape="0">
              <a:prstClr val="black">
                <a:alpha val="20000"/>
              </a:prstClr>
            </a:outerShdw>
          </a:effectLst>
        </c:spPr>
      </c:pivotFmt>
      <c:pivotFmt>
        <c:idx val="3220"/>
        <c:spPr>
          <a:solidFill>
            <a:schemeClr val="accent6"/>
          </a:solidFill>
          <a:ln>
            <a:noFill/>
          </a:ln>
          <a:effectLst>
            <a:outerShdw blurRad="254000" sx="102000" sy="102000" algn="ctr" rotWithShape="0">
              <a:prstClr val="black">
                <a:alpha val="20000"/>
              </a:prstClr>
            </a:outerShdw>
          </a:effectLst>
        </c:spPr>
      </c:pivotFmt>
      <c:pivotFmt>
        <c:idx val="3221"/>
        <c:spPr>
          <a:solidFill>
            <a:schemeClr val="accent6"/>
          </a:solidFill>
          <a:ln>
            <a:noFill/>
          </a:ln>
          <a:effectLst>
            <a:outerShdw blurRad="254000" sx="102000" sy="102000" algn="ctr" rotWithShape="0">
              <a:prstClr val="black">
                <a:alpha val="20000"/>
              </a:prstClr>
            </a:outerShdw>
          </a:effectLst>
        </c:spPr>
      </c:pivotFmt>
      <c:pivotFmt>
        <c:idx val="322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23"/>
        <c:spPr>
          <a:solidFill>
            <a:schemeClr val="accent6"/>
          </a:solidFill>
          <a:ln>
            <a:noFill/>
          </a:ln>
          <a:effectLst>
            <a:outerShdw blurRad="254000" sx="102000" sy="102000" algn="ctr" rotWithShape="0">
              <a:prstClr val="black">
                <a:alpha val="20000"/>
              </a:prstClr>
            </a:outerShdw>
          </a:effectLst>
        </c:spPr>
      </c:pivotFmt>
      <c:pivotFmt>
        <c:idx val="3224"/>
        <c:spPr>
          <a:solidFill>
            <a:schemeClr val="accent6"/>
          </a:solidFill>
          <a:ln>
            <a:noFill/>
          </a:ln>
          <a:effectLst>
            <a:outerShdw blurRad="254000" sx="102000" sy="102000" algn="ctr" rotWithShape="0">
              <a:prstClr val="black">
                <a:alpha val="20000"/>
              </a:prstClr>
            </a:outerShdw>
          </a:effectLst>
        </c:spPr>
      </c:pivotFmt>
      <c:pivotFmt>
        <c:idx val="3225"/>
        <c:spPr>
          <a:solidFill>
            <a:schemeClr val="accent6"/>
          </a:solidFill>
          <a:ln>
            <a:noFill/>
          </a:ln>
          <a:effectLst>
            <a:outerShdw blurRad="254000" sx="102000" sy="102000" algn="ctr" rotWithShape="0">
              <a:prstClr val="black">
                <a:alpha val="20000"/>
              </a:prstClr>
            </a:outerShdw>
          </a:effectLst>
        </c:spPr>
      </c:pivotFmt>
      <c:pivotFmt>
        <c:idx val="3226"/>
        <c:spPr>
          <a:solidFill>
            <a:schemeClr val="accent6"/>
          </a:solidFill>
          <a:ln>
            <a:noFill/>
          </a:ln>
          <a:effectLst>
            <a:outerShdw blurRad="254000" sx="102000" sy="102000" algn="ctr" rotWithShape="0">
              <a:prstClr val="black">
                <a:alpha val="20000"/>
              </a:prstClr>
            </a:outerShdw>
          </a:effectLst>
        </c:spPr>
      </c:pivotFmt>
      <c:pivotFmt>
        <c:idx val="3227"/>
        <c:spPr>
          <a:solidFill>
            <a:schemeClr val="accent6"/>
          </a:solidFill>
          <a:ln>
            <a:noFill/>
          </a:ln>
          <a:effectLst>
            <a:outerShdw blurRad="254000" sx="102000" sy="102000" algn="ctr" rotWithShape="0">
              <a:prstClr val="black">
                <a:alpha val="20000"/>
              </a:prstClr>
            </a:outerShdw>
          </a:effectLst>
        </c:spPr>
      </c:pivotFmt>
      <c:pivotFmt>
        <c:idx val="3228"/>
        <c:spPr>
          <a:solidFill>
            <a:schemeClr val="accent6"/>
          </a:solidFill>
          <a:ln>
            <a:noFill/>
          </a:ln>
          <a:effectLst>
            <a:outerShdw blurRad="254000" sx="102000" sy="102000" algn="ctr" rotWithShape="0">
              <a:prstClr val="black">
                <a:alpha val="20000"/>
              </a:prstClr>
            </a:outerShdw>
          </a:effectLst>
        </c:spPr>
      </c:pivotFmt>
      <c:pivotFmt>
        <c:idx val="3229"/>
        <c:spPr>
          <a:solidFill>
            <a:schemeClr val="accent6"/>
          </a:solidFill>
          <a:ln>
            <a:noFill/>
          </a:ln>
          <a:effectLst>
            <a:outerShdw blurRad="254000" sx="102000" sy="102000" algn="ctr" rotWithShape="0">
              <a:prstClr val="black">
                <a:alpha val="20000"/>
              </a:prstClr>
            </a:outerShdw>
          </a:effectLst>
        </c:spPr>
      </c:pivotFmt>
      <c:pivotFmt>
        <c:idx val="3230"/>
        <c:spPr>
          <a:solidFill>
            <a:schemeClr val="accent6"/>
          </a:solidFill>
          <a:ln>
            <a:noFill/>
          </a:ln>
          <a:effectLst>
            <a:outerShdw blurRad="254000" sx="102000" sy="102000" algn="ctr" rotWithShape="0">
              <a:prstClr val="black">
                <a:alpha val="20000"/>
              </a:prstClr>
            </a:outerShdw>
          </a:effectLst>
        </c:spPr>
      </c:pivotFmt>
      <c:pivotFmt>
        <c:idx val="3231"/>
        <c:spPr>
          <a:solidFill>
            <a:schemeClr val="accent6"/>
          </a:solidFill>
          <a:ln>
            <a:noFill/>
          </a:ln>
          <a:effectLst>
            <a:outerShdw blurRad="254000" sx="102000" sy="102000" algn="ctr" rotWithShape="0">
              <a:prstClr val="black">
                <a:alpha val="20000"/>
              </a:prstClr>
            </a:outerShdw>
          </a:effectLst>
        </c:spPr>
      </c:pivotFmt>
      <c:pivotFmt>
        <c:idx val="323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33"/>
        <c:spPr>
          <a:solidFill>
            <a:schemeClr val="accent6"/>
          </a:solidFill>
          <a:ln>
            <a:noFill/>
          </a:ln>
          <a:effectLst>
            <a:outerShdw blurRad="254000" sx="102000" sy="102000" algn="ctr" rotWithShape="0">
              <a:prstClr val="black">
                <a:alpha val="20000"/>
              </a:prstClr>
            </a:outerShdw>
          </a:effectLst>
        </c:spPr>
      </c:pivotFmt>
      <c:pivotFmt>
        <c:idx val="3234"/>
        <c:spPr>
          <a:solidFill>
            <a:schemeClr val="accent6"/>
          </a:solidFill>
          <a:ln>
            <a:noFill/>
          </a:ln>
          <a:effectLst>
            <a:outerShdw blurRad="254000" sx="102000" sy="102000" algn="ctr" rotWithShape="0">
              <a:prstClr val="black">
                <a:alpha val="20000"/>
              </a:prstClr>
            </a:outerShdw>
          </a:effectLst>
        </c:spPr>
      </c:pivotFmt>
      <c:pivotFmt>
        <c:idx val="3235"/>
        <c:spPr>
          <a:solidFill>
            <a:schemeClr val="accent6"/>
          </a:solidFill>
          <a:ln>
            <a:noFill/>
          </a:ln>
          <a:effectLst>
            <a:outerShdw blurRad="254000" sx="102000" sy="102000" algn="ctr" rotWithShape="0">
              <a:prstClr val="black">
                <a:alpha val="20000"/>
              </a:prstClr>
            </a:outerShdw>
          </a:effectLst>
        </c:spPr>
      </c:pivotFmt>
      <c:pivotFmt>
        <c:idx val="3236"/>
        <c:spPr>
          <a:solidFill>
            <a:schemeClr val="accent6"/>
          </a:solidFill>
          <a:ln>
            <a:noFill/>
          </a:ln>
          <a:effectLst>
            <a:outerShdw blurRad="254000" sx="102000" sy="102000" algn="ctr" rotWithShape="0">
              <a:prstClr val="black">
                <a:alpha val="20000"/>
              </a:prstClr>
            </a:outerShdw>
          </a:effectLst>
        </c:spPr>
      </c:pivotFmt>
      <c:pivotFmt>
        <c:idx val="3237"/>
        <c:spPr>
          <a:solidFill>
            <a:schemeClr val="accent6"/>
          </a:solidFill>
          <a:ln>
            <a:noFill/>
          </a:ln>
          <a:effectLst>
            <a:outerShdw blurRad="254000" sx="102000" sy="102000" algn="ctr" rotWithShape="0">
              <a:prstClr val="black">
                <a:alpha val="20000"/>
              </a:prstClr>
            </a:outerShdw>
          </a:effectLst>
        </c:spPr>
      </c:pivotFmt>
      <c:pivotFmt>
        <c:idx val="3238"/>
        <c:spPr>
          <a:solidFill>
            <a:schemeClr val="accent6"/>
          </a:solidFill>
          <a:ln>
            <a:noFill/>
          </a:ln>
          <a:effectLst>
            <a:outerShdw blurRad="254000" sx="102000" sy="102000" algn="ctr" rotWithShape="0">
              <a:prstClr val="black">
                <a:alpha val="20000"/>
              </a:prstClr>
            </a:outerShdw>
          </a:effectLst>
        </c:spPr>
      </c:pivotFmt>
      <c:pivotFmt>
        <c:idx val="3239"/>
        <c:spPr>
          <a:solidFill>
            <a:schemeClr val="accent6"/>
          </a:solidFill>
          <a:ln>
            <a:noFill/>
          </a:ln>
          <a:effectLst>
            <a:outerShdw blurRad="254000" sx="102000" sy="102000" algn="ctr" rotWithShape="0">
              <a:prstClr val="black">
                <a:alpha val="20000"/>
              </a:prstClr>
            </a:outerShdw>
          </a:effectLst>
        </c:spPr>
      </c:pivotFmt>
      <c:pivotFmt>
        <c:idx val="3240"/>
        <c:spPr>
          <a:solidFill>
            <a:schemeClr val="accent6"/>
          </a:solidFill>
          <a:ln>
            <a:noFill/>
          </a:ln>
          <a:effectLst>
            <a:outerShdw blurRad="254000" sx="102000" sy="102000" algn="ctr" rotWithShape="0">
              <a:prstClr val="black">
                <a:alpha val="20000"/>
              </a:prstClr>
            </a:outerShdw>
          </a:effectLst>
        </c:spPr>
      </c:pivotFmt>
      <c:pivotFmt>
        <c:idx val="3241"/>
        <c:spPr>
          <a:solidFill>
            <a:schemeClr val="accent6"/>
          </a:solidFill>
          <a:ln>
            <a:noFill/>
          </a:ln>
          <a:effectLst>
            <a:outerShdw blurRad="254000" sx="102000" sy="102000" algn="ctr" rotWithShape="0">
              <a:prstClr val="black">
                <a:alpha val="20000"/>
              </a:prstClr>
            </a:outerShdw>
          </a:effectLst>
        </c:spPr>
      </c:pivotFmt>
      <c:pivotFmt>
        <c:idx val="324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43"/>
        <c:spPr>
          <a:solidFill>
            <a:schemeClr val="accent6"/>
          </a:solidFill>
          <a:ln>
            <a:noFill/>
          </a:ln>
          <a:effectLst>
            <a:outerShdw blurRad="254000" sx="102000" sy="102000" algn="ctr" rotWithShape="0">
              <a:prstClr val="black">
                <a:alpha val="20000"/>
              </a:prstClr>
            </a:outerShdw>
          </a:effectLst>
        </c:spPr>
      </c:pivotFmt>
      <c:pivotFmt>
        <c:idx val="3244"/>
        <c:spPr>
          <a:solidFill>
            <a:schemeClr val="accent6"/>
          </a:solidFill>
          <a:ln>
            <a:noFill/>
          </a:ln>
          <a:effectLst>
            <a:outerShdw blurRad="254000" sx="102000" sy="102000" algn="ctr" rotWithShape="0">
              <a:prstClr val="black">
                <a:alpha val="20000"/>
              </a:prstClr>
            </a:outerShdw>
          </a:effectLst>
        </c:spPr>
      </c:pivotFmt>
      <c:pivotFmt>
        <c:idx val="3245"/>
        <c:spPr>
          <a:solidFill>
            <a:schemeClr val="accent6"/>
          </a:solidFill>
          <a:ln>
            <a:noFill/>
          </a:ln>
          <a:effectLst>
            <a:outerShdw blurRad="254000" sx="102000" sy="102000" algn="ctr" rotWithShape="0">
              <a:prstClr val="black">
                <a:alpha val="20000"/>
              </a:prstClr>
            </a:outerShdw>
          </a:effectLst>
        </c:spPr>
      </c:pivotFmt>
      <c:pivotFmt>
        <c:idx val="3246"/>
        <c:spPr>
          <a:solidFill>
            <a:schemeClr val="accent6"/>
          </a:solidFill>
          <a:ln>
            <a:noFill/>
          </a:ln>
          <a:effectLst>
            <a:outerShdw blurRad="254000" sx="102000" sy="102000" algn="ctr" rotWithShape="0">
              <a:prstClr val="black">
                <a:alpha val="20000"/>
              </a:prstClr>
            </a:outerShdw>
          </a:effectLst>
        </c:spPr>
      </c:pivotFmt>
      <c:pivotFmt>
        <c:idx val="3247"/>
        <c:spPr>
          <a:solidFill>
            <a:schemeClr val="accent6"/>
          </a:solidFill>
          <a:ln>
            <a:noFill/>
          </a:ln>
          <a:effectLst>
            <a:outerShdw blurRad="254000" sx="102000" sy="102000" algn="ctr" rotWithShape="0">
              <a:prstClr val="black">
                <a:alpha val="20000"/>
              </a:prstClr>
            </a:outerShdw>
          </a:effectLst>
        </c:spPr>
      </c:pivotFmt>
      <c:pivotFmt>
        <c:idx val="3248"/>
        <c:spPr>
          <a:solidFill>
            <a:schemeClr val="accent6"/>
          </a:solidFill>
          <a:ln>
            <a:noFill/>
          </a:ln>
          <a:effectLst>
            <a:outerShdw blurRad="254000" sx="102000" sy="102000" algn="ctr" rotWithShape="0">
              <a:prstClr val="black">
                <a:alpha val="20000"/>
              </a:prstClr>
            </a:outerShdw>
          </a:effectLst>
        </c:spPr>
      </c:pivotFmt>
      <c:pivotFmt>
        <c:idx val="3249"/>
        <c:spPr>
          <a:solidFill>
            <a:schemeClr val="accent6"/>
          </a:solidFill>
          <a:ln>
            <a:noFill/>
          </a:ln>
          <a:effectLst>
            <a:outerShdw blurRad="254000" sx="102000" sy="102000" algn="ctr" rotWithShape="0">
              <a:prstClr val="black">
                <a:alpha val="20000"/>
              </a:prstClr>
            </a:outerShdw>
          </a:effectLst>
        </c:spPr>
      </c:pivotFmt>
      <c:pivotFmt>
        <c:idx val="3250"/>
        <c:spPr>
          <a:solidFill>
            <a:schemeClr val="accent6"/>
          </a:solidFill>
          <a:ln>
            <a:noFill/>
          </a:ln>
          <a:effectLst>
            <a:outerShdw blurRad="254000" sx="102000" sy="102000" algn="ctr" rotWithShape="0">
              <a:prstClr val="black">
                <a:alpha val="20000"/>
              </a:prstClr>
            </a:outerShdw>
          </a:effectLst>
        </c:spPr>
      </c:pivotFmt>
      <c:pivotFmt>
        <c:idx val="3251"/>
        <c:spPr>
          <a:solidFill>
            <a:schemeClr val="accent6"/>
          </a:solidFill>
          <a:ln>
            <a:noFill/>
          </a:ln>
          <a:effectLst>
            <a:outerShdw blurRad="254000" sx="102000" sy="102000" algn="ctr" rotWithShape="0">
              <a:prstClr val="black">
                <a:alpha val="20000"/>
              </a:prstClr>
            </a:outerShdw>
          </a:effectLst>
        </c:spPr>
      </c:pivotFmt>
      <c:pivotFmt>
        <c:idx val="325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53"/>
        <c:spPr>
          <a:solidFill>
            <a:schemeClr val="accent6"/>
          </a:solidFill>
          <a:ln>
            <a:noFill/>
          </a:ln>
          <a:effectLst>
            <a:outerShdw blurRad="254000" sx="102000" sy="102000" algn="ctr" rotWithShape="0">
              <a:prstClr val="black">
                <a:alpha val="20000"/>
              </a:prstClr>
            </a:outerShdw>
          </a:effectLst>
        </c:spPr>
      </c:pivotFmt>
      <c:pivotFmt>
        <c:idx val="3254"/>
        <c:spPr>
          <a:solidFill>
            <a:schemeClr val="accent6"/>
          </a:solidFill>
          <a:ln>
            <a:noFill/>
          </a:ln>
          <a:effectLst>
            <a:outerShdw blurRad="254000" sx="102000" sy="102000" algn="ctr" rotWithShape="0">
              <a:prstClr val="black">
                <a:alpha val="20000"/>
              </a:prstClr>
            </a:outerShdw>
          </a:effectLst>
        </c:spPr>
      </c:pivotFmt>
      <c:pivotFmt>
        <c:idx val="3255"/>
        <c:spPr>
          <a:solidFill>
            <a:schemeClr val="accent6"/>
          </a:solidFill>
          <a:ln>
            <a:noFill/>
          </a:ln>
          <a:effectLst>
            <a:outerShdw blurRad="254000" sx="102000" sy="102000" algn="ctr" rotWithShape="0">
              <a:prstClr val="black">
                <a:alpha val="20000"/>
              </a:prstClr>
            </a:outerShdw>
          </a:effectLst>
        </c:spPr>
      </c:pivotFmt>
      <c:pivotFmt>
        <c:idx val="3256"/>
        <c:spPr>
          <a:solidFill>
            <a:schemeClr val="accent6"/>
          </a:solidFill>
          <a:ln>
            <a:noFill/>
          </a:ln>
          <a:effectLst>
            <a:outerShdw blurRad="254000" sx="102000" sy="102000" algn="ctr" rotWithShape="0">
              <a:prstClr val="black">
                <a:alpha val="20000"/>
              </a:prstClr>
            </a:outerShdw>
          </a:effectLst>
        </c:spPr>
      </c:pivotFmt>
      <c:pivotFmt>
        <c:idx val="3257"/>
        <c:spPr>
          <a:solidFill>
            <a:schemeClr val="accent6"/>
          </a:solidFill>
          <a:ln>
            <a:noFill/>
          </a:ln>
          <a:effectLst>
            <a:outerShdw blurRad="254000" sx="102000" sy="102000" algn="ctr" rotWithShape="0">
              <a:prstClr val="black">
                <a:alpha val="20000"/>
              </a:prstClr>
            </a:outerShdw>
          </a:effectLst>
        </c:spPr>
      </c:pivotFmt>
      <c:pivotFmt>
        <c:idx val="3258"/>
        <c:spPr>
          <a:solidFill>
            <a:schemeClr val="accent6"/>
          </a:solidFill>
          <a:ln>
            <a:noFill/>
          </a:ln>
          <a:effectLst>
            <a:outerShdw blurRad="254000" sx="102000" sy="102000" algn="ctr" rotWithShape="0">
              <a:prstClr val="black">
                <a:alpha val="20000"/>
              </a:prstClr>
            </a:outerShdw>
          </a:effectLst>
        </c:spPr>
      </c:pivotFmt>
      <c:pivotFmt>
        <c:idx val="3259"/>
        <c:spPr>
          <a:solidFill>
            <a:schemeClr val="accent6"/>
          </a:solidFill>
          <a:ln>
            <a:noFill/>
          </a:ln>
          <a:effectLst>
            <a:outerShdw blurRad="254000" sx="102000" sy="102000" algn="ctr" rotWithShape="0">
              <a:prstClr val="black">
                <a:alpha val="20000"/>
              </a:prstClr>
            </a:outerShdw>
          </a:effectLst>
        </c:spPr>
      </c:pivotFmt>
      <c:pivotFmt>
        <c:idx val="3260"/>
        <c:spPr>
          <a:solidFill>
            <a:schemeClr val="accent6"/>
          </a:solidFill>
          <a:ln>
            <a:noFill/>
          </a:ln>
          <a:effectLst>
            <a:outerShdw blurRad="254000" sx="102000" sy="102000" algn="ctr" rotWithShape="0">
              <a:prstClr val="black">
                <a:alpha val="20000"/>
              </a:prstClr>
            </a:outerShdw>
          </a:effectLst>
        </c:spPr>
      </c:pivotFmt>
      <c:pivotFmt>
        <c:idx val="3261"/>
        <c:spPr>
          <a:solidFill>
            <a:schemeClr val="accent6"/>
          </a:solidFill>
          <a:ln>
            <a:noFill/>
          </a:ln>
          <a:effectLst>
            <a:outerShdw blurRad="254000" sx="102000" sy="102000" algn="ctr" rotWithShape="0">
              <a:prstClr val="black">
                <a:alpha val="20000"/>
              </a:prstClr>
            </a:outerShdw>
          </a:effectLst>
        </c:spPr>
      </c:pivotFmt>
      <c:pivotFmt>
        <c:idx val="326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63"/>
        <c:spPr>
          <a:solidFill>
            <a:schemeClr val="accent6"/>
          </a:solidFill>
          <a:ln>
            <a:noFill/>
          </a:ln>
          <a:effectLst>
            <a:outerShdw blurRad="254000" sx="102000" sy="102000" algn="ctr" rotWithShape="0">
              <a:prstClr val="black">
                <a:alpha val="20000"/>
              </a:prstClr>
            </a:outerShdw>
          </a:effectLst>
        </c:spPr>
      </c:pivotFmt>
      <c:pivotFmt>
        <c:idx val="3264"/>
        <c:spPr>
          <a:solidFill>
            <a:schemeClr val="accent6"/>
          </a:solidFill>
          <a:ln>
            <a:noFill/>
          </a:ln>
          <a:effectLst>
            <a:outerShdw blurRad="254000" sx="102000" sy="102000" algn="ctr" rotWithShape="0">
              <a:prstClr val="black">
                <a:alpha val="20000"/>
              </a:prstClr>
            </a:outerShdw>
          </a:effectLst>
        </c:spPr>
      </c:pivotFmt>
      <c:pivotFmt>
        <c:idx val="3265"/>
        <c:spPr>
          <a:solidFill>
            <a:schemeClr val="accent6"/>
          </a:solidFill>
          <a:ln>
            <a:noFill/>
          </a:ln>
          <a:effectLst>
            <a:outerShdw blurRad="254000" sx="102000" sy="102000" algn="ctr" rotWithShape="0">
              <a:prstClr val="black">
                <a:alpha val="20000"/>
              </a:prstClr>
            </a:outerShdw>
          </a:effectLst>
        </c:spPr>
      </c:pivotFmt>
      <c:pivotFmt>
        <c:idx val="3266"/>
        <c:spPr>
          <a:solidFill>
            <a:schemeClr val="accent6"/>
          </a:solidFill>
          <a:ln>
            <a:noFill/>
          </a:ln>
          <a:effectLst>
            <a:outerShdw blurRad="254000" sx="102000" sy="102000" algn="ctr" rotWithShape="0">
              <a:prstClr val="black">
                <a:alpha val="20000"/>
              </a:prstClr>
            </a:outerShdw>
          </a:effectLst>
        </c:spPr>
      </c:pivotFmt>
      <c:pivotFmt>
        <c:idx val="3267"/>
        <c:spPr>
          <a:solidFill>
            <a:schemeClr val="accent6"/>
          </a:solidFill>
          <a:ln>
            <a:noFill/>
          </a:ln>
          <a:effectLst>
            <a:outerShdw blurRad="254000" sx="102000" sy="102000" algn="ctr" rotWithShape="0">
              <a:prstClr val="black">
                <a:alpha val="20000"/>
              </a:prstClr>
            </a:outerShdw>
          </a:effectLst>
        </c:spPr>
      </c:pivotFmt>
      <c:pivotFmt>
        <c:idx val="3268"/>
        <c:spPr>
          <a:solidFill>
            <a:schemeClr val="accent6"/>
          </a:solidFill>
          <a:ln>
            <a:noFill/>
          </a:ln>
          <a:effectLst>
            <a:outerShdw blurRad="254000" sx="102000" sy="102000" algn="ctr" rotWithShape="0">
              <a:prstClr val="black">
                <a:alpha val="20000"/>
              </a:prstClr>
            </a:outerShdw>
          </a:effectLst>
        </c:spPr>
      </c:pivotFmt>
      <c:pivotFmt>
        <c:idx val="3269"/>
        <c:spPr>
          <a:solidFill>
            <a:schemeClr val="accent6"/>
          </a:solidFill>
          <a:ln>
            <a:noFill/>
          </a:ln>
          <a:effectLst>
            <a:outerShdw blurRad="254000" sx="102000" sy="102000" algn="ctr" rotWithShape="0">
              <a:prstClr val="black">
                <a:alpha val="20000"/>
              </a:prstClr>
            </a:outerShdw>
          </a:effectLst>
        </c:spPr>
      </c:pivotFmt>
      <c:pivotFmt>
        <c:idx val="3270"/>
        <c:spPr>
          <a:solidFill>
            <a:schemeClr val="accent6"/>
          </a:solidFill>
          <a:ln>
            <a:noFill/>
          </a:ln>
          <a:effectLst>
            <a:outerShdw blurRad="254000" sx="102000" sy="102000" algn="ctr" rotWithShape="0">
              <a:prstClr val="black">
                <a:alpha val="20000"/>
              </a:prstClr>
            </a:outerShdw>
          </a:effectLst>
        </c:spPr>
      </c:pivotFmt>
      <c:pivotFmt>
        <c:idx val="3271"/>
        <c:spPr>
          <a:solidFill>
            <a:schemeClr val="accent6"/>
          </a:solidFill>
          <a:ln>
            <a:noFill/>
          </a:ln>
          <a:effectLst>
            <a:outerShdw blurRad="254000" sx="102000" sy="102000" algn="ctr" rotWithShape="0">
              <a:prstClr val="black">
                <a:alpha val="20000"/>
              </a:prstClr>
            </a:outerShdw>
          </a:effectLst>
        </c:spPr>
      </c:pivotFmt>
      <c:pivotFmt>
        <c:idx val="327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73"/>
        <c:spPr>
          <a:solidFill>
            <a:schemeClr val="accent6"/>
          </a:solidFill>
          <a:ln>
            <a:noFill/>
          </a:ln>
          <a:effectLst>
            <a:outerShdw blurRad="254000" sx="102000" sy="102000" algn="ctr" rotWithShape="0">
              <a:prstClr val="black">
                <a:alpha val="20000"/>
              </a:prstClr>
            </a:outerShdw>
          </a:effectLst>
        </c:spPr>
      </c:pivotFmt>
      <c:pivotFmt>
        <c:idx val="3274"/>
        <c:spPr>
          <a:solidFill>
            <a:schemeClr val="accent6"/>
          </a:solidFill>
          <a:ln>
            <a:noFill/>
          </a:ln>
          <a:effectLst>
            <a:outerShdw blurRad="254000" sx="102000" sy="102000" algn="ctr" rotWithShape="0">
              <a:prstClr val="black">
                <a:alpha val="20000"/>
              </a:prstClr>
            </a:outerShdw>
          </a:effectLst>
        </c:spPr>
      </c:pivotFmt>
      <c:pivotFmt>
        <c:idx val="3275"/>
        <c:spPr>
          <a:solidFill>
            <a:schemeClr val="accent6"/>
          </a:solidFill>
          <a:ln>
            <a:noFill/>
          </a:ln>
          <a:effectLst>
            <a:outerShdw blurRad="254000" sx="102000" sy="102000" algn="ctr" rotWithShape="0">
              <a:prstClr val="black">
                <a:alpha val="20000"/>
              </a:prstClr>
            </a:outerShdw>
          </a:effectLst>
        </c:spPr>
      </c:pivotFmt>
      <c:pivotFmt>
        <c:idx val="3276"/>
        <c:spPr>
          <a:solidFill>
            <a:schemeClr val="accent6"/>
          </a:solidFill>
          <a:ln>
            <a:noFill/>
          </a:ln>
          <a:effectLst>
            <a:outerShdw blurRad="254000" sx="102000" sy="102000" algn="ctr" rotWithShape="0">
              <a:prstClr val="black">
                <a:alpha val="20000"/>
              </a:prstClr>
            </a:outerShdw>
          </a:effectLst>
        </c:spPr>
      </c:pivotFmt>
      <c:pivotFmt>
        <c:idx val="3277"/>
        <c:spPr>
          <a:solidFill>
            <a:schemeClr val="accent6"/>
          </a:solidFill>
          <a:ln>
            <a:noFill/>
          </a:ln>
          <a:effectLst>
            <a:outerShdw blurRad="254000" sx="102000" sy="102000" algn="ctr" rotWithShape="0">
              <a:prstClr val="black">
                <a:alpha val="20000"/>
              </a:prstClr>
            </a:outerShdw>
          </a:effectLst>
        </c:spPr>
      </c:pivotFmt>
      <c:pivotFmt>
        <c:idx val="3278"/>
        <c:spPr>
          <a:solidFill>
            <a:schemeClr val="accent6"/>
          </a:solidFill>
          <a:ln>
            <a:noFill/>
          </a:ln>
          <a:effectLst>
            <a:outerShdw blurRad="254000" sx="102000" sy="102000" algn="ctr" rotWithShape="0">
              <a:prstClr val="black">
                <a:alpha val="20000"/>
              </a:prstClr>
            </a:outerShdw>
          </a:effectLst>
        </c:spPr>
      </c:pivotFmt>
      <c:pivotFmt>
        <c:idx val="3279"/>
        <c:spPr>
          <a:solidFill>
            <a:schemeClr val="accent6"/>
          </a:solidFill>
          <a:ln>
            <a:noFill/>
          </a:ln>
          <a:effectLst>
            <a:outerShdw blurRad="254000" sx="102000" sy="102000" algn="ctr" rotWithShape="0">
              <a:prstClr val="black">
                <a:alpha val="20000"/>
              </a:prstClr>
            </a:outerShdw>
          </a:effectLst>
        </c:spPr>
      </c:pivotFmt>
      <c:pivotFmt>
        <c:idx val="3280"/>
        <c:spPr>
          <a:solidFill>
            <a:schemeClr val="accent6"/>
          </a:solidFill>
          <a:ln>
            <a:noFill/>
          </a:ln>
          <a:effectLst>
            <a:outerShdw blurRad="254000" sx="102000" sy="102000" algn="ctr" rotWithShape="0">
              <a:prstClr val="black">
                <a:alpha val="20000"/>
              </a:prstClr>
            </a:outerShdw>
          </a:effectLst>
        </c:spPr>
      </c:pivotFmt>
      <c:pivotFmt>
        <c:idx val="3281"/>
        <c:spPr>
          <a:solidFill>
            <a:schemeClr val="accent6"/>
          </a:solidFill>
          <a:ln>
            <a:noFill/>
          </a:ln>
          <a:effectLst>
            <a:outerShdw blurRad="254000" sx="102000" sy="102000" algn="ctr" rotWithShape="0">
              <a:prstClr val="black">
                <a:alpha val="20000"/>
              </a:prstClr>
            </a:outerShdw>
          </a:effectLst>
        </c:spPr>
      </c:pivotFmt>
      <c:pivotFmt>
        <c:idx val="328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8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8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8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8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87"/>
        <c:spPr>
          <a:solidFill>
            <a:schemeClr val="accent6"/>
          </a:solidFill>
          <a:ln>
            <a:noFill/>
          </a:ln>
          <a:effectLst>
            <a:outerShdw blurRad="254000" sx="102000" sy="102000" algn="ctr" rotWithShape="0">
              <a:prstClr val="black">
                <a:alpha val="20000"/>
              </a:prstClr>
            </a:outerShdw>
          </a:effectLst>
        </c:spPr>
      </c:pivotFmt>
      <c:pivotFmt>
        <c:idx val="3288"/>
        <c:spPr>
          <a:solidFill>
            <a:schemeClr val="accent6"/>
          </a:solidFill>
          <a:ln>
            <a:noFill/>
          </a:ln>
          <a:effectLst>
            <a:outerShdw blurRad="254000" sx="102000" sy="102000" algn="ctr" rotWithShape="0">
              <a:prstClr val="black">
                <a:alpha val="20000"/>
              </a:prstClr>
            </a:outerShdw>
          </a:effectLst>
        </c:spPr>
      </c:pivotFmt>
      <c:pivotFmt>
        <c:idx val="3289"/>
        <c:spPr>
          <a:solidFill>
            <a:schemeClr val="accent6"/>
          </a:solidFill>
          <a:ln>
            <a:noFill/>
          </a:ln>
          <a:effectLst>
            <a:outerShdw blurRad="254000" sx="102000" sy="102000" algn="ctr" rotWithShape="0">
              <a:prstClr val="black">
                <a:alpha val="20000"/>
              </a:prstClr>
            </a:outerShdw>
          </a:effectLst>
        </c:spPr>
      </c:pivotFmt>
      <c:pivotFmt>
        <c:idx val="3290"/>
        <c:spPr>
          <a:solidFill>
            <a:schemeClr val="accent6"/>
          </a:solidFill>
          <a:ln>
            <a:noFill/>
          </a:ln>
          <a:effectLst>
            <a:outerShdw blurRad="254000" sx="102000" sy="102000" algn="ctr" rotWithShape="0">
              <a:prstClr val="black">
                <a:alpha val="20000"/>
              </a:prstClr>
            </a:outerShdw>
          </a:effectLst>
        </c:spPr>
      </c:pivotFmt>
      <c:pivotFmt>
        <c:idx val="3291"/>
        <c:spPr>
          <a:solidFill>
            <a:schemeClr val="accent6"/>
          </a:solidFill>
          <a:ln>
            <a:noFill/>
          </a:ln>
          <a:effectLst>
            <a:outerShdw blurRad="254000" sx="102000" sy="102000" algn="ctr" rotWithShape="0">
              <a:prstClr val="black">
                <a:alpha val="20000"/>
              </a:prstClr>
            </a:outerShdw>
          </a:effectLst>
        </c:spPr>
      </c:pivotFmt>
      <c:pivotFmt>
        <c:idx val="3292"/>
        <c:spPr>
          <a:solidFill>
            <a:schemeClr val="accent6"/>
          </a:solidFill>
          <a:ln>
            <a:noFill/>
          </a:ln>
          <a:effectLst>
            <a:outerShdw blurRad="254000" sx="102000" sy="102000" algn="ctr" rotWithShape="0">
              <a:prstClr val="black">
                <a:alpha val="20000"/>
              </a:prstClr>
            </a:outerShdw>
          </a:effectLst>
        </c:spPr>
      </c:pivotFmt>
      <c:pivotFmt>
        <c:idx val="3293"/>
        <c:spPr>
          <a:solidFill>
            <a:schemeClr val="accent6"/>
          </a:solidFill>
          <a:ln>
            <a:noFill/>
          </a:ln>
          <a:effectLst>
            <a:outerShdw blurRad="254000" sx="102000" sy="102000" algn="ctr" rotWithShape="0">
              <a:prstClr val="black">
                <a:alpha val="20000"/>
              </a:prstClr>
            </a:outerShdw>
          </a:effectLst>
        </c:spPr>
      </c:pivotFmt>
      <c:pivotFmt>
        <c:idx val="3294"/>
        <c:spPr>
          <a:solidFill>
            <a:schemeClr val="accent6"/>
          </a:solidFill>
          <a:ln>
            <a:noFill/>
          </a:ln>
          <a:effectLst>
            <a:outerShdw blurRad="254000" sx="102000" sy="102000" algn="ctr" rotWithShape="0">
              <a:prstClr val="black">
                <a:alpha val="20000"/>
              </a:prstClr>
            </a:outerShdw>
          </a:effectLst>
        </c:spPr>
      </c:pivotFmt>
      <c:pivotFmt>
        <c:idx val="3295"/>
        <c:spPr>
          <a:solidFill>
            <a:schemeClr val="accent6"/>
          </a:solidFill>
          <a:ln>
            <a:noFill/>
          </a:ln>
          <a:effectLst>
            <a:outerShdw blurRad="254000" sx="102000" sy="102000" algn="ctr" rotWithShape="0">
              <a:prstClr val="black">
                <a:alpha val="20000"/>
              </a:prstClr>
            </a:outerShdw>
          </a:effectLst>
        </c:spPr>
      </c:pivotFmt>
      <c:pivotFmt>
        <c:idx val="329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97"/>
        <c:spPr>
          <a:solidFill>
            <a:schemeClr val="accent6"/>
          </a:solidFill>
          <a:ln>
            <a:noFill/>
          </a:ln>
          <a:effectLst>
            <a:outerShdw blurRad="254000" sx="102000" sy="102000" algn="ctr" rotWithShape="0">
              <a:prstClr val="black">
                <a:alpha val="20000"/>
              </a:prstClr>
            </a:outerShdw>
          </a:effectLst>
        </c:spPr>
      </c:pivotFmt>
      <c:pivotFmt>
        <c:idx val="3298"/>
        <c:spPr>
          <a:solidFill>
            <a:schemeClr val="accent6"/>
          </a:solidFill>
          <a:ln>
            <a:noFill/>
          </a:ln>
          <a:effectLst>
            <a:outerShdw blurRad="254000" sx="102000" sy="102000" algn="ctr" rotWithShape="0">
              <a:prstClr val="black">
                <a:alpha val="20000"/>
              </a:prstClr>
            </a:outerShdw>
          </a:effectLst>
        </c:spPr>
      </c:pivotFmt>
      <c:pivotFmt>
        <c:idx val="3299"/>
        <c:spPr>
          <a:solidFill>
            <a:schemeClr val="accent6"/>
          </a:solidFill>
          <a:ln>
            <a:noFill/>
          </a:ln>
          <a:effectLst>
            <a:outerShdw blurRad="254000" sx="102000" sy="102000" algn="ctr" rotWithShape="0">
              <a:prstClr val="black">
                <a:alpha val="20000"/>
              </a:prstClr>
            </a:outerShdw>
          </a:effectLst>
        </c:spPr>
      </c:pivotFmt>
      <c:pivotFmt>
        <c:idx val="3300"/>
        <c:spPr>
          <a:solidFill>
            <a:schemeClr val="accent6"/>
          </a:solidFill>
          <a:ln>
            <a:noFill/>
          </a:ln>
          <a:effectLst>
            <a:outerShdw blurRad="254000" sx="102000" sy="102000" algn="ctr" rotWithShape="0">
              <a:prstClr val="black">
                <a:alpha val="20000"/>
              </a:prstClr>
            </a:outerShdw>
          </a:effectLst>
        </c:spPr>
      </c:pivotFmt>
      <c:pivotFmt>
        <c:idx val="3301"/>
        <c:spPr>
          <a:solidFill>
            <a:schemeClr val="accent6"/>
          </a:solidFill>
          <a:ln>
            <a:noFill/>
          </a:ln>
          <a:effectLst>
            <a:outerShdw blurRad="254000" sx="102000" sy="102000" algn="ctr" rotWithShape="0">
              <a:prstClr val="black">
                <a:alpha val="20000"/>
              </a:prstClr>
            </a:outerShdw>
          </a:effectLst>
        </c:spPr>
      </c:pivotFmt>
      <c:pivotFmt>
        <c:idx val="3302"/>
        <c:spPr>
          <a:solidFill>
            <a:schemeClr val="accent6"/>
          </a:solidFill>
          <a:ln>
            <a:noFill/>
          </a:ln>
          <a:effectLst>
            <a:outerShdw blurRad="254000" sx="102000" sy="102000" algn="ctr" rotWithShape="0">
              <a:prstClr val="black">
                <a:alpha val="20000"/>
              </a:prstClr>
            </a:outerShdw>
          </a:effectLst>
        </c:spPr>
      </c:pivotFmt>
      <c:pivotFmt>
        <c:idx val="3303"/>
        <c:spPr>
          <a:solidFill>
            <a:schemeClr val="accent6"/>
          </a:solidFill>
          <a:ln>
            <a:noFill/>
          </a:ln>
          <a:effectLst>
            <a:outerShdw blurRad="254000" sx="102000" sy="102000" algn="ctr" rotWithShape="0">
              <a:prstClr val="black">
                <a:alpha val="20000"/>
              </a:prstClr>
            </a:outerShdw>
          </a:effectLst>
        </c:spPr>
      </c:pivotFmt>
      <c:pivotFmt>
        <c:idx val="3304"/>
        <c:spPr>
          <a:solidFill>
            <a:schemeClr val="accent6"/>
          </a:solidFill>
          <a:ln>
            <a:noFill/>
          </a:ln>
          <a:effectLst>
            <a:outerShdw blurRad="254000" sx="102000" sy="102000" algn="ctr" rotWithShape="0">
              <a:prstClr val="black">
                <a:alpha val="20000"/>
              </a:prstClr>
            </a:outerShdw>
          </a:effectLst>
        </c:spPr>
      </c:pivotFmt>
      <c:pivotFmt>
        <c:idx val="3305"/>
        <c:spPr>
          <a:solidFill>
            <a:schemeClr val="accent6"/>
          </a:solidFill>
          <a:ln>
            <a:noFill/>
          </a:ln>
          <a:effectLst>
            <a:outerShdw blurRad="254000" sx="102000" sy="102000" algn="ctr" rotWithShape="0">
              <a:prstClr val="black">
                <a:alpha val="20000"/>
              </a:prstClr>
            </a:outerShdw>
          </a:effectLst>
        </c:spPr>
      </c:pivotFmt>
      <c:pivotFmt>
        <c:idx val="330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07"/>
        <c:spPr>
          <a:solidFill>
            <a:schemeClr val="accent6"/>
          </a:solidFill>
          <a:ln>
            <a:noFill/>
          </a:ln>
          <a:effectLst>
            <a:outerShdw blurRad="254000" sx="102000" sy="102000" algn="ctr" rotWithShape="0">
              <a:prstClr val="black">
                <a:alpha val="20000"/>
              </a:prstClr>
            </a:outerShdw>
          </a:effectLst>
        </c:spPr>
      </c:pivotFmt>
      <c:pivotFmt>
        <c:idx val="3308"/>
        <c:spPr>
          <a:solidFill>
            <a:schemeClr val="accent6"/>
          </a:solidFill>
          <a:ln>
            <a:noFill/>
          </a:ln>
          <a:effectLst>
            <a:outerShdw blurRad="254000" sx="102000" sy="102000" algn="ctr" rotWithShape="0">
              <a:prstClr val="black">
                <a:alpha val="20000"/>
              </a:prstClr>
            </a:outerShdw>
          </a:effectLst>
        </c:spPr>
      </c:pivotFmt>
      <c:pivotFmt>
        <c:idx val="3309"/>
        <c:spPr>
          <a:solidFill>
            <a:schemeClr val="accent6"/>
          </a:solidFill>
          <a:ln>
            <a:noFill/>
          </a:ln>
          <a:effectLst>
            <a:outerShdw blurRad="254000" sx="102000" sy="102000" algn="ctr" rotWithShape="0">
              <a:prstClr val="black">
                <a:alpha val="20000"/>
              </a:prstClr>
            </a:outerShdw>
          </a:effectLst>
        </c:spPr>
      </c:pivotFmt>
      <c:pivotFmt>
        <c:idx val="3310"/>
        <c:spPr>
          <a:solidFill>
            <a:schemeClr val="accent6"/>
          </a:solidFill>
          <a:ln>
            <a:noFill/>
          </a:ln>
          <a:effectLst>
            <a:outerShdw blurRad="254000" sx="102000" sy="102000" algn="ctr" rotWithShape="0">
              <a:prstClr val="black">
                <a:alpha val="20000"/>
              </a:prstClr>
            </a:outerShdw>
          </a:effectLst>
        </c:spPr>
      </c:pivotFmt>
      <c:pivotFmt>
        <c:idx val="3311"/>
        <c:spPr>
          <a:solidFill>
            <a:schemeClr val="accent6"/>
          </a:solidFill>
          <a:ln>
            <a:noFill/>
          </a:ln>
          <a:effectLst>
            <a:outerShdw blurRad="254000" sx="102000" sy="102000" algn="ctr" rotWithShape="0">
              <a:prstClr val="black">
                <a:alpha val="20000"/>
              </a:prstClr>
            </a:outerShdw>
          </a:effectLst>
        </c:spPr>
      </c:pivotFmt>
      <c:pivotFmt>
        <c:idx val="3312"/>
        <c:spPr>
          <a:solidFill>
            <a:schemeClr val="accent6"/>
          </a:solidFill>
          <a:ln>
            <a:noFill/>
          </a:ln>
          <a:effectLst>
            <a:outerShdw blurRad="254000" sx="102000" sy="102000" algn="ctr" rotWithShape="0">
              <a:prstClr val="black">
                <a:alpha val="20000"/>
              </a:prstClr>
            </a:outerShdw>
          </a:effectLst>
        </c:spPr>
      </c:pivotFmt>
      <c:pivotFmt>
        <c:idx val="3313"/>
        <c:spPr>
          <a:solidFill>
            <a:schemeClr val="accent6"/>
          </a:solidFill>
          <a:ln>
            <a:noFill/>
          </a:ln>
          <a:effectLst>
            <a:outerShdw blurRad="254000" sx="102000" sy="102000" algn="ctr" rotWithShape="0">
              <a:prstClr val="black">
                <a:alpha val="20000"/>
              </a:prstClr>
            </a:outerShdw>
          </a:effectLst>
        </c:spPr>
      </c:pivotFmt>
      <c:pivotFmt>
        <c:idx val="3314"/>
        <c:spPr>
          <a:solidFill>
            <a:schemeClr val="accent6"/>
          </a:solidFill>
          <a:ln>
            <a:noFill/>
          </a:ln>
          <a:effectLst>
            <a:outerShdw blurRad="254000" sx="102000" sy="102000" algn="ctr" rotWithShape="0">
              <a:prstClr val="black">
                <a:alpha val="20000"/>
              </a:prstClr>
            </a:outerShdw>
          </a:effectLst>
        </c:spPr>
      </c:pivotFmt>
      <c:pivotFmt>
        <c:idx val="3315"/>
        <c:spPr>
          <a:solidFill>
            <a:schemeClr val="accent6"/>
          </a:solidFill>
          <a:ln>
            <a:noFill/>
          </a:ln>
          <a:effectLst>
            <a:outerShdw blurRad="254000" sx="102000" sy="102000" algn="ctr" rotWithShape="0">
              <a:prstClr val="black">
                <a:alpha val="20000"/>
              </a:prstClr>
            </a:outerShdw>
          </a:effectLst>
        </c:spPr>
      </c:pivotFmt>
      <c:pivotFmt>
        <c:idx val="331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17"/>
        <c:spPr>
          <a:solidFill>
            <a:schemeClr val="accent6"/>
          </a:solidFill>
          <a:ln>
            <a:noFill/>
          </a:ln>
          <a:effectLst>
            <a:outerShdw blurRad="254000" sx="102000" sy="102000" algn="ctr" rotWithShape="0">
              <a:prstClr val="black">
                <a:alpha val="20000"/>
              </a:prstClr>
            </a:outerShdw>
          </a:effectLst>
        </c:spPr>
      </c:pivotFmt>
      <c:pivotFmt>
        <c:idx val="3318"/>
        <c:spPr>
          <a:solidFill>
            <a:schemeClr val="accent6"/>
          </a:solidFill>
          <a:ln>
            <a:noFill/>
          </a:ln>
          <a:effectLst>
            <a:outerShdw blurRad="254000" sx="102000" sy="102000" algn="ctr" rotWithShape="0">
              <a:prstClr val="black">
                <a:alpha val="20000"/>
              </a:prstClr>
            </a:outerShdw>
          </a:effectLst>
        </c:spPr>
      </c:pivotFmt>
      <c:pivotFmt>
        <c:idx val="3319"/>
        <c:spPr>
          <a:solidFill>
            <a:schemeClr val="accent6"/>
          </a:solidFill>
          <a:ln>
            <a:noFill/>
          </a:ln>
          <a:effectLst>
            <a:outerShdw blurRad="254000" sx="102000" sy="102000" algn="ctr" rotWithShape="0">
              <a:prstClr val="black">
                <a:alpha val="20000"/>
              </a:prstClr>
            </a:outerShdw>
          </a:effectLst>
        </c:spPr>
      </c:pivotFmt>
      <c:pivotFmt>
        <c:idx val="3320"/>
        <c:spPr>
          <a:solidFill>
            <a:schemeClr val="accent6"/>
          </a:solidFill>
          <a:ln>
            <a:noFill/>
          </a:ln>
          <a:effectLst>
            <a:outerShdw blurRad="254000" sx="102000" sy="102000" algn="ctr" rotWithShape="0">
              <a:prstClr val="black">
                <a:alpha val="20000"/>
              </a:prstClr>
            </a:outerShdw>
          </a:effectLst>
        </c:spPr>
      </c:pivotFmt>
      <c:pivotFmt>
        <c:idx val="3321"/>
        <c:spPr>
          <a:solidFill>
            <a:schemeClr val="accent6"/>
          </a:solidFill>
          <a:ln>
            <a:noFill/>
          </a:ln>
          <a:effectLst>
            <a:outerShdw blurRad="254000" sx="102000" sy="102000" algn="ctr" rotWithShape="0">
              <a:prstClr val="black">
                <a:alpha val="20000"/>
              </a:prstClr>
            </a:outerShdw>
          </a:effectLst>
        </c:spPr>
      </c:pivotFmt>
      <c:pivotFmt>
        <c:idx val="3322"/>
        <c:spPr>
          <a:solidFill>
            <a:schemeClr val="accent6"/>
          </a:solidFill>
          <a:ln>
            <a:noFill/>
          </a:ln>
          <a:effectLst>
            <a:outerShdw blurRad="254000" sx="102000" sy="102000" algn="ctr" rotWithShape="0">
              <a:prstClr val="black">
                <a:alpha val="20000"/>
              </a:prstClr>
            </a:outerShdw>
          </a:effectLst>
        </c:spPr>
      </c:pivotFmt>
      <c:pivotFmt>
        <c:idx val="3323"/>
        <c:spPr>
          <a:solidFill>
            <a:schemeClr val="accent6"/>
          </a:solidFill>
          <a:ln>
            <a:noFill/>
          </a:ln>
          <a:effectLst>
            <a:outerShdw blurRad="254000" sx="102000" sy="102000" algn="ctr" rotWithShape="0">
              <a:prstClr val="black">
                <a:alpha val="20000"/>
              </a:prstClr>
            </a:outerShdw>
          </a:effectLst>
        </c:spPr>
      </c:pivotFmt>
      <c:pivotFmt>
        <c:idx val="3324"/>
        <c:spPr>
          <a:solidFill>
            <a:schemeClr val="accent6"/>
          </a:solidFill>
          <a:ln>
            <a:noFill/>
          </a:ln>
          <a:effectLst>
            <a:outerShdw blurRad="254000" sx="102000" sy="102000" algn="ctr" rotWithShape="0">
              <a:prstClr val="black">
                <a:alpha val="20000"/>
              </a:prstClr>
            </a:outerShdw>
          </a:effectLst>
        </c:spPr>
      </c:pivotFmt>
      <c:pivotFmt>
        <c:idx val="3325"/>
        <c:spPr>
          <a:solidFill>
            <a:schemeClr val="accent6"/>
          </a:solidFill>
          <a:ln>
            <a:noFill/>
          </a:ln>
          <a:effectLst>
            <a:outerShdw blurRad="254000" sx="102000" sy="102000" algn="ctr" rotWithShape="0">
              <a:prstClr val="black">
                <a:alpha val="20000"/>
              </a:prstClr>
            </a:outerShdw>
          </a:effectLst>
        </c:spPr>
      </c:pivotFmt>
      <c:pivotFmt>
        <c:idx val="332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27"/>
        <c:spPr>
          <a:solidFill>
            <a:schemeClr val="accent6"/>
          </a:solidFill>
          <a:ln>
            <a:noFill/>
          </a:ln>
          <a:effectLst>
            <a:outerShdw blurRad="254000" sx="102000" sy="102000" algn="ctr" rotWithShape="0">
              <a:prstClr val="black">
                <a:alpha val="20000"/>
              </a:prstClr>
            </a:outerShdw>
          </a:effectLst>
        </c:spPr>
      </c:pivotFmt>
      <c:pivotFmt>
        <c:idx val="3328"/>
        <c:spPr>
          <a:solidFill>
            <a:schemeClr val="accent6"/>
          </a:solidFill>
          <a:ln>
            <a:noFill/>
          </a:ln>
          <a:effectLst>
            <a:outerShdw blurRad="254000" sx="102000" sy="102000" algn="ctr" rotWithShape="0">
              <a:prstClr val="black">
                <a:alpha val="20000"/>
              </a:prstClr>
            </a:outerShdw>
          </a:effectLst>
        </c:spPr>
      </c:pivotFmt>
      <c:pivotFmt>
        <c:idx val="3329"/>
        <c:spPr>
          <a:solidFill>
            <a:schemeClr val="accent6"/>
          </a:solidFill>
          <a:ln>
            <a:noFill/>
          </a:ln>
          <a:effectLst>
            <a:outerShdw blurRad="254000" sx="102000" sy="102000" algn="ctr" rotWithShape="0">
              <a:prstClr val="black">
                <a:alpha val="20000"/>
              </a:prstClr>
            </a:outerShdw>
          </a:effectLst>
        </c:spPr>
      </c:pivotFmt>
      <c:pivotFmt>
        <c:idx val="3330"/>
        <c:spPr>
          <a:solidFill>
            <a:schemeClr val="accent6"/>
          </a:solidFill>
          <a:ln>
            <a:noFill/>
          </a:ln>
          <a:effectLst>
            <a:outerShdw blurRad="254000" sx="102000" sy="102000" algn="ctr" rotWithShape="0">
              <a:prstClr val="black">
                <a:alpha val="20000"/>
              </a:prstClr>
            </a:outerShdw>
          </a:effectLst>
        </c:spPr>
      </c:pivotFmt>
      <c:pivotFmt>
        <c:idx val="3331"/>
        <c:spPr>
          <a:solidFill>
            <a:schemeClr val="accent6"/>
          </a:solidFill>
          <a:ln>
            <a:noFill/>
          </a:ln>
          <a:effectLst>
            <a:outerShdw blurRad="254000" sx="102000" sy="102000" algn="ctr" rotWithShape="0">
              <a:prstClr val="black">
                <a:alpha val="20000"/>
              </a:prstClr>
            </a:outerShdw>
          </a:effectLst>
        </c:spPr>
      </c:pivotFmt>
      <c:pivotFmt>
        <c:idx val="3332"/>
        <c:spPr>
          <a:solidFill>
            <a:schemeClr val="accent6"/>
          </a:solidFill>
          <a:ln>
            <a:noFill/>
          </a:ln>
          <a:effectLst>
            <a:outerShdw blurRad="254000" sx="102000" sy="102000" algn="ctr" rotWithShape="0">
              <a:prstClr val="black">
                <a:alpha val="20000"/>
              </a:prstClr>
            </a:outerShdw>
          </a:effectLst>
        </c:spPr>
      </c:pivotFmt>
      <c:pivotFmt>
        <c:idx val="3333"/>
        <c:spPr>
          <a:solidFill>
            <a:schemeClr val="accent6"/>
          </a:solidFill>
          <a:ln>
            <a:noFill/>
          </a:ln>
          <a:effectLst>
            <a:outerShdw blurRad="254000" sx="102000" sy="102000" algn="ctr" rotWithShape="0">
              <a:prstClr val="black">
                <a:alpha val="20000"/>
              </a:prstClr>
            </a:outerShdw>
          </a:effectLst>
        </c:spPr>
      </c:pivotFmt>
      <c:pivotFmt>
        <c:idx val="3334"/>
        <c:spPr>
          <a:solidFill>
            <a:schemeClr val="accent6"/>
          </a:solidFill>
          <a:ln>
            <a:noFill/>
          </a:ln>
          <a:effectLst>
            <a:outerShdw blurRad="254000" sx="102000" sy="102000" algn="ctr" rotWithShape="0">
              <a:prstClr val="black">
                <a:alpha val="20000"/>
              </a:prstClr>
            </a:outerShdw>
          </a:effectLst>
        </c:spPr>
      </c:pivotFmt>
      <c:pivotFmt>
        <c:idx val="3335"/>
        <c:spPr>
          <a:solidFill>
            <a:schemeClr val="accent6"/>
          </a:solidFill>
          <a:ln>
            <a:noFill/>
          </a:ln>
          <a:effectLst>
            <a:outerShdw blurRad="254000" sx="102000" sy="102000" algn="ctr" rotWithShape="0">
              <a:prstClr val="black">
                <a:alpha val="20000"/>
              </a:prstClr>
            </a:outerShdw>
          </a:effectLst>
        </c:spPr>
      </c:pivotFmt>
      <c:pivotFmt>
        <c:idx val="3336"/>
        <c:spPr>
          <a:solidFill>
            <a:schemeClr val="accent6"/>
          </a:solidFill>
          <a:ln>
            <a:noFill/>
          </a:ln>
          <a:effectLst>
            <a:outerShdw blurRad="254000" sx="102000" sy="102000" algn="ctr" rotWithShape="0">
              <a:prstClr val="black">
                <a:alpha val="20000"/>
              </a:prstClr>
            </a:outerShdw>
          </a:effectLst>
        </c:spPr>
      </c:pivotFmt>
      <c:pivotFmt>
        <c:idx val="3337"/>
        <c:spPr>
          <a:solidFill>
            <a:schemeClr val="accent6"/>
          </a:solidFill>
          <a:ln>
            <a:noFill/>
          </a:ln>
          <a:effectLst>
            <a:outerShdw blurRad="254000" sx="102000" sy="102000" algn="ctr" rotWithShape="0">
              <a:prstClr val="black">
                <a:alpha val="20000"/>
              </a:prstClr>
            </a:outerShdw>
          </a:effectLst>
        </c:spPr>
      </c:pivotFmt>
      <c:pivotFmt>
        <c:idx val="3338"/>
        <c:spPr>
          <a:solidFill>
            <a:schemeClr val="accent6"/>
          </a:solidFill>
          <a:ln>
            <a:noFill/>
          </a:ln>
          <a:effectLst>
            <a:outerShdw blurRad="254000" sx="102000" sy="102000" algn="ctr" rotWithShape="0">
              <a:prstClr val="black">
                <a:alpha val="20000"/>
              </a:prstClr>
            </a:outerShdw>
          </a:effectLst>
        </c:spPr>
      </c:pivotFmt>
      <c:pivotFmt>
        <c:idx val="3339"/>
        <c:spPr>
          <a:solidFill>
            <a:schemeClr val="accent6"/>
          </a:solidFill>
          <a:ln>
            <a:noFill/>
          </a:ln>
          <a:effectLst>
            <a:outerShdw blurRad="254000" sx="102000" sy="102000" algn="ctr" rotWithShape="0">
              <a:prstClr val="black">
                <a:alpha val="20000"/>
              </a:prstClr>
            </a:outerShdw>
          </a:effectLst>
        </c:spPr>
      </c:pivotFmt>
      <c:pivotFmt>
        <c:idx val="3340"/>
        <c:spPr>
          <a:solidFill>
            <a:schemeClr val="accent6"/>
          </a:solidFill>
          <a:ln>
            <a:noFill/>
          </a:ln>
          <a:effectLst>
            <a:outerShdw blurRad="254000" sx="102000" sy="102000" algn="ctr" rotWithShape="0">
              <a:prstClr val="black">
                <a:alpha val="20000"/>
              </a:prstClr>
            </a:outerShdw>
          </a:effectLst>
        </c:spPr>
      </c:pivotFmt>
      <c:pivotFmt>
        <c:idx val="3341"/>
        <c:spPr>
          <a:solidFill>
            <a:schemeClr val="accent6"/>
          </a:solidFill>
          <a:ln>
            <a:noFill/>
          </a:ln>
          <a:effectLst>
            <a:outerShdw blurRad="254000" sx="102000" sy="102000" algn="ctr" rotWithShape="0">
              <a:prstClr val="black">
                <a:alpha val="20000"/>
              </a:prstClr>
            </a:outerShdw>
          </a:effectLst>
        </c:spPr>
      </c:pivotFmt>
      <c:pivotFmt>
        <c:idx val="3342"/>
        <c:spPr>
          <a:solidFill>
            <a:schemeClr val="accent6"/>
          </a:solidFill>
          <a:ln>
            <a:noFill/>
          </a:ln>
          <a:effectLst>
            <a:outerShdw blurRad="254000" sx="102000" sy="102000" algn="ctr" rotWithShape="0">
              <a:prstClr val="black">
                <a:alpha val="20000"/>
              </a:prstClr>
            </a:outerShdw>
          </a:effectLst>
        </c:spPr>
      </c:pivotFmt>
      <c:pivotFmt>
        <c:idx val="3343"/>
        <c:spPr>
          <a:solidFill>
            <a:schemeClr val="accent6"/>
          </a:solidFill>
          <a:ln>
            <a:noFill/>
          </a:ln>
          <a:effectLst>
            <a:outerShdw blurRad="254000" sx="102000" sy="102000" algn="ctr" rotWithShape="0">
              <a:prstClr val="black">
                <a:alpha val="20000"/>
              </a:prstClr>
            </a:outerShdw>
          </a:effectLst>
        </c:spPr>
      </c:pivotFmt>
      <c:pivotFmt>
        <c:idx val="3344"/>
        <c:spPr>
          <a:solidFill>
            <a:schemeClr val="accent6"/>
          </a:solidFill>
          <a:ln>
            <a:noFill/>
          </a:ln>
          <a:effectLst>
            <a:outerShdw blurRad="254000" sx="102000" sy="102000" algn="ctr" rotWithShape="0">
              <a:prstClr val="black">
                <a:alpha val="20000"/>
              </a:prstClr>
            </a:outerShdw>
          </a:effectLst>
        </c:spPr>
      </c:pivotFmt>
      <c:pivotFmt>
        <c:idx val="3345"/>
        <c:spPr>
          <a:solidFill>
            <a:schemeClr val="accent6"/>
          </a:solidFill>
          <a:ln>
            <a:noFill/>
          </a:ln>
          <a:effectLst>
            <a:outerShdw blurRad="254000" sx="102000" sy="102000" algn="ctr" rotWithShape="0">
              <a:prstClr val="black">
                <a:alpha val="20000"/>
              </a:prstClr>
            </a:outerShdw>
          </a:effectLst>
        </c:spPr>
      </c:pivotFmt>
      <c:pivotFmt>
        <c:idx val="3346"/>
        <c:spPr>
          <a:solidFill>
            <a:schemeClr val="accent6"/>
          </a:solidFill>
          <a:ln>
            <a:noFill/>
          </a:ln>
          <a:effectLst>
            <a:outerShdw blurRad="254000" sx="102000" sy="102000" algn="ctr" rotWithShape="0">
              <a:prstClr val="black">
                <a:alpha val="20000"/>
              </a:prstClr>
            </a:outerShdw>
          </a:effectLst>
        </c:spPr>
      </c:pivotFmt>
      <c:pivotFmt>
        <c:idx val="3347"/>
        <c:spPr>
          <a:solidFill>
            <a:schemeClr val="accent6"/>
          </a:solidFill>
          <a:ln>
            <a:noFill/>
          </a:ln>
          <a:effectLst>
            <a:outerShdw blurRad="254000" sx="102000" sy="102000" algn="ctr" rotWithShape="0">
              <a:prstClr val="black">
                <a:alpha val="20000"/>
              </a:prstClr>
            </a:outerShdw>
          </a:effectLst>
        </c:spPr>
      </c:pivotFmt>
      <c:pivotFmt>
        <c:idx val="3348"/>
        <c:spPr>
          <a:solidFill>
            <a:schemeClr val="accent6"/>
          </a:solidFill>
          <a:ln>
            <a:noFill/>
          </a:ln>
          <a:effectLst>
            <a:outerShdw blurRad="254000" sx="102000" sy="102000" algn="ctr" rotWithShape="0">
              <a:prstClr val="black">
                <a:alpha val="20000"/>
              </a:prstClr>
            </a:outerShdw>
          </a:effectLst>
        </c:spPr>
      </c:pivotFmt>
      <c:pivotFmt>
        <c:idx val="3349"/>
        <c:spPr>
          <a:solidFill>
            <a:schemeClr val="accent6"/>
          </a:solidFill>
          <a:ln>
            <a:noFill/>
          </a:ln>
          <a:effectLst>
            <a:outerShdw blurRad="254000" sx="102000" sy="102000" algn="ctr" rotWithShape="0">
              <a:prstClr val="black">
                <a:alpha val="20000"/>
              </a:prstClr>
            </a:outerShdw>
          </a:effectLst>
        </c:spPr>
      </c:pivotFmt>
      <c:pivotFmt>
        <c:idx val="3350"/>
        <c:spPr>
          <a:solidFill>
            <a:schemeClr val="accent6"/>
          </a:solidFill>
          <a:ln>
            <a:noFill/>
          </a:ln>
          <a:effectLst>
            <a:outerShdw blurRad="254000" sx="102000" sy="102000" algn="ctr" rotWithShape="0">
              <a:prstClr val="black">
                <a:alpha val="20000"/>
              </a:prstClr>
            </a:outerShdw>
          </a:effectLst>
        </c:spPr>
      </c:pivotFmt>
      <c:pivotFmt>
        <c:idx val="3351"/>
        <c:spPr>
          <a:solidFill>
            <a:schemeClr val="accent6"/>
          </a:solidFill>
          <a:ln>
            <a:noFill/>
          </a:ln>
          <a:effectLst>
            <a:outerShdw blurRad="254000" sx="102000" sy="102000" algn="ctr" rotWithShape="0">
              <a:prstClr val="black">
                <a:alpha val="20000"/>
              </a:prstClr>
            </a:outerShdw>
          </a:effectLst>
        </c:spPr>
      </c:pivotFmt>
      <c:pivotFmt>
        <c:idx val="3352"/>
        <c:spPr>
          <a:solidFill>
            <a:schemeClr val="accent6"/>
          </a:solidFill>
          <a:ln>
            <a:noFill/>
          </a:ln>
          <a:effectLst>
            <a:outerShdw blurRad="254000" sx="102000" sy="102000" algn="ctr" rotWithShape="0">
              <a:prstClr val="black">
                <a:alpha val="20000"/>
              </a:prstClr>
            </a:outerShdw>
          </a:effectLst>
        </c:spPr>
      </c:pivotFmt>
      <c:pivotFmt>
        <c:idx val="3353"/>
        <c:spPr>
          <a:solidFill>
            <a:schemeClr val="accent6"/>
          </a:solidFill>
          <a:ln>
            <a:noFill/>
          </a:ln>
          <a:effectLst>
            <a:outerShdw blurRad="254000" sx="102000" sy="102000" algn="ctr" rotWithShape="0">
              <a:prstClr val="black">
                <a:alpha val="20000"/>
              </a:prstClr>
            </a:outerShdw>
          </a:effectLst>
        </c:spPr>
      </c:pivotFmt>
      <c:pivotFmt>
        <c:idx val="3354"/>
        <c:spPr>
          <a:solidFill>
            <a:schemeClr val="accent6"/>
          </a:solidFill>
          <a:ln>
            <a:noFill/>
          </a:ln>
          <a:effectLst>
            <a:outerShdw blurRad="254000" sx="102000" sy="102000" algn="ctr" rotWithShape="0">
              <a:prstClr val="black">
                <a:alpha val="20000"/>
              </a:prstClr>
            </a:outerShdw>
          </a:effectLst>
        </c:spPr>
      </c:pivotFmt>
      <c:pivotFmt>
        <c:idx val="3355"/>
        <c:spPr>
          <a:solidFill>
            <a:schemeClr val="accent6"/>
          </a:solidFill>
          <a:ln>
            <a:noFill/>
          </a:ln>
          <a:effectLst>
            <a:outerShdw blurRad="254000" sx="102000" sy="102000" algn="ctr" rotWithShape="0">
              <a:prstClr val="black">
                <a:alpha val="20000"/>
              </a:prstClr>
            </a:outerShdw>
          </a:effectLst>
        </c:spPr>
      </c:pivotFmt>
      <c:pivotFmt>
        <c:idx val="3356"/>
        <c:spPr>
          <a:solidFill>
            <a:schemeClr val="accent6"/>
          </a:solidFill>
          <a:ln>
            <a:noFill/>
          </a:ln>
          <a:effectLst>
            <a:outerShdw blurRad="254000" sx="102000" sy="102000" algn="ctr" rotWithShape="0">
              <a:prstClr val="black">
                <a:alpha val="20000"/>
              </a:prstClr>
            </a:outerShdw>
          </a:effectLst>
        </c:spPr>
      </c:pivotFmt>
      <c:pivotFmt>
        <c:idx val="3357"/>
        <c:spPr>
          <a:solidFill>
            <a:schemeClr val="accent6"/>
          </a:solidFill>
          <a:ln>
            <a:noFill/>
          </a:ln>
          <a:effectLst>
            <a:outerShdw blurRad="254000" sx="102000" sy="102000" algn="ctr" rotWithShape="0">
              <a:prstClr val="black">
                <a:alpha val="20000"/>
              </a:prstClr>
            </a:outerShdw>
          </a:effectLst>
        </c:spPr>
      </c:pivotFmt>
      <c:pivotFmt>
        <c:idx val="3358"/>
        <c:spPr>
          <a:solidFill>
            <a:schemeClr val="accent6"/>
          </a:solidFill>
          <a:ln>
            <a:noFill/>
          </a:ln>
          <a:effectLst>
            <a:outerShdw blurRad="254000" sx="102000" sy="102000" algn="ctr" rotWithShape="0">
              <a:prstClr val="black">
                <a:alpha val="20000"/>
              </a:prstClr>
            </a:outerShdw>
          </a:effectLst>
        </c:spPr>
      </c:pivotFmt>
      <c:pivotFmt>
        <c:idx val="3359"/>
        <c:spPr>
          <a:solidFill>
            <a:schemeClr val="accent6"/>
          </a:solidFill>
          <a:ln>
            <a:noFill/>
          </a:ln>
          <a:effectLst>
            <a:outerShdw blurRad="254000" sx="102000" sy="102000" algn="ctr" rotWithShape="0">
              <a:prstClr val="black">
                <a:alpha val="20000"/>
              </a:prstClr>
            </a:outerShdw>
          </a:effectLst>
        </c:spPr>
      </c:pivotFmt>
      <c:pivotFmt>
        <c:idx val="3360"/>
        <c:spPr>
          <a:solidFill>
            <a:schemeClr val="accent6"/>
          </a:solidFill>
          <a:ln>
            <a:noFill/>
          </a:ln>
          <a:effectLst>
            <a:outerShdw blurRad="254000" sx="102000" sy="102000" algn="ctr" rotWithShape="0">
              <a:prstClr val="black">
                <a:alpha val="20000"/>
              </a:prstClr>
            </a:outerShdw>
          </a:effectLst>
        </c:spPr>
      </c:pivotFmt>
      <c:pivotFmt>
        <c:idx val="3361"/>
        <c:spPr>
          <a:solidFill>
            <a:schemeClr val="accent6"/>
          </a:solidFill>
          <a:ln>
            <a:noFill/>
          </a:ln>
          <a:effectLst>
            <a:outerShdw blurRad="254000" sx="102000" sy="102000" algn="ctr" rotWithShape="0">
              <a:prstClr val="black">
                <a:alpha val="20000"/>
              </a:prstClr>
            </a:outerShdw>
          </a:effectLst>
        </c:spPr>
      </c:pivotFmt>
      <c:pivotFmt>
        <c:idx val="3362"/>
        <c:spPr>
          <a:solidFill>
            <a:schemeClr val="accent6"/>
          </a:solidFill>
          <a:ln>
            <a:noFill/>
          </a:ln>
          <a:effectLst>
            <a:outerShdw blurRad="254000" sx="102000" sy="102000" algn="ctr" rotWithShape="0">
              <a:prstClr val="black">
                <a:alpha val="20000"/>
              </a:prstClr>
            </a:outerShdw>
          </a:effectLst>
        </c:spPr>
      </c:pivotFmt>
      <c:pivotFmt>
        <c:idx val="3363"/>
        <c:spPr>
          <a:solidFill>
            <a:schemeClr val="accent6"/>
          </a:solidFill>
          <a:ln>
            <a:noFill/>
          </a:ln>
          <a:effectLst>
            <a:outerShdw blurRad="254000" sx="102000" sy="102000" algn="ctr" rotWithShape="0">
              <a:prstClr val="black">
                <a:alpha val="20000"/>
              </a:prstClr>
            </a:outerShdw>
          </a:effectLst>
        </c:spPr>
      </c:pivotFmt>
      <c:pivotFmt>
        <c:idx val="3364"/>
        <c:spPr>
          <a:solidFill>
            <a:schemeClr val="accent6"/>
          </a:solidFill>
          <a:ln>
            <a:noFill/>
          </a:ln>
          <a:effectLst>
            <a:outerShdw blurRad="254000" sx="102000" sy="102000" algn="ctr" rotWithShape="0">
              <a:prstClr val="black">
                <a:alpha val="20000"/>
              </a:prstClr>
            </a:outerShdw>
          </a:effectLst>
        </c:spPr>
      </c:pivotFmt>
      <c:pivotFmt>
        <c:idx val="3365"/>
        <c:spPr>
          <a:solidFill>
            <a:schemeClr val="accent6"/>
          </a:solidFill>
          <a:ln>
            <a:noFill/>
          </a:ln>
          <a:effectLst>
            <a:outerShdw blurRad="254000" sx="102000" sy="102000" algn="ctr" rotWithShape="0">
              <a:prstClr val="black">
                <a:alpha val="20000"/>
              </a:prstClr>
            </a:outerShdw>
          </a:effectLst>
        </c:spPr>
      </c:pivotFmt>
      <c:pivotFmt>
        <c:idx val="3366"/>
        <c:spPr>
          <a:solidFill>
            <a:schemeClr val="accent6"/>
          </a:solidFill>
          <a:ln>
            <a:noFill/>
          </a:ln>
          <a:effectLst>
            <a:outerShdw blurRad="254000" sx="102000" sy="102000" algn="ctr" rotWithShape="0">
              <a:prstClr val="black">
                <a:alpha val="20000"/>
              </a:prstClr>
            </a:outerShdw>
          </a:effectLst>
        </c:spPr>
      </c:pivotFmt>
      <c:pivotFmt>
        <c:idx val="3367"/>
        <c:spPr>
          <a:solidFill>
            <a:schemeClr val="accent6"/>
          </a:solidFill>
          <a:ln>
            <a:noFill/>
          </a:ln>
          <a:effectLst>
            <a:outerShdw blurRad="254000" sx="102000" sy="102000" algn="ctr" rotWithShape="0">
              <a:prstClr val="black">
                <a:alpha val="20000"/>
              </a:prstClr>
            </a:outerShdw>
          </a:effectLst>
        </c:spPr>
      </c:pivotFmt>
      <c:pivotFmt>
        <c:idx val="3368"/>
        <c:spPr>
          <a:solidFill>
            <a:schemeClr val="accent6"/>
          </a:solidFill>
          <a:ln>
            <a:noFill/>
          </a:ln>
          <a:effectLst>
            <a:outerShdw blurRad="254000" sx="102000" sy="102000" algn="ctr" rotWithShape="0">
              <a:prstClr val="black">
                <a:alpha val="20000"/>
              </a:prstClr>
            </a:outerShdw>
          </a:effectLst>
        </c:spPr>
      </c:pivotFmt>
      <c:pivotFmt>
        <c:idx val="3369"/>
        <c:spPr>
          <a:solidFill>
            <a:schemeClr val="accent6"/>
          </a:solidFill>
          <a:ln>
            <a:noFill/>
          </a:ln>
          <a:effectLst>
            <a:outerShdw blurRad="254000" sx="102000" sy="102000" algn="ctr" rotWithShape="0">
              <a:prstClr val="black">
                <a:alpha val="20000"/>
              </a:prstClr>
            </a:outerShdw>
          </a:effectLst>
        </c:spPr>
      </c:pivotFmt>
      <c:pivotFmt>
        <c:idx val="3370"/>
        <c:spPr>
          <a:solidFill>
            <a:schemeClr val="accent6"/>
          </a:solidFill>
          <a:ln>
            <a:noFill/>
          </a:ln>
          <a:effectLst>
            <a:outerShdw blurRad="254000" sx="102000" sy="102000" algn="ctr" rotWithShape="0">
              <a:prstClr val="black">
                <a:alpha val="20000"/>
              </a:prstClr>
            </a:outerShdw>
          </a:effectLst>
        </c:spPr>
      </c:pivotFmt>
      <c:pivotFmt>
        <c:idx val="3371"/>
        <c:spPr>
          <a:solidFill>
            <a:schemeClr val="accent6"/>
          </a:solidFill>
          <a:ln>
            <a:noFill/>
          </a:ln>
          <a:effectLst>
            <a:outerShdw blurRad="254000" sx="102000" sy="102000" algn="ctr" rotWithShape="0">
              <a:prstClr val="black">
                <a:alpha val="20000"/>
              </a:prstClr>
            </a:outerShdw>
          </a:effectLst>
        </c:spPr>
      </c:pivotFmt>
      <c:pivotFmt>
        <c:idx val="337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7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7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7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7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7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7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7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8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8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83"/>
        <c:spPr>
          <a:solidFill>
            <a:schemeClr val="accent6"/>
          </a:solidFill>
          <a:ln>
            <a:noFill/>
          </a:ln>
          <a:effectLst>
            <a:outerShdw blurRad="254000" sx="102000" sy="102000" algn="ctr" rotWithShape="0">
              <a:prstClr val="black">
                <a:alpha val="20000"/>
              </a:prstClr>
            </a:outerShdw>
          </a:effectLst>
        </c:spPr>
      </c:pivotFmt>
      <c:pivotFmt>
        <c:idx val="3384"/>
        <c:spPr>
          <a:solidFill>
            <a:schemeClr val="accent6"/>
          </a:solidFill>
          <a:ln>
            <a:noFill/>
          </a:ln>
          <a:effectLst>
            <a:outerShdw blurRad="254000" sx="102000" sy="102000" algn="ctr" rotWithShape="0">
              <a:prstClr val="black">
                <a:alpha val="20000"/>
              </a:prstClr>
            </a:outerShdw>
          </a:effectLst>
        </c:spPr>
      </c:pivotFmt>
      <c:pivotFmt>
        <c:idx val="3385"/>
        <c:spPr>
          <a:solidFill>
            <a:schemeClr val="accent6"/>
          </a:solidFill>
          <a:ln>
            <a:noFill/>
          </a:ln>
          <a:effectLst>
            <a:outerShdw blurRad="254000" sx="102000" sy="102000" algn="ctr" rotWithShape="0">
              <a:prstClr val="black">
                <a:alpha val="20000"/>
              </a:prstClr>
            </a:outerShdw>
          </a:effectLst>
        </c:spPr>
      </c:pivotFmt>
      <c:pivotFmt>
        <c:idx val="3386"/>
        <c:spPr>
          <a:solidFill>
            <a:schemeClr val="accent6"/>
          </a:solidFill>
          <a:ln>
            <a:noFill/>
          </a:ln>
          <a:effectLst>
            <a:outerShdw blurRad="254000" sx="102000" sy="102000" algn="ctr" rotWithShape="0">
              <a:prstClr val="black">
                <a:alpha val="20000"/>
              </a:prstClr>
            </a:outerShdw>
          </a:effectLst>
        </c:spPr>
      </c:pivotFmt>
      <c:pivotFmt>
        <c:idx val="3387"/>
        <c:spPr>
          <a:solidFill>
            <a:schemeClr val="accent6"/>
          </a:solidFill>
          <a:ln>
            <a:noFill/>
          </a:ln>
          <a:effectLst>
            <a:outerShdw blurRad="254000" sx="102000" sy="102000" algn="ctr" rotWithShape="0">
              <a:prstClr val="black">
                <a:alpha val="20000"/>
              </a:prstClr>
            </a:outerShdw>
          </a:effectLst>
        </c:spPr>
      </c:pivotFmt>
      <c:pivotFmt>
        <c:idx val="3388"/>
        <c:spPr>
          <a:solidFill>
            <a:schemeClr val="accent6"/>
          </a:solidFill>
          <a:ln>
            <a:noFill/>
          </a:ln>
          <a:effectLst>
            <a:outerShdw blurRad="254000" sx="102000" sy="102000" algn="ctr" rotWithShape="0">
              <a:prstClr val="black">
                <a:alpha val="20000"/>
              </a:prstClr>
            </a:outerShdw>
          </a:effectLst>
        </c:spPr>
      </c:pivotFmt>
      <c:pivotFmt>
        <c:idx val="3389"/>
        <c:spPr>
          <a:solidFill>
            <a:schemeClr val="accent6"/>
          </a:solidFill>
          <a:ln>
            <a:noFill/>
          </a:ln>
          <a:effectLst>
            <a:outerShdw blurRad="254000" sx="102000" sy="102000" algn="ctr" rotWithShape="0">
              <a:prstClr val="black">
                <a:alpha val="20000"/>
              </a:prstClr>
            </a:outerShdw>
          </a:effectLst>
        </c:spPr>
      </c:pivotFmt>
      <c:pivotFmt>
        <c:idx val="3390"/>
        <c:spPr>
          <a:solidFill>
            <a:schemeClr val="accent6"/>
          </a:solidFill>
          <a:ln>
            <a:noFill/>
          </a:ln>
          <a:effectLst>
            <a:outerShdw blurRad="254000" sx="102000" sy="102000" algn="ctr" rotWithShape="0">
              <a:prstClr val="black">
                <a:alpha val="20000"/>
              </a:prstClr>
            </a:outerShdw>
          </a:effectLst>
        </c:spPr>
      </c:pivotFmt>
      <c:pivotFmt>
        <c:idx val="3391"/>
        <c:spPr>
          <a:solidFill>
            <a:schemeClr val="accent6"/>
          </a:solidFill>
          <a:ln>
            <a:noFill/>
          </a:ln>
          <a:effectLst>
            <a:outerShdw blurRad="254000" sx="102000" sy="102000" algn="ctr" rotWithShape="0">
              <a:prstClr val="black">
                <a:alpha val="20000"/>
              </a:prstClr>
            </a:outerShdw>
          </a:effectLst>
        </c:spPr>
      </c:pivotFmt>
      <c:pivotFmt>
        <c:idx val="3392"/>
        <c:spPr>
          <a:solidFill>
            <a:schemeClr val="accent6"/>
          </a:solidFill>
          <a:ln>
            <a:noFill/>
          </a:ln>
          <a:effectLst>
            <a:outerShdw blurRad="254000" sx="102000" sy="102000" algn="ctr" rotWithShape="0">
              <a:prstClr val="black">
                <a:alpha val="20000"/>
              </a:prstClr>
            </a:outerShdw>
          </a:effectLst>
        </c:spPr>
      </c:pivotFmt>
      <c:pivotFmt>
        <c:idx val="3393"/>
        <c:spPr>
          <a:solidFill>
            <a:schemeClr val="accent6"/>
          </a:solidFill>
          <a:ln>
            <a:noFill/>
          </a:ln>
          <a:effectLst>
            <a:outerShdw blurRad="254000" sx="102000" sy="102000" algn="ctr" rotWithShape="0">
              <a:prstClr val="black">
                <a:alpha val="20000"/>
              </a:prstClr>
            </a:outerShdw>
          </a:effectLst>
        </c:spPr>
      </c:pivotFmt>
      <c:pivotFmt>
        <c:idx val="3394"/>
        <c:spPr>
          <a:solidFill>
            <a:schemeClr val="accent6"/>
          </a:solidFill>
          <a:ln>
            <a:noFill/>
          </a:ln>
          <a:effectLst>
            <a:outerShdw blurRad="254000" sx="102000" sy="102000" algn="ctr" rotWithShape="0">
              <a:prstClr val="black">
                <a:alpha val="20000"/>
              </a:prstClr>
            </a:outerShdw>
          </a:effectLst>
        </c:spPr>
      </c:pivotFmt>
      <c:pivotFmt>
        <c:idx val="3395"/>
        <c:spPr>
          <a:solidFill>
            <a:schemeClr val="accent6"/>
          </a:solidFill>
          <a:ln>
            <a:noFill/>
          </a:ln>
          <a:effectLst>
            <a:outerShdw blurRad="254000" sx="102000" sy="102000" algn="ctr" rotWithShape="0">
              <a:prstClr val="black">
                <a:alpha val="20000"/>
              </a:prstClr>
            </a:outerShdw>
          </a:effectLst>
        </c:spPr>
      </c:pivotFmt>
      <c:pivotFmt>
        <c:idx val="3396"/>
        <c:spPr>
          <a:solidFill>
            <a:schemeClr val="accent6"/>
          </a:solidFill>
          <a:ln>
            <a:noFill/>
          </a:ln>
          <a:effectLst>
            <a:outerShdw blurRad="254000" sx="102000" sy="102000" algn="ctr" rotWithShape="0">
              <a:prstClr val="black">
                <a:alpha val="20000"/>
              </a:prstClr>
            </a:outerShdw>
          </a:effectLst>
        </c:spPr>
      </c:pivotFmt>
      <c:pivotFmt>
        <c:idx val="3397"/>
        <c:spPr>
          <a:solidFill>
            <a:schemeClr val="accent6"/>
          </a:solidFill>
          <a:ln>
            <a:noFill/>
          </a:ln>
          <a:effectLst>
            <a:outerShdw blurRad="254000" sx="102000" sy="102000" algn="ctr" rotWithShape="0">
              <a:prstClr val="black">
                <a:alpha val="20000"/>
              </a:prstClr>
            </a:outerShdw>
          </a:effectLst>
        </c:spPr>
      </c:pivotFmt>
      <c:pivotFmt>
        <c:idx val="3398"/>
        <c:spPr>
          <a:solidFill>
            <a:schemeClr val="accent6"/>
          </a:solidFill>
          <a:ln>
            <a:noFill/>
          </a:ln>
          <a:effectLst>
            <a:outerShdw blurRad="254000" sx="102000" sy="102000" algn="ctr" rotWithShape="0">
              <a:prstClr val="black">
                <a:alpha val="20000"/>
              </a:prstClr>
            </a:outerShdw>
          </a:effectLst>
        </c:spPr>
      </c:pivotFmt>
      <c:pivotFmt>
        <c:idx val="3399"/>
        <c:spPr>
          <a:solidFill>
            <a:schemeClr val="accent6"/>
          </a:solidFill>
          <a:ln>
            <a:noFill/>
          </a:ln>
          <a:effectLst>
            <a:outerShdw blurRad="254000" sx="102000" sy="102000" algn="ctr" rotWithShape="0">
              <a:prstClr val="black">
                <a:alpha val="20000"/>
              </a:prstClr>
            </a:outerShdw>
          </a:effectLst>
        </c:spPr>
      </c:pivotFmt>
      <c:pivotFmt>
        <c:idx val="3400"/>
        <c:spPr>
          <a:solidFill>
            <a:schemeClr val="accent6"/>
          </a:solidFill>
          <a:ln>
            <a:noFill/>
          </a:ln>
          <a:effectLst>
            <a:outerShdw blurRad="254000" sx="102000" sy="102000" algn="ctr" rotWithShape="0">
              <a:prstClr val="black">
                <a:alpha val="20000"/>
              </a:prstClr>
            </a:outerShdw>
          </a:effectLst>
        </c:spPr>
      </c:pivotFmt>
      <c:pivotFmt>
        <c:idx val="3401"/>
        <c:spPr>
          <a:solidFill>
            <a:schemeClr val="accent6"/>
          </a:solidFill>
          <a:ln>
            <a:noFill/>
          </a:ln>
          <a:effectLst>
            <a:outerShdw blurRad="254000" sx="102000" sy="102000" algn="ctr" rotWithShape="0">
              <a:prstClr val="black">
                <a:alpha val="20000"/>
              </a:prstClr>
            </a:outerShdw>
          </a:effectLst>
        </c:spPr>
      </c:pivotFmt>
      <c:pivotFmt>
        <c:idx val="3402"/>
        <c:spPr>
          <a:solidFill>
            <a:schemeClr val="accent6"/>
          </a:solidFill>
          <a:ln>
            <a:noFill/>
          </a:ln>
          <a:effectLst>
            <a:outerShdw blurRad="254000" sx="102000" sy="102000" algn="ctr" rotWithShape="0">
              <a:prstClr val="black">
                <a:alpha val="20000"/>
              </a:prstClr>
            </a:outerShdw>
          </a:effectLst>
        </c:spPr>
      </c:pivotFmt>
      <c:pivotFmt>
        <c:idx val="3403"/>
        <c:spPr>
          <a:solidFill>
            <a:schemeClr val="accent6"/>
          </a:solidFill>
          <a:ln>
            <a:noFill/>
          </a:ln>
          <a:effectLst>
            <a:outerShdw blurRad="254000" sx="102000" sy="102000" algn="ctr" rotWithShape="0">
              <a:prstClr val="black">
                <a:alpha val="20000"/>
              </a:prstClr>
            </a:outerShdw>
          </a:effectLst>
        </c:spPr>
      </c:pivotFmt>
      <c:pivotFmt>
        <c:idx val="3404"/>
        <c:spPr>
          <a:solidFill>
            <a:schemeClr val="accent6"/>
          </a:solidFill>
          <a:ln>
            <a:noFill/>
          </a:ln>
          <a:effectLst>
            <a:outerShdw blurRad="254000" sx="102000" sy="102000" algn="ctr" rotWithShape="0">
              <a:prstClr val="black">
                <a:alpha val="20000"/>
              </a:prstClr>
            </a:outerShdw>
          </a:effectLst>
        </c:spPr>
      </c:pivotFmt>
      <c:pivotFmt>
        <c:idx val="3405"/>
        <c:spPr>
          <a:solidFill>
            <a:schemeClr val="accent6"/>
          </a:solidFill>
          <a:ln>
            <a:noFill/>
          </a:ln>
          <a:effectLst>
            <a:outerShdw blurRad="254000" sx="102000" sy="102000" algn="ctr" rotWithShape="0">
              <a:prstClr val="black">
                <a:alpha val="20000"/>
              </a:prstClr>
            </a:outerShdw>
          </a:effectLst>
        </c:spPr>
      </c:pivotFmt>
      <c:pivotFmt>
        <c:idx val="3406"/>
        <c:spPr>
          <a:solidFill>
            <a:schemeClr val="accent6"/>
          </a:solidFill>
          <a:ln>
            <a:noFill/>
          </a:ln>
          <a:effectLst>
            <a:outerShdw blurRad="254000" sx="102000" sy="102000" algn="ctr" rotWithShape="0">
              <a:prstClr val="black">
                <a:alpha val="20000"/>
              </a:prstClr>
            </a:outerShdw>
          </a:effectLst>
        </c:spPr>
      </c:pivotFmt>
      <c:pivotFmt>
        <c:idx val="3407"/>
        <c:spPr>
          <a:solidFill>
            <a:schemeClr val="accent6"/>
          </a:solidFill>
          <a:ln>
            <a:noFill/>
          </a:ln>
          <a:effectLst>
            <a:outerShdw blurRad="254000" sx="102000" sy="102000" algn="ctr" rotWithShape="0">
              <a:prstClr val="black">
                <a:alpha val="20000"/>
              </a:prstClr>
            </a:outerShdw>
          </a:effectLst>
        </c:spPr>
      </c:pivotFmt>
      <c:pivotFmt>
        <c:idx val="3408"/>
        <c:spPr>
          <a:solidFill>
            <a:schemeClr val="accent6"/>
          </a:solidFill>
          <a:ln>
            <a:noFill/>
          </a:ln>
          <a:effectLst>
            <a:outerShdw blurRad="254000" sx="102000" sy="102000" algn="ctr" rotWithShape="0">
              <a:prstClr val="black">
                <a:alpha val="20000"/>
              </a:prstClr>
            </a:outerShdw>
          </a:effectLst>
        </c:spPr>
      </c:pivotFmt>
      <c:pivotFmt>
        <c:idx val="3409"/>
        <c:spPr>
          <a:solidFill>
            <a:schemeClr val="accent6"/>
          </a:solidFill>
          <a:ln>
            <a:noFill/>
          </a:ln>
          <a:effectLst>
            <a:outerShdw blurRad="254000" sx="102000" sy="102000" algn="ctr" rotWithShape="0">
              <a:prstClr val="black">
                <a:alpha val="20000"/>
              </a:prstClr>
            </a:outerShdw>
          </a:effectLst>
        </c:spPr>
      </c:pivotFmt>
      <c:pivotFmt>
        <c:idx val="3410"/>
        <c:spPr>
          <a:solidFill>
            <a:schemeClr val="accent6"/>
          </a:solidFill>
          <a:ln>
            <a:noFill/>
          </a:ln>
          <a:effectLst>
            <a:outerShdw blurRad="254000" sx="102000" sy="102000" algn="ctr" rotWithShape="0">
              <a:prstClr val="black">
                <a:alpha val="20000"/>
              </a:prstClr>
            </a:outerShdw>
          </a:effectLst>
        </c:spPr>
      </c:pivotFmt>
      <c:pivotFmt>
        <c:idx val="3411"/>
        <c:spPr>
          <a:solidFill>
            <a:schemeClr val="accent6"/>
          </a:solidFill>
          <a:ln>
            <a:noFill/>
          </a:ln>
          <a:effectLst>
            <a:outerShdw blurRad="254000" sx="102000" sy="102000" algn="ctr" rotWithShape="0">
              <a:prstClr val="black">
                <a:alpha val="20000"/>
              </a:prstClr>
            </a:outerShdw>
          </a:effectLst>
        </c:spPr>
      </c:pivotFmt>
      <c:pivotFmt>
        <c:idx val="3412"/>
        <c:spPr>
          <a:solidFill>
            <a:schemeClr val="accent6"/>
          </a:solidFill>
          <a:ln>
            <a:noFill/>
          </a:ln>
          <a:effectLst>
            <a:outerShdw blurRad="254000" sx="102000" sy="102000" algn="ctr" rotWithShape="0">
              <a:prstClr val="black">
                <a:alpha val="20000"/>
              </a:prstClr>
            </a:outerShdw>
          </a:effectLst>
        </c:spPr>
      </c:pivotFmt>
      <c:pivotFmt>
        <c:idx val="3413"/>
        <c:spPr>
          <a:solidFill>
            <a:schemeClr val="accent6"/>
          </a:solidFill>
          <a:ln>
            <a:noFill/>
          </a:ln>
          <a:effectLst>
            <a:outerShdw blurRad="254000" sx="102000" sy="102000" algn="ctr" rotWithShape="0">
              <a:prstClr val="black">
                <a:alpha val="20000"/>
              </a:prstClr>
            </a:outerShdw>
          </a:effectLst>
        </c:spPr>
      </c:pivotFmt>
      <c:pivotFmt>
        <c:idx val="3414"/>
        <c:spPr>
          <a:solidFill>
            <a:schemeClr val="accent6"/>
          </a:solidFill>
          <a:ln>
            <a:noFill/>
          </a:ln>
          <a:effectLst>
            <a:outerShdw blurRad="254000" sx="102000" sy="102000" algn="ctr" rotWithShape="0">
              <a:prstClr val="black">
                <a:alpha val="20000"/>
              </a:prstClr>
            </a:outerShdw>
          </a:effectLst>
        </c:spPr>
      </c:pivotFmt>
      <c:pivotFmt>
        <c:idx val="3415"/>
        <c:spPr>
          <a:solidFill>
            <a:schemeClr val="accent6"/>
          </a:solidFill>
          <a:ln>
            <a:noFill/>
          </a:ln>
          <a:effectLst>
            <a:outerShdw blurRad="254000" sx="102000" sy="102000" algn="ctr" rotWithShape="0">
              <a:prstClr val="black">
                <a:alpha val="20000"/>
              </a:prstClr>
            </a:outerShdw>
          </a:effectLst>
        </c:spPr>
      </c:pivotFmt>
      <c:pivotFmt>
        <c:idx val="3416"/>
        <c:spPr>
          <a:solidFill>
            <a:schemeClr val="accent6"/>
          </a:solidFill>
          <a:ln>
            <a:noFill/>
          </a:ln>
          <a:effectLst>
            <a:outerShdw blurRad="254000" sx="102000" sy="102000" algn="ctr" rotWithShape="0">
              <a:prstClr val="black">
                <a:alpha val="20000"/>
              </a:prstClr>
            </a:outerShdw>
          </a:effectLst>
        </c:spPr>
      </c:pivotFmt>
      <c:pivotFmt>
        <c:idx val="3417"/>
        <c:spPr>
          <a:solidFill>
            <a:schemeClr val="accent6"/>
          </a:solidFill>
          <a:ln>
            <a:noFill/>
          </a:ln>
          <a:effectLst>
            <a:outerShdw blurRad="254000" sx="102000" sy="102000" algn="ctr" rotWithShape="0">
              <a:prstClr val="black">
                <a:alpha val="20000"/>
              </a:prstClr>
            </a:outerShdw>
          </a:effectLst>
        </c:spPr>
      </c:pivotFmt>
      <c:pivotFmt>
        <c:idx val="3418"/>
        <c:spPr>
          <a:solidFill>
            <a:schemeClr val="accent6"/>
          </a:solidFill>
          <a:ln>
            <a:noFill/>
          </a:ln>
          <a:effectLst>
            <a:outerShdw blurRad="254000" sx="102000" sy="102000" algn="ctr" rotWithShape="0">
              <a:prstClr val="black">
                <a:alpha val="20000"/>
              </a:prstClr>
            </a:outerShdw>
          </a:effectLst>
        </c:spPr>
      </c:pivotFmt>
      <c:pivotFmt>
        <c:idx val="3419"/>
        <c:spPr>
          <a:solidFill>
            <a:schemeClr val="accent6"/>
          </a:solidFill>
          <a:ln>
            <a:noFill/>
          </a:ln>
          <a:effectLst>
            <a:outerShdw blurRad="254000" sx="102000" sy="102000" algn="ctr" rotWithShape="0">
              <a:prstClr val="black">
                <a:alpha val="20000"/>
              </a:prstClr>
            </a:outerShdw>
          </a:effectLst>
        </c:spPr>
      </c:pivotFmt>
      <c:pivotFmt>
        <c:idx val="3420"/>
        <c:spPr>
          <a:solidFill>
            <a:schemeClr val="accent6"/>
          </a:solidFill>
          <a:ln>
            <a:noFill/>
          </a:ln>
          <a:effectLst>
            <a:outerShdw blurRad="254000" sx="102000" sy="102000" algn="ctr" rotWithShape="0">
              <a:prstClr val="black">
                <a:alpha val="20000"/>
              </a:prstClr>
            </a:outerShdw>
          </a:effectLst>
        </c:spPr>
      </c:pivotFmt>
      <c:pivotFmt>
        <c:idx val="3421"/>
        <c:spPr>
          <a:solidFill>
            <a:schemeClr val="accent6"/>
          </a:solidFill>
          <a:ln>
            <a:noFill/>
          </a:ln>
          <a:effectLst>
            <a:outerShdw blurRad="254000" sx="102000" sy="102000" algn="ctr" rotWithShape="0">
              <a:prstClr val="black">
                <a:alpha val="20000"/>
              </a:prstClr>
            </a:outerShdw>
          </a:effectLst>
        </c:spPr>
      </c:pivotFmt>
      <c:pivotFmt>
        <c:idx val="3422"/>
        <c:spPr>
          <a:solidFill>
            <a:schemeClr val="accent6"/>
          </a:solidFill>
          <a:ln>
            <a:noFill/>
          </a:ln>
          <a:effectLst>
            <a:outerShdw blurRad="254000" sx="102000" sy="102000" algn="ctr" rotWithShape="0">
              <a:prstClr val="black">
                <a:alpha val="20000"/>
              </a:prstClr>
            </a:outerShdw>
          </a:effectLst>
        </c:spPr>
      </c:pivotFmt>
      <c:pivotFmt>
        <c:idx val="3423"/>
        <c:spPr>
          <a:solidFill>
            <a:schemeClr val="accent6"/>
          </a:solidFill>
          <a:ln>
            <a:noFill/>
          </a:ln>
          <a:effectLst>
            <a:outerShdw blurRad="254000" sx="102000" sy="102000" algn="ctr" rotWithShape="0">
              <a:prstClr val="black">
                <a:alpha val="20000"/>
              </a:prstClr>
            </a:outerShdw>
          </a:effectLst>
        </c:spPr>
      </c:pivotFmt>
      <c:pivotFmt>
        <c:idx val="3424"/>
        <c:spPr>
          <a:solidFill>
            <a:schemeClr val="accent6"/>
          </a:solidFill>
          <a:ln>
            <a:noFill/>
          </a:ln>
          <a:effectLst>
            <a:outerShdw blurRad="254000" sx="102000" sy="102000" algn="ctr" rotWithShape="0">
              <a:prstClr val="black">
                <a:alpha val="20000"/>
              </a:prstClr>
            </a:outerShdw>
          </a:effectLst>
        </c:spPr>
      </c:pivotFmt>
      <c:pivotFmt>
        <c:idx val="3425"/>
        <c:spPr>
          <a:solidFill>
            <a:schemeClr val="accent6"/>
          </a:solidFill>
          <a:ln>
            <a:noFill/>
          </a:ln>
          <a:effectLst>
            <a:outerShdw blurRad="254000" sx="102000" sy="102000" algn="ctr" rotWithShape="0">
              <a:prstClr val="black">
                <a:alpha val="20000"/>
              </a:prstClr>
            </a:outerShdw>
          </a:effectLst>
        </c:spPr>
      </c:pivotFmt>
      <c:pivotFmt>
        <c:idx val="3426"/>
        <c:spPr>
          <a:solidFill>
            <a:schemeClr val="accent6"/>
          </a:solidFill>
          <a:ln>
            <a:noFill/>
          </a:ln>
          <a:effectLst>
            <a:outerShdw blurRad="254000" sx="102000" sy="102000" algn="ctr" rotWithShape="0">
              <a:prstClr val="black">
                <a:alpha val="20000"/>
              </a:prstClr>
            </a:outerShdw>
          </a:effectLst>
        </c:spPr>
      </c:pivotFmt>
      <c:pivotFmt>
        <c:idx val="3427"/>
        <c:spPr>
          <a:solidFill>
            <a:schemeClr val="accent6"/>
          </a:solidFill>
          <a:ln>
            <a:noFill/>
          </a:ln>
          <a:effectLst>
            <a:outerShdw blurRad="254000" sx="102000" sy="102000" algn="ctr" rotWithShape="0">
              <a:prstClr val="black">
                <a:alpha val="20000"/>
              </a:prstClr>
            </a:outerShdw>
          </a:effectLst>
        </c:spPr>
      </c:pivotFmt>
      <c:pivotFmt>
        <c:idx val="3428"/>
        <c:spPr>
          <a:solidFill>
            <a:schemeClr val="accent6"/>
          </a:solidFill>
          <a:ln>
            <a:noFill/>
          </a:ln>
          <a:effectLst>
            <a:outerShdw blurRad="254000" sx="102000" sy="102000" algn="ctr" rotWithShape="0">
              <a:prstClr val="black">
                <a:alpha val="20000"/>
              </a:prstClr>
            </a:outerShdw>
          </a:effectLst>
        </c:spPr>
      </c:pivotFmt>
      <c:pivotFmt>
        <c:idx val="3429"/>
        <c:spPr>
          <a:solidFill>
            <a:schemeClr val="accent6"/>
          </a:solidFill>
          <a:ln>
            <a:noFill/>
          </a:ln>
          <a:effectLst>
            <a:outerShdw blurRad="254000" sx="102000" sy="102000" algn="ctr" rotWithShape="0">
              <a:prstClr val="black">
                <a:alpha val="20000"/>
              </a:prstClr>
            </a:outerShdw>
          </a:effectLst>
        </c:spPr>
      </c:pivotFmt>
      <c:pivotFmt>
        <c:idx val="3430"/>
        <c:spPr>
          <a:solidFill>
            <a:schemeClr val="accent6"/>
          </a:solidFill>
          <a:ln>
            <a:noFill/>
          </a:ln>
          <a:effectLst>
            <a:outerShdw blurRad="254000" sx="102000" sy="102000" algn="ctr" rotWithShape="0">
              <a:prstClr val="black">
                <a:alpha val="20000"/>
              </a:prstClr>
            </a:outerShdw>
          </a:effectLst>
        </c:spPr>
      </c:pivotFmt>
      <c:pivotFmt>
        <c:idx val="3431"/>
        <c:spPr>
          <a:solidFill>
            <a:schemeClr val="accent6"/>
          </a:solidFill>
          <a:ln>
            <a:noFill/>
          </a:ln>
          <a:effectLst>
            <a:outerShdw blurRad="254000" sx="102000" sy="102000" algn="ctr" rotWithShape="0">
              <a:prstClr val="black">
                <a:alpha val="20000"/>
              </a:prstClr>
            </a:outerShdw>
          </a:effectLst>
        </c:spPr>
      </c:pivotFmt>
      <c:pivotFmt>
        <c:idx val="3432"/>
        <c:spPr>
          <a:solidFill>
            <a:schemeClr val="accent6"/>
          </a:solidFill>
          <a:ln>
            <a:noFill/>
          </a:ln>
          <a:effectLst>
            <a:outerShdw blurRad="254000" sx="102000" sy="102000" algn="ctr" rotWithShape="0">
              <a:prstClr val="black">
                <a:alpha val="20000"/>
              </a:prstClr>
            </a:outerShdw>
          </a:effectLst>
        </c:spPr>
      </c:pivotFmt>
      <c:pivotFmt>
        <c:idx val="3433"/>
        <c:spPr>
          <a:solidFill>
            <a:schemeClr val="accent6"/>
          </a:solidFill>
          <a:ln>
            <a:noFill/>
          </a:ln>
          <a:effectLst>
            <a:outerShdw blurRad="254000" sx="102000" sy="102000" algn="ctr" rotWithShape="0">
              <a:prstClr val="black">
                <a:alpha val="20000"/>
              </a:prstClr>
            </a:outerShdw>
          </a:effectLst>
        </c:spPr>
      </c:pivotFmt>
      <c:pivotFmt>
        <c:idx val="3434"/>
        <c:spPr>
          <a:solidFill>
            <a:schemeClr val="accent6"/>
          </a:solidFill>
          <a:ln>
            <a:noFill/>
          </a:ln>
          <a:effectLst>
            <a:outerShdw blurRad="254000" sx="102000" sy="102000" algn="ctr" rotWithShape="0">
              <a:prstClr val="black">
                <a:alpha val="20000"/>
              </a:prstClr>
            </a:outerShdw>
          </a:effectLst>
        </c:spPr>
      </c:pivotFmt>
      <c:pivotFmt>
        <c:idx val="3435"/>
        <c:spPr>
          <a:solidFill>
            <a:schemeClr val="accent6"/>
          </a:solidFill>
          <a:ln>
            <a:noFill/>
          </a:ln>
          <a:effectLst>
            <a:outerShdw blurRad="254000" sx="102000" sy="102000" algn="ctr" rotWithShape="0">
              <a:prstClr val="black">
                <a:alpha val="20000"/>
              </a:prstClr>
            </a:outerShdw>
          </a:effectLst>
        </c:spPr>
      </c:pivotFmt>
      <c:pivotFmt>
        <c:idx val="3436"/>
        <c:spPr>
          <a:solidFill>
            <a:schemeClr val="accent6"/>
          </a:solidFill>
          <a:ln>
            <a:noFill/>
          </a:ln>
          <a:effectLst>
            <a:outerShdw blurRad="254000" sx="102000" sy="102000" algn="ctr" rotWithShape="0">
              <a:prstClr val="black">
                <a:alpha val="20000"/>
              </a:prstClr>
            </a:outerShdw>
          </a:effectLst>
        </c:spPr>
      </c:pivotFmt>
      <c:pivotFmt>
        <c:idx val="3437"/>
        <c:spPr>
          <a:solidFill>
            <a:schemeClr val="accent6"/>
          </a:solidFill>
          <a:ln>
            <a:noFill/>
          </a:ln>
          <a:effectLst>
            <a:outerShdw blurRad="254000" sx="102000" sy="102000" algn="ctr" rotWithShape="0">
              <a:prstClr val="black">
                <a:alpha val="20000"/>
              </a:prstClr>
            </a:outerShdw>
          </a:effectLst>
        </c:spPr>
      </c:pivotFmt>
      <c:pivotFmt>
        <c:idx val="3438"/>
        <c:spPr>
          <a:solidFill>
            <a:schemeClr val="accent6"/>
          </a:solidFill>
          <a:ln>
            <a:noFill/>
          </a:ln>
          <a:effectLst>
            <a:outerShdw blurRad="254000" sx="102000" sy="102000" algn="ctr" rotWithShape="0">
              <a:prstClr val="black">
                <a:alpha val="20000"/>
              </a:prstClr>
            </a:outerShdw>
          </a:effectLst>
        </c:spPr>
      </c:pivotFmt>
      <c:pivotFmt>
        <c:idx val="3439"/>
        <c:spPr>
          <a:solidFill>
            <a:schemeClr val="accent6"/>
          </a:solidFill>
          <a:ln>
            <a:noFill/>
          </a:ln>
          <a:effectLst>
            <a:outerShdw blurRad="254000" sx="102000" sy="102000" algn="ctr" rotWithShape="0">
              <a:prstClr val="black">
                <a:alpha val="20000"/>
              </a:prstClr>
            </a:outerShdw>
          </a:effectLst>
        </c:spPr>
      </c:pivotFmt>
      <c:pivotFmt>
        <c:idx val="3440"/>
        <c:spPr>
          <a:solidFill>
            <a:schemeClr val="accent6"/>
          </a:solidFill>
          <a:ln>
            <a:noFill/>
          </a:ln>
          <a:effectLst>
            <a:outerShdw blurRad="254000" sx="102000" sy="102000" algn="ctr" rotWithShape="0">
              <a:prstClr val="black">
                <a:alpha val="20000"/>
              </a:prstClr>
            </a:outerShdw>
          </a:effectLst>
        </c:spPr>
      </c:pivotFmt>
      <c:pivotFmt>
        <c:idx val="3441"/>
        <c:spPr>
          <a:solidFill>
            <a:schemeClr val="accent6"/>
          </a:solidFill>
          <a:ln>
            <a:noFill/>
          </a:ln>
          <a:effectLst>
            <a:outerShdw blurRad="254000" sx="102000" sy="102000" algn="ctr" rotWithShape="0">
              <a:prstClr val="black">
                <a:alpha val="20000"/>
              </a:prstClr>
            </a:outerShdw>
          </a:effectLst>
        </c:spPr>
      </c:pivotFmt>
      <c:pivotFmt>
        <c:idx val="3442"/>
        <c:spPr>
          <a:solidFill>
            <a:schemeClr val="accent6"/>
          </a:solidFill>
          <a:ln>
            <a:noFill/>
          </a:ln>
          <a:effectLst>
            <a:outerShdw blurRad="254000" sx="102000" sy="102000" algn="ctr" rotWithShape="0">
              <a:prstClr val="black">
                <a:alpha val="20000"/>
              </a:prstClr>
            </a:outerShdw>
          </a:effectLst>
        </c:spPr>
      </c:pivotFmt>
      <c:pivotFmt>
        <c:idx val="3443"/>
        <c:spPr>
          <a:solidFill>
            <a:schemeClr val="accent6"/>
          </a:solidFill>
          <a:ln>
            <a:noFill/>
          </a:ln>
          <a:effectLst>
            <a:outerShdw blurRad="254000" sx="102000" sy="102000" algn="ctr" rotWithShape="0">
              <a:prstClr val="black">
                <a:alpha val="20000"/>
              </a:prstClr>
            </a:outerShdw>
          </a:effectLst>
        </c:spPr>
      </c:pivotFmt>
      <c:pivotFmt>
        <c:idx val="3444"/>
        <c:spPr>
          <a:solidFill>
            <a:schemeClr val="accent6"/>
          </a:solidFill>
          <a:ln>
            <a:noFill/>
          </a:ln>
          <a:effectLst>
            <a:outerShdw blurRad="254000" sx="102000" sy="102000" algn="ctr" rotWithShape="0">
              <a:prstClr val="black">
                <a:alpha val="20000"/>
              </a:prstClr>
            </a:outerShdw>
          </a:effectLst>
        </c:spPr>
      </c:pivotFmt>
      <c:pivotFmt>
        <c:idx val="3445"/>
        <c:spPr>
          <a:solidFill>
            <a:schemeClr val="accent6"/>
          </a:solidFill>
          <a:ln>
            <a:noFill/>
          </a:ln>
          <a:effectLst>
            <a:outerShdw blurRad="254000" sx="102000" sy="102000" algn="ctr" rotWithShape="0">
              <a:prstClr val="black">
                <a:alpha val="20000"/>
              </a:prstClr>
            </a:outerShdw>
          </a:effectLst>
        </c:spPr>
      </c:pivotFmt>
      <c:pivotFmt>
        <c:idx val="3446"/>
        <c:spPr>
          <a:solidFill>
            <a:schemeClr val="accent6"/>
          </a:solidFill>
          <a:ln>
            <a:noFill/>
          </a:ln>
          <a:effectLst>
            <a:outerShdw blurRad="254000" sx="102000" sy="102000" algn="ctr" rotWithShape="0">
              <a:prstClr val="black">
                <a:alpha val="20000"/>
              </a:prstClr>
            </a:outerShdw>
          </a:effectLst>
        </c:spPr>
      </c:pivotFmt>
      <c:pivotFmt>
        <c:idx val="3447"/>
        <c:spPr>
          <a:solidFill>
            <a:schemeClr val="accent6"/>
          </a:solidFill>
          <a:ln>
            <a:noFill/>
          </a:ln>
          <a:effectLst>
            <a:outerShdw blurRad="254000" sx="102000" sy="102000" algn="ctr" rotWithShape="0">
              <a:prstClr val="black">
                <a:alpha val="20000"/>
              </a:prstClr>
            </a:outerShdw>
          </a:effectLst>
        </c:spPr>
      </c:pivotFmt>
      <c:pivotFmt>
        <c:idx val="3448"/>
        <c:spPr>
          <a:solidFill>
            <a:schemeClr val="accent6"/>
          </a:solidFill>
          <a:ln>
            <a:noFill/>
          </a:ln>
          <a:effectLst>
            <a:outerShdw blurRad="254000" sx="102000" sy="102000" algn="ctr" rotWithShape="0">
              <a:prstClr val="black">
                <a:alpha val="20000"/>
              </a:prstClr>
            </a:outerShdw>
          </a:effectLst>
        </c:spPr>
      </c:pivotFmt>
      <c:pivotFmt>
        <c:idx val="3449"/>
        <c:spPr>
          <a:solidFill>
            <a:schemeClr val="accent6"/>
          </a:solidFill>
          <a:ln>
            <a:noFill/>
          </a:ln>
          <a:effectLst>
            <a:outerShdw blurRad="254000" sx="102000" sy="102000" algn="ctr" rotWithShape="0">
              <a:prstClr val="black">
                <a:alpha val="20000"/>
              </a:prstClr>
            </a:outerShdw>
          </a:effectLst>
        </c:spPr>
      </c:pivotFmt>
      <c:pivotFmt>
        <c:idx val="3450"/>
        <c:spPr>
          <a:solidFill>
            <a:schemeClr val="accent6"/>
          </a:solidFill>
          <a:ln>
            <a:noFill/>
          </a:ln>
          <a:effectLst>
            <a:outerShdw blurRad="254000" sx="102000" sy="102000" algn="ctr" rotWithShape="0">
              <a:prstClr val="black">
                <a:alpha val="20000"/>
              </a:prstClr>
            </a:outerShdw>
          </a:effectLst>
        </c:spPr>
      </c:pivotFmt>
      <c:pivotFmt>
        <c:idx val="3451"/>
        <c:spPr>
          <a:solidFill>
            <a:schemeClr val="accent6"/>
          </a:solidFill>
          <a:ln>
            <a:noFill/>
          </a:ln>
          <a:effectLst>
            <a:outerShdw blurRad="254000" sx="102000" sy="102000" algn="ctr" rotWithShape="0">
              <a:prstClr val="black">
                <a:alpha val="20000"/>
              </a:prstClr>
            </a:outerShdw>
          </a:effectLst>
        </c:spPr>
      </c:pivotFmt>
      <c:pivotFmt>
        <c:idx val="3452"/>
        <c:spPr>
          <a:solidFill>
            <a:schemeClr val="accent6"/>
          </a:solidFill>
          <a:ln>
            <a:noFill/>
          </a:ln>
          <a:effectLst>
            <a:outerShdw blurRad="254000" sx="102000" sy="102000" algn="ctr" rotWithShape="0">
              <a:prstClr val="black">
                <a:alpha val="20000"/>
              </a:prstClr>
            </a:outerShdw>
          </a:effectLst>
        </c:spPr>
      </c:pivotFmt>
      <c:pivotFmt>
        <c:idx val="3453"/>
        <c:spPr>
          <a:solidFill>
            <a:schemeClr val="accent6"/>
          </a:solidFill>
          <a:ln>
            <a:noFill/>
          </a:ln>
          <a:effectLst>
            <a:outerShdw blurRad="254000" sx="102000" sy="102000" algn="ctr" rotWithShape="0">
              <a:prstClr val="black">
                <a:alpha val="20000"/>
              </a:prstClr>
            </a:outerShdw>
          </a:effectLst>
        </c:spPr>
      </c:pivotFmt>
      <c:pivotFmt>
        <c:idx val="3454"/>
        <c:spPr>
          <a:solidFill>
            <a:schemeClr val="accent6"/>
          </a:solidFill>
          <a:ln>
            <a:noFill/>
          </a:ln>
          <a:effectLst>
            <a:outerShdw blurRad="254000" sx="102000" sy="102000" algn="ctr" rotWithShape="0">
              <a:prstClr val="black">
                <a:alpha val="20000"/>
              </a:prstClr>
            </a:outerShdw>
          </a:effectLst>
        </c:spPr>
      </c:pivotFmt>
      <c:pivotFmt>
        <c:idx val="3455"/>
        <c:spPr>
          <a:solidFill>
            <a:schemeClr val="accent6"/>
          </a:solidFill>
          <a:ln>
            <a:noFill/>
          </a:ln>
          <a:effectLst>
            <a:outerShdw blurRad="254000" sx="102000" sy="102000" algn="ctr" rotWithShape="0">
              <a:prstClr val="black">
                <a:alpha val="20000"/>
              </a:prstClr>
            </a:outerShdw>
          </a:effectLst>
        </c:spPr>
      </c:pivotFmt>
      <c:pivotFmt>
        <c:idx val="3456"/>
        <c:spPr>
          <a:solidFill>
            <a:schemeClr val="accent6"/>
          </a:solidFill>
          <a:ln>
            <a:noFill/>
          </a:ln>
          <a:effectLst>
            <a:outerShdw blurRad="254000" sx="102000" sy="102000" algn="ctr" rotWithShape="0">
              <a:prstClr val="black">
                <a:alpha val="20000"/>
              </a:prstClr>
            </a:outerShdw>
          </a:effectLst>
        </c:spPr>
      </c:pivotFmt>
      <c:pivotFmt>
        <c:idx val="3457"/>
        <c:spPr>
          <a:solidFill>
            <a:schemeClr val="accent6"/>
          </a:solidFill>
          <a:ln>
            <a:noFill/>
          </a:ln>
          <a:effectLst>
            <a:outerShdw blurRad="254000" sx="102000" sy="102000" algn="ctr" rotWithShape="0">
              <a:prstClr val="black">
                <a:alpha val="20000"/>
              </a:prstClr>
            </a:outerShdw>
          </a:effectLst>
        </c:spPr>
      </c:pivotFmt>
      <c:pivotFmt>
        <c:idx val="3458"/>
        <c:spPr>
          <a:solidFill>
            <a:schemeClr val="accent6"/>
          </a:solidFill>
          <a:ln>
            <a:noFill/>
          </a:ln>
          <a:effectLst>
            <a:outerShdw blurRad="254000" sx="102000" sy="102000" algn="ctr" rotWithShape="0">
              <a:prstClr val="black">
                <a:alpha val="20000"/>
              </a:prstClr>
            </a:outerShdw>
          </a:effectLst>
        </c:spPr>
      </c:pivotFmt>
      <c:pivotFmt>
        <c:idx val="3459"/>
        <c:spPr>
          <a:solidFill>
            <a:schemeClr val="accent6"/>
          </a:solidFill>
          <a:ln>
            <a:noFill/>
          </a:ln>
          <a:effectLst>
            <a:outerShdw blurRad="254000" sx="102000" sy="102000" algn="ctr" rotWithShape="0">
              <a:prstClr val="black">
                <a:alpha val="20000"/>
              </a:prstClr>
            </a:outerShdw>
          </a:effectLst>
        </c:spPr>
      </c:pivotFmt>
      <c:pivotFmt>
        <c:idx val="3460"/>
        <c:spPr>
          <a:solidFill>
            <a:schemeClr val="accent6"/>
          </a:solidFill>
          <a:ln>
            <a:noFill/>
          </a:ln>
          <a:effectLst>
            <a:outerShdw blurRad="254000" sx="102000" sy="102000" algn="ctr" rotWithShape="0">
              <a:prstClr val="black">
                <a:alpha val="20000"/>
              </a:prstClr>
            </a:outerShdw>
          </a:effectLst>
        </c:spPr>
      </c:pivotFmt>
      <c:pivotFmt>
        <c:idx val="3461"/>
        <c:spPr>
          <a:solidFill>
            <a:schemeClr val="accent6"/>
          </a:solidFill>
          <a:ln>
            <a:noFill/>
          </a:ln>
          <a:effectLst>
            <a:outerShdw blurRad="254000" sx="102000" sy="102000" algn="ctr" rotWithShape="0">
              <a:prstClr val="black">
                <a:alpha val="20000"/>
              </a:prstClr>
            </a:outerShdw>
          </a:effectLst>
        </c:spPr>
      </c:pivotFmt>
      <c:pivotFmt>
        <c:idx val="3462"/>
        <c:spPr>
          <a:solidFill>
            <a:schemeClr val="accent6"/>
          </a:solidFill>
          <a:ln>
            <a:noFill/>
          </a:ln>
          <a:effectLst>
            <a:outerShdw blurRad="254000" sx="102000" sy="102000" algn="ctr" rotWithShape="0">
              <a:prstClr val="black">
                <a:alpha val="20000"/>
              </a:prstClr>
            </a:outerShdw>
          </a:effectLst>
        </c:spPr>
      </c:pivotFmt>
      <c:pivotFmt>
        <c:idx val="3463"/>
        <c:spPr>
          <a:solidFill>
            <a:schemeClr val="accent6"/>
          </a:solidFill>
          <a:ln>
            <a:noFill/>
          </a:ln>
          <a:effectLst>
            <a:outerShdw blurRad="254000" sx="102000" sy="102000" algn="ctr" rotWithShape="0">
              <a:prstClr val="black">
                <a:alpha val="20000"/>
              </a:prstClr>
            </a:outerShdw>
          </a:effectLst>
        </c:spPr>
      </c:pivotFmt>
      <c:pivotFmt>
        <c:idx val="3464"/>
        <c:spPr>
          <a:solidFill>
            <a:schemeClr val="accent6"/>
          </a:solidFill>
          <a:ln>
            <a:noFill/>
          </a:ln>
          <a:effectLst>
            <a:outerShdw blurRad="254000" sx="102000" sy="102000" algn="ctr" rotWithShape="0">
              <a:prstClr val="black">
                <a:alpha val="20000"/>
              </a:prstClr>
            </a:outerShdw>
          </a:effectLst>
        </c:spPr>
      </c:pivotFmt>
      <c:pivotFmt>
        <c:idx val="3465"/>
        <c:spPr>
          <a:solidFill>
            <a:schemeClr val="accent6"/>
          </a:solidFill>
          <a:ln>
            <a:noFill/>
          </a:ln>
          <a:effectLst>
            <a:outerShdw blurRad="254000" sx="102000" sy="102000" algn="ctr" rotWithShape="0">
              <a:prstClr val="black">
                <a:alpha val="20000"/>
              </a:prstClr>
            </a:outerShdw>
          </a:effectLst>
        </c:spPr>
      </c:pivotFmt>
      <c:pivotFmt>
        <c:idx val="3466"/>
        <c:spPr>
          <a:solidFill>
            <a:schemeClr val="accent6"/>
          </a:solidFill>
          <a:ln>
            <a:noFill/>
          </a:ln>
          <a:effectLst>
            <a:outerShdw blurRad="254000" sx="102000" sy="102000" algn="ctr" rotWithShape="0">
              <a:prstClr val="black">
                <a:alpha val="20000"/>
              </a:prstClr>
            </a:outerShdw>
          </a:effectLst>
        </c:spPr>
      </c:pivotFmt>
      <c:pivotFmt>
        <c:idx val="3467"/>
        <c:spPr>
          <a:solidFill>
            <a:schemeClr val="accent6"/>
          </a:solidFill>
          <a:ln>
            <a:noFill/>
          </a:ln>
          <a:effectLst>
            <a:outerShdw blurRad="254000" sx="102000" sy="102000" algn="ctr" rotWithShape="0">
              <a:prstClr val="black">
                <a:alpha val="20000"/>
              </a:prstClr>
            </a:outerShdw>
          </a:effectLst>
        </c:spPr>
      </c:pivotFmt>
      <c:pivotFmt>
        <c:idx val="3468"/>
        <c:spPr>
          <a:solidFill>
            <a:schemeClr val="accent6"/>
          </a:solidFill>
          <a:ln>
            <a:noFill/>
          </a:ln>
          <a:effectLst>
            <a:outerShdw blurRad="254000" sx="102000" sy="102000" algn="ctr" rotWithShape="0">
              <a:prstClr val="black">
                <a:alpha val="20000"/>
              </a:prstClr>
            </a:outerShdw>
          </a:effectLst>
        </c:spPr>
      </c:pivotFmt>
      <c:pivotFmt>
        <c:idx val="3469"/>
        <c:spPr>
          <a:solidFill>
            <a:schemeClr val="accent6"/>
          </a:solidFill>
          <a:ln>
            <a:noFill/>
          </a:ln>
          <a:effectLst>
            <a:outerShdw blurRad="254000" sx="102000" sy="102000" algn="ctr" rotWithShape="0">
              <a:prstClr val="black">
                <a:alpha val="20000"/>
              </a:prstClr>
            </a:outerShdw>
          </a:effectLst>
        </c:spPr>
      </c:pivotFmt>
      <c:pivotFmt>
        <c:idx val="3470"/>
        <c:spPr>
          <a:solidFill>
            <a:schemeClr val="accent6"/>
          </a:solidFill>
          <a:ln>
            <a:noFill/>
          </a:ln>
          <a:effectLst>
            <a:outerShdw blurRad="254000" sx="102000" sy="102000" algn="ctr" rotWithShape="0">
              <a:prstClr val="black">
                <a:alpha val="20000"/>
              </a:prstClr>
            </a:outerShdw>
          </a:effectLst>
        </c:spPr>
      </c:pivotFmt>
      <c:pivotFmt>
        <c:idx val="3471"/>
        <c:spPr>
          <a:solidFill>
            <a:schemeClr val="accent6"/>
          </a:solidFill>
          <a:ln>
            <a:noFill/>
          </a:ln>
          <a:effectLst>
            <a:outerShdw blurRad="254000" sx="102000" sy="102000" algn="ctr" rotWithShape="0">
              <a:prstClr val="black">
                <a:alpha val="20000"/>
              </a:prstClr>
            </a:outerShdw>
          </a:effectLst>
        </c:spPr>
      </c:pivotFmt>
      <c:pivotFmt>
        <c:idx val="3472"/>
        <c:spPr>
          <a:solidFill>
            <a:schemeClr val="accent6"/>
          </a:solidFill>
          <a:ln>
            <a:noFill/>
          </a:ln>
          <a:effectLst>
            <a:outerShdw blurRad="254000" sx="102000" sy="102000" algn="ctr" rotWithShape="0">
              <a:prstClr val="black">
                <a:alpha val="20000"/>
              </a:prstClr>
            </a:outerShdw>
          </a:effectLst>
        </c:spPr>
      </c:pivotFmt>
      <c:pivotFmt>
        <c:idx val="3473"/>
        <c:spPr>
          <a:solidFill>
            <a:schemeClr val="accent6"/>
          </a:solidFill>
          <a:ln>
            <a:noFill/>
          </a:ln>
          <a:effectLst>
            <a:outerShdw blurRad="254000" sx="102000" sy="102000" algn="ctr" rotWithShape="0">
              <a:prstClr val="black">
                <a:alpha val="20000"/>
              </a:prstClr>
            </a:outerShdw>
          </a:effectLst>
        </c:spPr>
      </c:pivotFmt>
      <c:pivotFmt>
        <c:idx val="3474"/>
        <c:spPr>
          <a:solidFill>
            <a:schemeClr val="accent6"/>
          </a:solidFill>
          <a:ln>
            <a:noFill/>
          </a:ln>
          <a:effectLst>
            <a:outerShdw blurRad="254000" sx="102000" sy="102000" algn="ctr" rotWithShape="0">
              <a:prstClr val="black">
                <a:alpha val="20000"/>
              </a:prstClr>
            </a:outerShdw>
          </a:effectLst>
        </c:spPr>
      </c:pivotFmt>
      <c:pivotFmt>
        <c:idx val="3475"/>
        <c:spPr>
          <a:solidFill>
            <a:schemeClr val="accent6"/>
          </a:solidFill>
          <a:ln>
            <a:noFill/>
          </a:ln>
          <a:effectLst>
            <a:outerShdw blurRad="254000" sx="102000" sy="102000" algn="ctr" rotWithShape="0">
              <a:prstClr val="black">
                <a:alpha val="20000"/>
              </a:prstClr>
            </a:outerShdw>
          </a:effectLst>
        </c:spPr>
      </c:pivotFmt>
      <c:pivotFmt>
        <c:idx val="3476"/>
        <c:spPr>
          <a:solidFill>
            <a:schemeClr val="accent6"/>
          </a:solidFill>
          <a:ln>
            <a:noFill/>
          </a:ln>
          <a:effectLst>
            <a:outerShdw blurRad="254000" sx="102000" sy="102000" algn="ctr" rotWithShape="0">
              <a:prstClr val="black">
                <a:alpha val="20000"/>
              </a:prstClr>
            </a:outerShdw>
          </a:effectLst>
        </c:spPr>
      </c:pivotFmt>
      <c:pivotFmt>
        <c:idx val="3477"/>
        <c:spPr>
          <a:solidFill>
            <a:schemeClr val="accent6"/>
          </a:solidFill>
          <a:ln>
            <a:noFill/>
          </a:ln>
          <a:effectLst>
            <a:outerShdw blurRad="254000" sx="102000" sy="102000" algn="ctr" rotWithShape="0">
              <a:prstClr val="black">
                <a:alpha val="20000"/>
              </a:prstClr>
            </a:outerShdw>
          </a:effectLst>
        </c:spPr>
      </c:pivotFmt>
      <c:pivotFmt>
        <c:idx val="3478"/>
        <c:spPr>
          <a:solidFill>
            <a:schemeClr val="accent6"/>
          </a:solidFill>
          <a:ln>
            <a:noFill/>
          </a:ln>
          <a:effectLst>
            <a:outerShdw blurRad="254000" sx="102000" sy="102000" algn="ctr" rotWithShape="0">
              <a:prstClr val="black">
                <a:alpha val="20000"/>
              </a:prstClr>
            </a:outerShdw>
          </a:effectLst>
        </c:spPr>
      </c:pivotFmt>
      <c:pivotFmt>
        <c:idx val="3479"/>
        <c:spPr>
          <a:solidFill>
            <a:schemeClr val="accent6"/>
          </a:solidFill>
          <a:ln>
            <a:noFill/>
          </a:ln>
          <a:effectLst>
            <a:outerShdw blurRad="254000" sx="102000" sy="102000" algn="ctr" rotWithShape="0">
              <a:prstClr val="black">
                <a:alpha val="20000"/>
              </a:prstClr>
            </a:outerShdw>
          </a:effectLst>
        </c:spPr>
      </c:pivotFmt>
      <c:pivotFmt>
        <c:idx val="3480"/>
        <c:spPr>
          <a:solidFill>
            <a:schemeClr val="accent6"/>
          </a:solidFill>
          <a:ln>
            <a:noFill/>
          </a:ln>
          <a:effectLst>
            <a:outerShdw blurRad="254000" sx="102000" sy="102000" algn="ctr" rotWithShape="0">
              <a:prstClr val="black">
                <a:alpha val="20000"/>
              </a:prstClr>
            </a:outerShdw>
          </a:effectLst>
        </c:spPr>
      </c:pivotFmt>
      <c:pivotFmt>
        <c:idx val="3481"/>
        <c:spPr>
          <a:solidFill>
            <a:schemeClr val="accent6"/>
          </a:solidFill>
          <a:ln>
            <a:noFill/>
          </a:ln>
          <a:effectLst>
            <a:outerShdw blurRad="254000" sx="102000" sy="102000" algn="ctr" rotWithShape="0">
              <a:prstClr val="black">
                <a:alpha val="20000"/>
              </a:prstClr>
            </a:outerShdw>
          </a:effectLst>
        </c:spPr>
      </c:pivotFmt>
      <c:pivotFmt>
        <c:idx val="348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483"/>
        <c:spPr>
          <a:solidFill>
            <a:schemeClr val="accent6"/>
          </a:solidFill>
          <a:ln>
            <a:noFill/>
          </a:ln>
          <a:effectLst>
            <a:outerShdw blurRad="254000" sx="102000" sy="102000" algn="ctr" rotWithShape="0">
              <a:prstClr val="black">
                <a:alpha val="20000"/>
              </a:prstClr>
            </a:outerShdw>
          </a:effectLst>
        </c:spPr>
      </c:pivotFmt>
      <c:pivotFmt>
        <c:idx val="3484"/>
        <c:spPr>
          <a:solidFill>
            <a:schemeClr val="accent6"/>
          </a:solidFill>
          <a:ln>
            <a:noFill/>
          </a:ln>
          <a:effectLst>
            <a:outerShdw blurRad="254000" sx="102000" sy="102000" algn="ctr" rotWithShape="0">
              <a:prstClr val="black">
                <a:alpha val="20000"/>
              </a:prstClr>
            </a:outerShdw>
          </a:effectLst>
        </c:spPr>
      </c:pivotFmt>
      <c:pivotFmt>
        <c:idx val="3485"/>
        <c:spPr>
          <a:solidFill>
            <a:schemeClr val="accent6"/>
          </a:solidFill>
          <a:ln>
            <a:noFill/>
          </a:ln>
          <a:effectLst>
            <a:outerShdw blurRad="254000" sx="102000" sy="102000" algn="ctr" rotWithShape="0">
              <a:prstClr val="black">
                <a:alpha val="20000"/>
              </a:prstClr>
            </a:outerShdw>
          </a:effectLst>
        </c:spPr>
      </c:pivotFmt>
      <c:pivotFmt>
        <c:idx val="3486"/>
        <c:spPr>
          <a:solidFill>
            <a:schemeClr val="accent6"/>
          </a:solidFill>
          <a:ln>
            <a:noFill/>
          </a:ln>
          <a:effectLst>
            <a:outerShdw blurRad="254000" sx="102000" sy="102000" algn="ctr" rotWithShape="0">
              <a:prstClr val="black">
                <a:alpha val="20000"/>
              </a:prstClr>
            </a:outerShdw>
          </a:effectLst>
        </c:spPr>
      </c:pivotFmt>
      <c:pivotFmt>
        <c:idx val="3487"/>
        <c:spPr>
          <a:solidFill>
            <a:schemeClr val="accent6"/>
          </a:solidFill>
          <a:ln>
            <a:noFill/>
          </a:ln>
          <a:effectLst>
            <a:outerShdw blurRad="254000" sx="102000" sy="102000" algn="ctr" rotWithShape="0">
              <a:prstClr val="black">
                <a:alpha val="20000"/>
              </a:prstClr>
            </a:outerShdw>
          </a:effectLst>
        </c:spPr>
      </c:pivotFmt>
      <c:pivotFmt>
        <c:idx val="3488"/>
        <c:spPr>
          <a:solidFill>
            <a:schemeClr val="accent6"/>
          </a:solidFill>
          <a:ln>
            <a:noFill/>
          </a:ln>
          <a:effectLst>
            <a:outerShdw blurRad="254000" sx="102000" sy="102000" algn="ctr" rotWithShape="0">
              <a:prstClr val="black">
                <a:alpha val="20000"/>
              </a:prstClr>
            </a:outerShdw>
          </a:effectLst>
        </c:spPr>
      </c:pivotFmt>
      <c:pivotFmt>
        <c:idx val="3489"/>
        <c:spPr>
          <a:solidFill>
            <a:schemeClr val="accent6"/>
          </a:solidFill>
          <a:ln>
            <a:noFill/>
          </a:ln>
          <a:effectLst>
            <a:outerShdw blurRad="254000" sx="102000" sy="102000" algn="ctr" rotWithShape="0">
              <a:prstClr val="black">
                <a:alpha val="20000"/>
              </a:prstClr>
            </a:outerShdw>
          </a:effectLst>
        </c:spPr>
      </c:pivotFmt>
      <c:pivotFmt>
        <c:idx val="3490"/>
        <c:spPr>
          <a:solidFill>
            <a:schemeClr val="accent6"/>
          </a:solidFill>
          <a:ln>
            <a:noFill/>
          </a:ln>
          <a:effectLst>
            <a:outerShdw blurRad="254000" sx="102000" sy="102000" algn="ctr" rotWithShape="0">
              <a:prstClr val="black">
                <a:alpha val="20000"/>
              </a:prstClr>
            </a:outerShdw>
          </a:effectLst>
        </c:spPr>
      </c:pivotFmt>
      <c:pivotFmt>
        <c:idx val="3491"/>
        <c:spPr>
          <a:solidFill>
            <a:schemeClr val="accent6"/>
          </a:solidFill>
          <a:ln>
            <a:noFill/>
          </a:ln>
          <a:effectLst>
            <a:outerShdw blurRad="254000" sx="102000" sy="102000" algn="ctr" rotWithShape="0">
              <a:prstClr val="black">
                <a:alpha val="20000"/>
              </a:prstClr>
            </a:outerShdw>
          </a:effectLst>
        </c:spPr>
      </c:pivotFmt>
      <c:pivotFmt>
        <c:idx val="34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493"/>
        <c:spPr>
          <a:solidFill>
            <a:schemeClr val="accent6"/>
          </a:solidFill>
          <a:ln>
            <a:noFill/>
          </a:ln>
          <a:effectLst>
            <a:outerShdw blurRad="254000" sx="102000" sy="102000" algn="ctr" rotWithShape="0">
              <a:prstClr val="black">
                <a:alpha val="20000"/>
              </a:prstClr>
            </a:outerShdw>
          </a:effectLst>
        </c:spPr>
      </c:pivotFmt>
      <c:pivotFmt>
        <c:idx val="3494"/>
        <c:spPr>
          <a:solidFill>
            <a:schemeClr val="accent6"/>
          </a:solidFill>
          <a:ln>
            <a:noFill/>
          </a:ln>
          <a:effectLst>
            <a:outerShdw blurRad="254000" sx="102000" sy="102000" algn="ctr" rotWithShape="0">
              <a:prstClr val="black">
                <a:alpha val="20000"/>
              </a:prstClr>
            </a:outerShdw>
          </a:effectLst>
        </c:spPr>
      </c:pivotFmt>
      <c:pivotFmt>
        <c:idx val="3495"/>
        <c:spPr>
          <a:solidFill>
            <a:schemeClr val="accent6"/>
          </a:solidFill>
          <a:ln>
            <a:noFill/>
          </a:ln>
          <a:effectLst>
            <a:outerShdw blurRad="254000" sx="102000" sy="102000" algn="ctr" rotWithShape="0">
              <a:prstClr val="black">
                <a:alpha val="20000"/>
              </a:prstClr>
            </a:outerShdw>
          </a:effectLst>
        </c:spPr>
      </c:pivotFmt>
      <c:pivotFmt>
        <c:idx val="3496"/>
        <c:spPr>
          <a:solidFill>
            <a:schemeClr val="accent6"/>
          </a:solidFill>
          <a:ln>
            <a:noFill/>
          </a:ln>
          <a:effectLst>
            <a:outerShdw blurRad="254000" sx="102000" sy="102000" algn="ctr" rotWithShape="0">
              <a:prstClr val="black">
                <a:alpha val="20000"/>
              </a:prstClr>
            </a:outerShdw>
          </a:effectLst>
        </c:spPr>
      </c:pivotFmt>
      <c:pivotFmt>
        <c:idx val="3497"/>
        <c:spPr>
          <a:solidFill>
            <a:schemeClr val="accent6"/>
          </a:solidFill>
          <a:ln>
            <a:noFill/>
          </a:ln>
          <a:effectLst>
            <a:outerShdw blurRad="254000" sx="102000" sy="102000" algn="ctr" rotWithShape="0">
              <a:prstClr val="black">
                <a:alpha val="20000"/>
              </a:prstClr>
            </a:outerShdw>
          </a:effectLst>
        </c:spPr>
      </c:pivotFmt>
      <c:pivotFmt>
        <c:idx val="3498"/>
        <c:spPr>
          <a:solidFill>
            <a:schemeClr val="accent6"/>
          </a:solidFill>
          <a:ln>
            <a:noFill/>
          </a:ln>
          <a:effectLst>
            <a:outerShdw blurRad="254000" sx="102000" sy="102000" algn="ctr" rotWithShape="0">
              <a:prstClr val="black">
                <a:alpha val="20000"/>
              </a:prstClr>
            </a:outerShdw>
          </a:effectLst>
        </c:spPr>
      </c:pivotFmt>
      <c:pivotFmt>
        <c:idx val="3499"/>
        <c:spPr>
          <a:solidFill>
            <a:schemeClr val="accent6"/>
          </a:solidFill>
          <a:ln>
            <a:noFill/>
          </a:ln>
          <a:effectLst>
            <a:outerShdw blurRad="254000" sx="102000" sy="102000" algn="ctr" rotWithShape="0">
              <a:prstClr val="black">
                <a:alpha val="20000"/>
              </a:prstClr>
            </a:outerShdw>
          </a:effectLst>
        </c:spPr>
      </c:pivotFmt>
      <c:pivotFmt>
        <c:idx val="3500"/>
        <c:spPr>
          <a:solidFill>
            <a:schemeClr val="accent6"/>
          </a:solidFill>
          <a:ln>
            <a:noFill/>
          </a:ln>
          <a:effectLst>
            <a:outerShdw blurRad="254000" sx="102000" sy="102000" algn="ctr" rotWithShape="0">
              <a:prstClr val="black">
                <a:alpha val="20000"/>
              </a:prstClr>
            </a:outerShdw>
          </a:effectLst>
        </c:spPr>
      </c:pivotFmt>
      <c:pivotFmt>
        <c:idx val="3501"/>
        <c:spPr>
          <a:solidFill>
            <a:schemeClr val="accent6"/>
          </a:solidFill>
          <a:ln>
            <a:noFill/>
          </a:ln>
          <a:effectLst>
            <a:outerShdw blurRad="254000" sx="102000" sy="102000" algn="ctr" rotWithShape="0">
              <a:prstClr val="black">
                <a:alpha val="20000"/>
              </a:prstClr>
            </a:outerShdw>
          </a:effectLst>
        </c:spPr>
      </c:pivotFmt>
      <c:pivotFmt>
        <c:idx val="350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03"/>
        <c:spPr>
          <a:solidFill>
            <a:schemeClr val="accent6"/>
          </a:solidFill>
          <a:ln>
            <a:noFill/>
          </a:ln>
          <a:effectLst>
            <a:outerShdw blurRad="254000" sx="102000" sy="102000" algn="ctr" rotWithShape="0">
              <a:prstClr val="black">
                <a:alpha val="20000"/>
              </a:prstClr>
            </a:outerShdw>
          </a:effectLst>
        </c:spPr>
      </c:pivotFmt>
      <c:pivotFmt>
        <c:idx val="3504"/>
        <c:spPr>
          <a:solidFill>
            <a:schemeClr val="accent6"/>
          </a:solidFill>
          <a:ln>
            <a:noFill/>
          </a:ln>
          <a:effectLst>
            <a:outerShdw blurRad="254000" sx="102000" sy="102000" algn="ctr" rotWithShape="0">
              <a:prstClr val="black">
                <a:alpha val="20000"/>
              </a:prstClr>
            </a:outerShdw>
          </a:effectLst>
        </c:spPr>
      </c:pivotFmt>
      <c:pivotFmt>
        <c:idx val="3505"/>
        <c:spPr>
          <a:solidFill>
            <a:schemeClr val="accent6"/>
          </a:solidFill>
          <a:ln>
            <a:noFill/>
          </a:ln>
          <a:effectLst>
            <a:outerShdw blurRad="254000" sx="102000" sy="102000" algn="ctr" rotWithShape="0">
              <a:prstClr val="black">
                <a:alpha val="20000"/>
              </a:prstClr>
            </a:outerShdw>
          </a:effectLst>
        </c:spPr>
      </c:pivotFmt>
      <c:pivotFmt>
        <c:idx val="3506"/>
        <c:spPr>
          <a:solidFill>
            <a:schemeClr val="accent6"/>
          </a:solidFill>
          <a:ln>
            <a:noFill/>
          </a:ln>
          <a:effectLst>
            <a:outerShdw blurRad="254000" sx="102000" sy="102000" algn="ctr" rotWithShape="0">
              <a:prstClr val="black">
                <a:alpha val="20000"/>
              </a:prstClr>
            </a:outerShdw>
          </a:effectLst>
        </c:spPr>
      </c:pivotFmt>
      <c:pivotFmt>
        <c:idx val="3507"/>
        <c:spPr>
          <a:solidFill>
            <a:schemeClr val="accent6"/>
          </a:solidFill>
          <a:ln>
            <a:noFill/>
          </a:ln>
          <a:effectLst>
            <a:outerShdw blurRad="254000" sx="102000" sy="102000" algn="ctr" rotWithShape="0">
              <a:prstClr val="black">
                <a:alpha val="20000"/>
              </a:prstClr>
            </a:outerShdw>
          </a:effectLst>
        </c:spPr>
      </c:pivotFmt>
      <c:pivotFmt>
        <c:idx val="3508"/>
        <c:spPr>
          <a:solidFill>
            <a:schemeClr val="accent6"/>
          </a:solidFill>
          <a:ln>
            <a:noFill/>
          </a:ln>
          <a:effectLst>
            <a:outerShdw blurRad="254000" sx="102000" sy="102000" algn="ctr" rotWithShape="0">
              <a:prstClr val="black">
                <a:alpha val="20000"/>
              </a:prstClr>
            </a:outerShdw>
          </a:effectLst>
        </c:spPr>
      </c:pivotFmt>
      <c:pivotFmt>
        <c:idx val="3509"/>
        <c:spPr>
          <a:solidFill>
            <a:schemeClr val="accent6"/>
          </a:solidFill>
          <a:ln>
            <a:noFill/>
          </a:ln>
          <a:effectLst>
            <a:outerShdw blurRad="254000" sx="102000" sy="102000" algn="ctr" rotWithShape="0">
              <a:prstClr val="black">
                <a:alpha val="20000"/>
              </a:prstClr>
            </a:outerShdw>
          </a:effectLst>
        </c:spPr>
      </c:pivotFmt>
      <c:pivotFmt>
        <c:idx val="3510"/>
        <c:spPr>
          <a:solidFill>
            <a:schemeClr val="accent6"/>
          </a:solidFill>
          <a:ln>
            <a:noFill/>
          </a:ln>
          <a:effectLst>
            <a:outerShdw blurRad="254000" sx="102000" sy="102000" algn="ctr" rotWithShape="0">
              <a:prstClr val="black">
                <a:alpha val="20000"/>
              </a:prstClr>
            </a:outerShdw>
          </a:effectLst>
        </c:spPr>
      </c:pivotFmt>
      <c:pivotFmt>
        <c:idx val="3511"/>
        <c:spPr>
          <a:solidFill>
            <a:schemeClr val="accent6"/>
          </a:solidFill>
          <a:ln>
            <a:noFill/>
          </a:ln>
          <a:effectLst>
            <a:outerShdw blurRad="254000" sx="102000" sy="102000" algn="ctr" rotWithShape="0">
              <a:prstClr val="black">
                <a:alpha val="20000"/>
              </a:prstClr>
            </a:outerShdw>
          </a:effectLst>
        </c:spPr>
      </c:pivotFmt>
      <c:pivotFmt>
        <c:idx val="351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13"/>
        <c:spPr>
          <a:solidFill>
            <a:schemeClr val="accent6"/>
          </a:solidFill>
          <a:ln>
            <a:noFill/>
          </a:ln>
          <a:effectLst>
            <a:outerShdw blurRad="254000" sx="102000" sy="102000" algn="ctr" rotWithShape="0">
              <a:prstClr val="black">
                <a:alpha val="20000"/>
              </a:prstClr>
            </a:outerShdw>
          </a:effectLst>
        </c:spPr>
      </c:pivotFmt>
      <c:pivotFmt>
        <c:idx val="3514"/>
        <c:spPr>
          <a:solidFill>
            <a:schemeClr val="accent6"/>
          </a:solidFill>
          <a:ln>
            <a:noFill/>
          </a:ln>
          <a:effectLst>
            <a:outerShdw blurRad="254000" sx="102000" sy="102000" algn="ctr" rotWithShape="0">
              <a:prstClr val="black">
                <a:alpha val="20000"/>
              </a:prstClr>
            </a:outerShdw>
          </a:effectLst>
        </c:spPr>
      </c:pivotFmt>
      <c:pivotFmt>
        <c:idx val="3515"/>
        <c:spPr>
          <a:solidFill>
            <a:schemeClr val="accent6"/>
          </a:solidFill>
          <a:ln>
            <a:noFill/>
          </a:ln>
          <a:effectLst>
            <a:outerShdw blurRad="254000" sx="102000" sy="102000" algn="ctr" rotWithShape="0">
              <a:prstClr val="black">
                <a:alpha val="20000"/>
              </a:prstClr>
            </a:outerShdw>
          </a:effectLst>
        </c:spPr>
      </c:pivotFmt>
      <c:pivotFmt>
        <c:idx val="3516"/>
        <c:spPr>
          <a:solidFill>
            <a:schemeClr val="accent6"/>
          </a:solidFill>
          <a:ln>
            <a:noFill/>
          </a:ln>
          <a:effectLst>
            <a:outerShdw blurRad="254000" sx="102000" sy="102000" algn="ctr" rotWithShape="0">
              <a:prstClr val="black">
                <a:alpha val="20000"/>
              </a:prstClr>
            </a:outerShdw>
          </a:effectLst>
        </c:spPr>
      </c:pivotFmt>
      <c:pivotFmt>
        <c:idx val="3517"/>
        <c:spPr>
          <a:solidFill>
            <a:schemeClr val="accent6"/>
          </a:solidFill>
          <a:ln>
            <a:noFill/>
          </a:ln>
          <a:effectLst>
            <a:outerShdw blurRad="254000" sx="102000" sy="102000" algn="ctr" rotWithShape="0">
              <a:prstClr val="black">
                <a:alpha val="20000"/>
              </a:prstClr>
            </a:outerShdw>
          </a:effectLst>
        </c:spPr>
      </c:pivotFmt>
      <c:pivotFmt>
        <c:idx val="3518"/>
        <c:spPr>
          <a:solidFill>
            <a:schemeClr val="accent6"/>
          </a:solidFill>
          <a:ln>
            <a:noFill/>
          </a:ln>
          <a:effectLst>
            <a:outerShdw blurRad="254000" sx="102000" sy="102000" algn="ctr" rotWithShape="0">
              <a:prstClr val="black">
                <a:alpha val="20000"/>
              </a:prstClr>
            </a:outerShdw>
          </a:effectLst>
        </c:spPr>
      </c:pivotFmt>
      <c:pivotFmt>
        <c:idx val="3519"/>
        <c:spPr>
          <a:solidFill>
            <a:schemeClr val="accent6"/>
          </a:solidFill>
          <a:ln>
            <a:noFill/>
          </a:ln>
          <a:effectLst>
            <a:outerShdw blurRad="254000" sx="102000" sy="102000" algn="ctr" rotWithShape="0">
              <a:prstClr val="black">
                <a:alpha val="20000"/>
              </a:prstClr>
            </a:outerShdw>
          </a:effectLst>
        </c:spPr>
      </c:pivotFmt>
      <c:pivotFmt>
        <c:idx val="3520"/>
        <c:spPr>
          <a:solidFill>
            <a:schemeClr val="accent6"/>
          </a:solidFill>
          <a:ln>
            <a:noFill/>
          </a:ln>
          <a:effectLst>
            <a:outerShdw blurRad="254000" sx="102000" sy="102000" algn="ctr" rotWithShape="0">
              <a:prstClr val="black">
                <a:alpha val="20000"/>
              </a:prstClr>
            </a:outerShdw>
          </a:effectLst>
        </c:spPr>
      </c:pivotFmt>
      <c:pivotFmt>
        <c:idx val="3521"/>
        <c:spPr>
          <a:solidFill>
            <a:schemeClr val="accent6"/>
          </a:solidFill>
          <a:ln>
            <a:noFill/>
          </a:ln>
          <a:effectLst>
            <a:outerShdw blurRad="254000" sx="102000" sy="102000" algn="ctr" rotWithShape="0">
              <a:prstClr val="black">
                <a:alpha val="20000"/>
              </a:prstClr>
            </a:outerShdw>
          </a:effectLst>
        </c:spPr>
      </c:pivotFmt>
      <c:pivotFmt>
        <c:idx val="352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23"/>
        <c:spPr>
          <a:solidFill>
            <a:schemeClr val="accent6"/>
          </a:solidFill>
          <a:ln>
            <a:noFill/>
          </a:ln>
          <a:effectLst>
            <a:outerShdw blurRad="254000" sx="102000" sy="102000" algn="ctr" rotWithShape="0">
              <a:prstClr val="black">
                <a:alpha val="20000"/>
              </a:prstClr>
            </a:outerShdw>
          </a:effectLst>
        </c:spPr>
      </c:pivotFmt>
      <c:pivotFmt>
        <c:idx val="3524"/>
        <c:spPr>
          <a:solidFill>
            <a:schemeClr val="accent6"/>
          </a:solidFill>
          <a:ln>
            <a:noFill/>
          </a:ln>
          <a:effectLst>
            <a:outerShdw blurRad="254000" sx="102000" sy="102000" algn="ctr" rotWithShape="0">
              <a:prstClr val="black">
                <a:alpha val="20000"/>
              </a:prstClr>
            </a:outerShdw>
          </a:effectLst>
        </c:spPr>
      </c:pivotFmt>
      <c:pivotFmt>
        <c:idx val="3525"/>
        <c:spPr>
          <a:solidFill>
            <a:schemeClr val="accent6"/>
          </a:solidFill>
          <a:ln>
            <a:noFill/>
          </a:ln>
          <a:effectLst>
            <a:outerShdw blurRad="254000" sx="102000" sy="102000" algn="ctr" rotWithShape="0">
              <a:prstClr val="black">
                <a:alpha val="20000"/>
              </a:prstClr>
            </a:outerShdw>
          </a:effectLst>
        </c:spPr>
      </c:pivotFmt>
      <c:pivotFmt>
        <c:idx val="3526"/>
        <c:spPr>
          <a:solidFill>
            <a:schemeClr val="accent6"/>
          </a:solidFill>
          <a:ln>
            <a:noFill/>
          </a:ln>
          <a:effectLst>
            <a:outerShdw blurRad="254000" sx="102000" sy="102000" algn="ctr" rotWithShape="0">
              <a:prstClr val="black">
                <a:alpha val="20000"/>
              </a:prstClr>
            </a:outerShdw>
          </a:effectLst>
        </c:spPr>
      </c:pivotFmt>
      <c:pivotFmt>
        <c:idx val="3527"/>
        <c:spPr>
          <a:solidFill>
            <a:schemeClr val="accent6"/>
          </a:solidFill>
          <a:ln>
            <a:noFill/>
          </a:ln>
          <a:effectLst>
            <a:outerShdw blurRad="254000" sx="102000" sy="102000" algn="ctr" rotWithShape="0">
              <a:prstClr val="black">
                <a:alpha val="20000"/>
              </a:prstClr>
            </a:outerShdw>
          </a:effectLst>
        </c:spPr>
      </c:pivotFmt>
      <c:pivotFmt>
        <c:idx val="3528"/>
        <c:spPr>
          <a:solidFill>
            <a:schemeClr val="accent6"/>
          </a:solidFill>
          <a:ln>
            <a:noFill/>
          </a:ln>
          <a:effectLst>
            <a:outerShdw blurRad="254000" sx="102000" sy="102000" algn="ctr" rotWithShape="0">
              <a:prstClr val="black">
                <a:alpha val="20000"/>
              </a:prstClr>
            </a:outerShdw>
          </a:effectLst>
        </c:spPr>
      </c:pivotFmt>
      <c:pivotFmt>
        <c:idx val="3529"/>
        <c:spPr>
          <a:solidFill>
            <a:schemeClr val="accent6"/>
          </a:solidFill>
          <a:ln>
            <a:noFill/>
          </a:ln>
          <a:effectLst>
            <a:outerShdw blurRad="254000" sx="102000" sy="102000" algn="ctr" rotWithShape="0">
              <a:prstClr val="black">
                <a:alpha val="20000"/>
              </a:prstClr>
            </a:outerShdw>
          </a:effectLst>
        </c:spPr>
      </c:pivotFmt>
      <c:pivotFmt>
        <c:idx val="3530"/>
        <c:spPr>
          <a:solidFill>
            <a:schemeClr val="accent6"/>
          </a:solidFill>
          <a:ln>
            <a:noFill/>
          </a:ln>
          <a:effectLst>
            <a:outerShdw blurRad="254000" sx="102000" sy="102000" algn="ctr" rotWithShape="0">
              <a:prstClr val="black">
                <a:alpha val="20000"/>
              </a:prstClr>
            </a:outerShdw>
          </a:effectLst>
        </c:spPr>
      </c:pivotFmt>
      <c:pivotFmt>
        <c:idx val="3531"/>
        <c:spPr>
          <a:solidFill>
            <a:schemeClr val="accent6"/>
          </a:solidFill>
          <a:ln>
            <a:noFill/>
          </a:ln>
          <a:effectLst>
            <a:outerShdw blurRad="254000" sx="102000" sy="102000" algn="ctr" rotWithShape="0">
              <a:prstClr val="black">
                <a:alpha val="20000"/>
              </a:prstClr>
            </a:outerShdw>
          </a:effectLst>
        </c:spPr>
      </c:pivotFmt>
      <c:pivotFmt>
        <c:idx val="353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33"/>
        <c:spPr>
          <a:solidFill>
            <a:schemeClr val="accent6"/>
          </a:solidFill>
          <a:ln>
            <a:noFill/>
          </a:ln>
          <a:effectLst>
            <a:outerShdw blurRad="254000" sx="102000" sy="102000" algn="ctr" rotWithShape="0">
              <a:prstClr val="black">
                <a:alpha val="20000"/>
              </a:prstClr>
            </a:outerShdw>
          </a:effectLst>
        </c:spPr>
      </c:pivotFmt>
      <c:pivotFmt>
        <c:idx val="3534"/>
        <c:spPr>
          <a:solidFill>
            <a:schemeClr val="accent6"/>
          </a:solidFill>
          <a:ln>
            <a:noFill/>
          </a:ln>
          <a:effectLst>
            <a:outerShdw blurRad="254000" sx="102000" sy="102000" algn="ctr" rotWithShape="0">
              <a:prstClr val="black">
                <a:alpha val="20000"/>
              </a:prstClr>
            </a:outerShdw>
          </a:effectLst>
        </c:spPr>
      </c:pivotFmt>
      <c:pivotFmt>
        <c:idx val="3535"/>
        <c:spPr>
          <a:solidFill>
            <a:schemeClr val="accent6"/>
          </a:solidFill>
          <a:ln>
            <a:noFill/>
          </a:ln>
          <a:effectLst>
            <a:outerShdw blurRad="254000" sx="102000" sy="102000" algn="ctr" rotWithShape="0">
              <a:prstClr val="black">
                <a:alpha val="20000"/>
              </a:prstClr>
            </a:outerShdw>
          </a:effectLst>
        </c:spPr>
      </c:pivotFmt>
      <c:pivotFmt>
        <c:idx val="3536"/>
        <c:spPr>
          <a:solidFill>
            <a:schemeClr val="accent6"/>
          </a:solidFill>
          <a:ln>
            <a:noFill/>
          </a:ln>
          <a:effectLst>
            <a:outerShdw blurRad="254000" sx="102000" sy="102000" algn="ctr" rotWithShape="0">
              <a:prstClr val="black">
                <a:alpha val="20000"/>
              </a:prstClr>
            </a:outerShdw>
          </a:effectLst>
        </c:spPr>
      </c:pivotFmt>
      <c:pivotFmt>
        <c:idx val="3537"/>
        <c:spPr>
          <a:solidFill>
            <a:schemeClr val="accent6"/>
          </a:solidFill>
          <a:ln>
            <a:noFill/>
          </a:ln>
          <a:effectLst>
            <a:outerShdw blurRad="254000" sx="102000" sy="102000" algn="ctr" rotWithShape="0">
              <a:prstClr val="black">
                <a:alpha val="20000"/>
              </a:prstClr>
            </a:outerShdw>
          </a:effectLst>
        </c:spPr>
      </c:pivotFmt>
      <c:pivotFmt>
        <c:idx val="3538"/>
        <c:spPr>
          <a:solidFill>
            <a:schemeClr val="accent6"/>
          </a:solidFill>
          <a:ln>
            <a:noFill/>
          </a:ln>
          <a:effectLst>
            <a:outerShdw blurRad="254000" sx="102000" sy="102000" algn="ctr" rotWithShape="0">
              <a:prstClr val="black">
                <a:alpha val="20000"/>
              </a:prstClr>
            </a:outerShdw>
          </a:effectLst>
        </c:spPr>
      </c:pivotFmt>
      <c:pivotFmt>
        <c:idx val="3539"/>
        <c:spPr>
          <a:solidFill>
            <a:schemeClr val="accent6"/>
          </a:solidFill>
          <a:ln>
            <a:noFill/>
          </a:ln>
          <a:effectLst>
            <a:outerShdw blurRad="254000" sx="102000" sy="102000" algn="ctr" rotWithShape="0">
              <a:prstClr val="black">
                <a:alpha val="20000"/>
              </a:prstClr>
            </a:outerShdw>
          </a:effectLst>
        </c:spPr>
      </c:pivotFmt>
      <c:pivotFmt>
        <c:idx val="3540"/>
        <c:spPr>
          <a:solidFill>
            <a:schemeClr val="accent6"/>
          </a:solidFill>
          <a:ln>
            <a:noFill/>
          </a:ln>
          <a:effectLst>
            <a:outerShdw blurRad="254000" sx="102000" sy="102000" algn="ctr" rotWithShape="0">
              <a:prstClr val="black">
                <a:alpha val="20000"/>
              </a:prstClr>
            </a:outerShdw>
          </a:effectLst>
        </c:spPr>
      </c:pivotFmt>
      <c:pivotFmt>
        <c:idx val="3541"/>
        <c:spPr>
          <a:solidFill>
            <a:schemeClr val="accent6"/>
          </a:solidFill>
          <a:ln>
            <a:noFill/>
          </a:ln>
          <a:effectLst>
            <a:outerShdw blurRad="254000" sx="102000" sy="102000" algn="ctr" rotWithShape="0">
              <a:prstClr val="black">
                <a:alpha val="20000"/>
              </a:prstClr>
            </a:outerShdw>
          </a:effectLst>
        </c:spPr>
      </c:pivotFmt>
      <c:pivotFmt>
        <c:idx val="354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43"/>
        <c:spPr>
          <a:solidFill>
            <a:schemeClr val="accent6"/>
          </a:solidFill>
          <a:ln>
            <a:noFill/>
          </a:ln>
          <a:effectLst>
            <a:outerShdw blurRad="254000" sx="102000" sy="102000" algn="ctr" rotWithShape="0">
              <a:prstClr val="black">
                <a:alpha val="20000"/>
              </a:prstClr>
            </a:outerShdw>
          </a:effectLst>
        </c:spPr>
      </c:pivotFmt>
      <c:pivotFmt>
        <c:idx val="3544"/>
        <c:spPr>
          <a:solidFill>
            <a:schemeClr val="accent6"/>
          </a:solidFill>
          <a:ln>
            <a:noFill/>
          </a:ln>
          <a:effectLst>
            <a:outerShdw blurRad="254000" sx="102000" sy="102000" algn="ctr" rotWithShape="0">
              <a:prstClr val="black">
                <a:alpha val="20000"/>
              </a:prstClr>
            </a:outerShdw>
          </a:effectLst>
        </c:spPr>
      </c:pivotFmt>
      <c:pivotFmt>
        <c:idx val="3545"/>
        <c:spPr>
          <a:solidFill>
            <a:schemeClr val="accent6"/>
          </a:solidFill>
          <a:ln>
            <a:noFill/>
          </a:ln>
          <a:effectLst>
            <a:outerShdw blurRad="254000" sx="102000" sy="102000" algn="ctr" rotWithShape="0">
              <a:prstClr val="black">
                <a:alpha val="20000"/>
              </a:prstClr>
            </a:outerShdw>
          </a:effectLst>
        </c:spPr>
      </c:pivotFmt>
      <c:pivotFmt>
        <c:idx val="3546"/>
        <c:spPr>
          <a:solidFill>
            <a:schemeClr val="accent6"/>
          </a:solidFill>
          <a:ln>
            <a:noFill/>
          </a:ln>
          <a:effectLst>
            <a:outerShdw blurRad="254000" sx="102000" sy="102000" algn="ctr" rotWithShape="0">
              <a:prstClr val="black">
                <a:alpha val="20000"/>
              </a:prstClr>
            </a:outerShdw>
          </a:effectLst>
        </c:spPr>
      </c:pivotFmt>
      <c:pivotFmt>
        <c:idx val="3547"/>
        <c:spPr>
          <a:solidFill>
            <a:schemeClr val="accent6"/>
          </a:solidFill>
          <a:ln>
            <a:noFill/>
          </a:ln>
          <a:effectLst>
            <a:outerShdw blurRad="254000" sx="102000" sy="102000" algn="ctr" rotWithShape="0">
              <a:prstClr val="black">
                <a:alpha val="20000"/>
              </a:prstClr>
            </a:outerShdw>
          </a:effectLst>
        </c:spPr>
      </c:pivotFmt>
      <c:pivotFmt>
        <c:idx val="3548"/>
        <c:spPr>
          <a:solidFill>
            <a:schemeClr val="accent6"/>
          </a:solidFill>
          <a:ln>
            <a:noFill/>
          </a:ln>
          <a:effectLst>
            <a:outerShdw blurRad="254000" sx="102000" sy="102000" algn="ctr" rotWithShape="0">
              <a:prstClr val="black">
                <a:alpha val="20000"/>
              </a:prstClr>
            </a:outerShdw>
          </a:effectLst>
        </c:spPr>
      </c:pivotFmt>
      <c:pivotFmt>
        <c:idx val="3549"/>
        <c:spPr>
          <a:solidFill>
            <a:schemeClr val="accent6"/>
          </a:solidFill>
          <a:ln>
            <a:noFill/>
          </a:ln>
          <a:effectLst>
            <a:outerShdw blurRad="254000" sx="102000" sy="102000" algn="ctr" rotWithShape="0">
              <a:prstClr val="black">
                <a:alpha val="20000"/>
              </a:prstClr>
            </a:outerShdw>
          </a:effectLst>
        </c:spPr>
      </c:pivotFmt>
      <c:pivotFmt>
        <c:idx val="3550"/>
        <c:spPr>
          <a:solidFill>
            <a:schemeClr val="accent6"/>
          </a:solidFill>
          <a:ln>
            <a:noFill/>
          </a:ln>
          <a:effectLst>
            <a:outerShdw blurRad="254000" sx="102000" sy="102000" algn="ctr" rotWithShape="0">
              <a:prstClr val="black">
                <a:alpha val="20000"/>
              </a:prstClr>
            </a:outerShdw>
          </a:effectLst>
        </c:spPr>
      </c:pivotFmt>
      <c:pivotFmt>
        <c:idx val="3551"/>
        <c:spPr>
          <a:solidFill>
            <a:schemeClr val="accent6"/>
          </a:solidFill>
          <a:ln>
            <a:noFill/>
          </a:ln>
          <a:effectLst>
            <a:outerShdw blurRad="254000" sx="102000" sy="102000" algn="ctr" rotWithShape="0">
              <a:prstClr val="black">
                <a:alpha val="20000"/>
              </a:prstClr>
            </a:outerShdw>
          </a:effectLst>
        </c:spPr>
      </c:pivotFmt>
      <c:pivotFmt>
        <c:idx val="355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53"/>
        <c:spPr>
          <a:solidFill>
            <a:schemeClr val="accent6"/>
          </a:solidFill>
          <a:ln>
            <a:noFill/>
          </a:ln>
          <a:effectLst>
            <a:outerShdw blurRad="254000" sx="102000" sy="102000" algn="ctr" rotWithShape="0">
              <a:prstClr val="black">
                <a:alpha val="20000"/>
              </a:prstClr>
            </a:outerShdw>
          </a:effectLst>
        </c:spPr>
      </c:pivotFmt>
      <c:pivotFmt>
        <c:idx val="3554"/>
        <c:spPr>
          <a:solidFill>
            <a:schemeClr val="accent6"/>
          </a:solidFill>
          <a:ln>
            <a:noFill/>
          </a:ln>
          <a:effectLst>
            <a:outerShdw blurRad="254000" sx="102000" sy="102000" algn="ctr" rotWithShape="0">
              <a:prstClr val="black">
                <a:alpha val="20000"/>
              </a:prstClr>
            </a:outerShdw>
          </a:effectLst>
        </c:spPr>
      </c:pivotFmt>
      <c:pivotFmt>
        <c:idx val="3555"/>
        <c:spPr>
          <a:solidFill>
            <a:schemeClr val="accent6"/>
          </a:solidFill>
          <a:ln>
            <a:noFill/>
          </a:ln>
          <a:effectLst>
            <a:outerShdw blurRad="254000" sx="102000" sy="102000" algn="ctr" rotWithShape="0">
              <a:prstClr val="black">
                <a:alpha val="20000"/>
              </a:prstClr>
            </a:outerShdw>
          </a:effectLst>
        </c:spPr>
      </c:pivotFmt>
      <c:pivotFmt>
        <c:idx val="3556"/>
        <c:spPr>
          <a:solidFill>
            <a:schemeClr val="accent6"/>
          </a:solidFill>
          <a:ln>
            <a:noFill/>
          </a:ln>
          <a:effectLst>
            <a:outerShdw blurRad="254000" sx="102000" sy="102000" algn="ctr" rotWithShape="0">
              <a:prstClr val="black">
                <a:alpha val="20000"/>
              </a:prstClr>
            </a:outerShdw>
          </a:effectLst>
        </c:spPr>
      </c:pivotFmt>
      <c:pivotFmt>
        <c:idx val="3557"/>
        <c:spPr>
          <a:solidFill>
            <a:schemeClr val="accent6"/>
          </a:solidFill>
          <a:ln>
            <a:noFill/>
          </a:ln>
          <a:effectLst>
            <a:outerShdw blurRad="254000" sx="102000" sy="102000" algn="ctr" rotWithShape="0">
              <a:prstClr val="black">
                <a:alpha val="20000"/>
              </a:prstClr>
            </a:outerShdw>
          </a:effectLst>
        </c:spPr>
      </c:pivotFmt>
      <c:pivotFmt>
        <c:idx val="3558"/>
        <c:spPr>
          <a:solidFill>
            <a:schemeClr val="accent6"/>
          </a:solidFill>
          <a:ln>
            <a:noFill/>
          </a:ln>
          <a:effectLst>
            <a:outerShdw blurRad="254000" sx="102000" sy="102000" algn="ctr" rotWithShape="0">
              <a:prstClr val="black">
                <a:alpha val="20000"/>
              </a:prstClr>
            </a:outerShdw>
          </a:effectLst>
        </c:spPr>
      </c:pivotFmt>
      <c:pivotFmt>
        <c:idx val="3559"/>
        <c:spPr>
          <a:solidFill>
            <a:schemeClr val="accent6"/>
          </a:solidFill>
          <a:ln>
            <a:noFill/>
          </a:ln>
          <a:effectLst>
            <a:outerShdw blurRad="254000" sx="102000" sy="102000" algn="ctr" rotWithShape="0">
              <a:prstClr val="black">
                <a:alpha val="20000"/>
              </a:prstClr>
            </a:outerShdw>
          </a:effectLst>
        </c:spPr>
      </c:pivotFmt>
      <c:pivotFmt>
        <c:idx val="3560"/>
        <c:spPr>
          <a:solidFill>
            <a:schemeClr val="accent6"/>
          </a:solidFill>
          <a:ln>
            <a:noFill/>
          </a:ln>
          <a:effectLst>
            <a:outerShdw blurRad="254000" sx="102000" sy="102000" algn="ctr" rotWithShape="0">
              <a:prstClr val="black">
                <a:alpha val="20000"/>
              </a:prstClr>
            </a:outerShdw>
          </a:effectLst>
        </c:spPr>
      </c:pivotFmt>
      <c:pivotFmt>
        <c:idx val="3561"/>
        <c:spPr>
          <a:solidFill>
            <a:schemeClr val="accent6"/>
          </a:solidFill>
          <a:ln>
            <a:noFill/>
          </a:ln>
          <a:effectLst>
            <a:outerShdw blurRad="254000" sx="102000" sy="102000" algn="ctr" rotWithShape="0">
              <a:prstClr val="black">
                <a:alpha val="20000"/>
              </a:prstClr>
            </a:outerShdw>
          </a:effectLst>
        </c:spPr>
      </c:pivotFmt>
      <c:pivotFmt>
        <c:idx val="356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63"/>
        <c:spPr>
          <a:solidFill>
            <a:schemeClr val="accent6"/>
          </a:solidFill>
          <a:ln>
            <a:noFill/>
          </a:ln>
          <a:effectLst>
            <a:outerShdw blurRad="254000" sx="102000" sy="102000" algn="ctr" rotWithShape="0">
              <a:prstClr val="black">
                <a:alpha val="20000"/>
              </a:prstClr>
            </a:outerShdw>
          </a:effectLst>
        </c:spPr>
      </c:pivotFmt>
      <c:pivotFmt>
        <c:idx val="3564"/>
        <c:spPr>
          <a:solidFill>
            <a:schemeClr val="accent6"/>
          </a:solidFill>
          <a:ln>
            <a:noFill/>
          </a:ln>
          <a:effectLst>
            <a:outerShdw blurRad="254000" sx="102000" sy="102000" algn="ctr" rotWithShape="0">
              <a:prstClr val="black">
                <a:alpha val="20000"/>
              </a:prstClr>
            </a:outerShdw>
          </a:effectLst>
        </c:spPr>
      </c:pivotFmt>
      <c:pivotFmt>
        <c:idx val="3565"/>
        <c:spPr>
          <a:solidFill>
            <a:schemeClr val="accent6"/>
          </a:solidFill>
          <a:ln>
            <a:noFill/>
          </a:ln>
          <a:effectLst>
            <a:outerShdw blurRad="254000" sx="102000" sy="102000" algn="ctr" rotWithShape="0">
              <a:prstClr val="black">
                <a:alpha val="20000"/>
              </a:prstClr>
            </a:outerShdw>
          </a:effectLst>
        </c:spPr>
      </c:pivotFmt>
      <c:pivotFmt>
        <c:idx val="3566"/>
        <c:spPr>
          <a:solidFill>
            <a:schemeClr val="accent6"/>
          </a:solidFill>
          <a:ln>
            <a:noFill/>
          </a:ln>
          <a:effectLst>
            <a:outerShdw blurRad="254000" sx="102000" sy="102000" algn="ctr" rotWithShape="0">
              <a:prstClr val="black">
                <a:alpha val="20000"/>
              </a:prstClr>
            </a:outerShdw>
          </a:effectLst>
        </c:spPr>
      </c:pivotFmt>
      <c:pivotFmt>
        <c:idx val="3567"/>
        <c:spPr>
          <a:solidFill>
            <a:schemeClr val="accent6"/>
          </a:solidFill>
          <a:ln>
            <a:noFill/>
          </a:ln>
          <a:effectLst>
            <a:outerShdw blurRad="254000" sx="102000" sy="102000" algn="ctr" rotWithShape="0">
              <a:prstClr val="black">
                <a:alpha val="20000"/>
              </a:prstClr>
            </a:outerShdw>
          </a:effectLst>
        </c:spPr>
      </c:pivotFmt>
      <c:pivotFmt>
        <c:idx val="3568"/>
        <c:spPr>
          <a:solidFill>
            <a:schemeClr val="accent5"/>
          </a:solidFill>
          <a:ln>
            <a:noFill/>
          </a:ln>
          <a:effectLst>
            <a:outerShdw blurRad="254000" sx="102000" sy="102000" algn="ctr" rotWithShape="0">
              <a:prstClr val="black">
                <a:alpha val="20000"/>
              </a:prstClr>
            </a:outerShdw>
          </a:effectLst>
        </c:spPr>
      </c:pivotFmt>
      <c:pivotFmt>
        <c:idx val="3569"/>
        <c:spPr>
          <a:solidFill>
            <a:schemeClr val="accent4"/>
          </a:solidFill>
          <a:ln>
            <a:noFill/>
          </a:ln>
          <a:effectLst>
            <a:outerShdw blurRad="254000" sx="102000" sy="102000" algn="ctr" rotWithShape="0">
              <a:prstClr val="black">
                <a:alpha val="20000"/>
              </a:prstClr>
            </a:outerShdw>
          </a:effectLst>
        </c:spPr>
      </c:pivotFmt>
      <c:pivotFmt>
        <c:idx val="3570"/>
        <c:spPr>
          <a:solidFill>
            <a:schemeClr val="accent6">
              <a:lumMod val="60000"/>
            </a:schemeClr>
          </a:solidFill>
          <a:ln>
            <a:noFill/>
          </a:ln>
          <a:effectLst>
            <a:outerShdw blurRad="254000" sx="102000" sy="102000" algn="ctr" rotWithShape="0">
              <a:prstClr val="black">
                <a:alpha val="20000"/>
              </a:prstClr>
            </a:outerShdw>
          </a:effectLst>
        </c:spPr>
      </c:pivotFmt>
      <c:pivotFmt>
        <c:idx val="3571"/>
        <c:spPr>
          <a:solidFill>
            <a:schemeClr val="accent5">
              <a:lumMod val="60000"/>
            </a:schemeClr>
          </a:solidFill>
          <a:ln>
            <a:noFill/>
          </a:ln>
          <a:effectLst>
            <a:outerShdw blurRad="254000" sx="102000" sy="102000" algn="ctr" rotWithShape="0">
              <a:prstClr val="black">
                <a:alpha val="20000"/>
              </a:prstClr>
            </a:outerShdw>
          </a:effectLst>
        </c:spPr>
      </c:pivotFmt>
      <c:pivotFmt>
        <c:idx val="357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73"/>
        <c:spPr>
          <a:solidFill>
            <a:schemeClr val="accent6"/>
          </a:solidFill>
          <a:ln>
            <a:noFill/>
          </a:ln>
          <a:effectLst>
            <a:outerShdw blurRad="254000" sx="102000" sy="102000" algn="ctr" rotWithShape="0">
              <a:prstClr val="black">
                <a:alpha val="20000"/>
              </a:prstClr>
            </a:outerShdw>
          </a:effectLst>
        </c:spPr>
      </c:pivotFmt>
      <c:pivotFmt>
        <c:idx val="3574"/>
        <c:spPr>
          <a:solidFill>
            <a:schemeClr val="accent6"/>
          </a:solidFill>
          <a:ln>
            <a:noFill/>
          </a:ln>
          <a:effectLst>
            <a:outerShdw blurRad="254000" sx="102000" sy="102000" algn="ctr" rotWithShape="0">
              <a:prstClr val="black">
                <a:alpha val="20000"/>
              </a:prstClr>
            </a:outerShdw>
          </a:effectLst>
        </c:spPr>
      </c:pivotFmt>
      <c:pivotFmt>
        <c:idx val="3575"/>
        <c:spPr>
          <a:solidFill>
            <a:schemeClr val="accent6"/>
          </a:solidFill>
          <a:ln>
            <a:noFill/>
          </a:ln>
          <a:effectLst>
            <a:outerShdw blurRad="254000" sx="102000" sy="102000" algn="ctr" rotWithShape="0">
              <a:prstClr val="black">
                <a:alpha val="20000"/>
              </a:prstClr>
            </a:outerShdw>
          </a:effectLst>
        </c:spPr>
      </c:pivotFmt>
      <c:pivotFmt>
        <c:idx val="3576"/>
        <c:spPr>
          <a:solidFill>
            <a:schemeClr val="accent6"/>
          </a:solidFill>
          <a:ln>
            <a:noFill/>
          </a:ln>
          <a:effectLst>
            <a:outerShdw blurRad="254000" sx="102000" sy="102000" algn="ctr" rotWithShape="0">
              <a:prstClr val="black">
                <a:alpha val="20000"/>
              </a:prstClr>
            </a:outerShdw>
          </a:effectLst>
        </c:spPr>
      </c:pivotFmt>
      <c:pivotFmt>
        <c:idx val="3577"/>
        <c:spPr>
          <a:solidFill>
            <a:schemeClr val="accent6"/>
          </a:solidFill>
          <a:ln>
            <a:noFill/>
          </a:ln>
          <a:effectLst>
            <a:outerShdw blurRad="254000" sx="102000" sy="102000" algn="ctr" rotWithShape="0">
              <a:prstClr val="black">
                <a:alpha val="20000"/>
              </a:prstClr>
            </a:outerShdw>
          </a:effectLst>
        </c:spPr>
      </c:pivotFmt>
      <c:pivotFmt>
        <c:idx val="3578"/>
        <c:spPr>
          <a:solidFill>
            <a:schemeClr val="accent6"/>
          </a:solidFill>
          <a:ln>
            <a:noFill/>
          </a:ln>
          <a:effectLst>
            <a:outerShdw blurRad="254000" sx="102000" sy="102000" algn="ctr" rotWithShape="0">
              <a:prstClr val="black">
                <a:alpha val="20000"/>
              </a:prstClr>
            </a:outerShdw>
          </a:effectLst>
        </c:spPr>
      </c:pivotFmt>
      <c:pivotFmt>
        <c:idx val="3579"/>
        <c:spPr>
          <a:solidFill>
            <a:schemeClr val="accent6"/>
          </a:solidFill>
          <a:ln>
            <a:noFill/>
          </a:ln>
          <a:effectLst>
            <a:outerShdw blurRad="254000" sx="102000" sy="102000" algn="ctr" rotWithShape="0">
              <a:prstClr val="black">
                <a:alpha val="20000"/>
              </a:prstClr>
            </a:outerShdw>
          </a:effectLst>
        </c:spPr>
      </c:pivotFmt>
      <c:pivotFmt>
        <c:idx val="3580"/>
        <c:spPr>
          <a:solidFill>
            <a:schemeClr val="accent6"/>
          </a:solidFill>
          <a:ln>
            <a:noFill/>
          </a:ln>
          <a:effectLst>
            <a:outerShdw blurRad="254000" sx="102000" sy="102000" algn="ctr" rotWithShape="0">
              <a:prstClr val="black">
                <a:alpha val="20000"/>
              </a:prstClr>
            </a:outerShdw>
          </a:effectLst>
        </c:spPr>
      </c:pivotFmt>
      <c:pivotFmt>
        <c:idx val="3581"/>
        <c:spPr>
          <a:solidFill>
            <a:schemeClr val="accent6"/>
          </a:solidFill>
          <a:ln>
            <a:noFill/>
          </a:ln>
          <a:effectLst>
            <a:outerShdw blurRad="254000" sx="102000" sy="102000" algn="ctr" rotWithShape="0">
              <a:prstClr val="black">
                <a:alpha val="20000"/>
              </a:prstClr>
            </a:outerShdw>
          </a:effectLst>
        </c:spPr>
      </c:pivotFmt>
      <c:pivotFmt>
        <c:idx val="358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83"/>
        <c:spPr>
          <a:solidFill>
            <a:schemeClr val="accent6"/>
          </a:solidFill>
          <a:ln>
            <a:noFill/>
          </a:ln>
          <a:effectLst>
            <a:outerShdw blurRad="254000" sx="102000" sy="102000" algn="ctr" rotWithShape="0">
              <a:prstClr val="black">
                <a:alpha val="20000"/>
              </a:prstClr>
            </a:outerShdw>
          </a:effectLst>
        </c:spPr>
      </c:pivotFmt>
      <c:pivotFmt>
        <c:idx val="3584"/>
        <c:spPr>
          <a:solidFill>
            <a:schemeClr val="accent6"/>
          </a:solidFill>
          <a:ln>
            <a:noFill/>
          </a:ln>
          <a:effectLst>
            <a:outerShdw blurRad="254000" sx="102000" sy="102000" algn="ctr" rotWithShape="0">
              <a:prstClr val="black">
                <a:alpha val="20000"/>
              </a:prstClr>
            </a:outerShdw>
          </a:effectLst>
        </c:spPr>
      </c:pivotFmt>
      <c:pivotFmt>
        <c:idx val="3585"/>
        <c:spPr>
          <a:solidFill>
            <a:schemeClr val="accent6"/>
          </a:solidFill>
          <a:ln>
            <a:noFill/>
          </a:ln>
          <a:effectLst>
            <a:outerShdw blurRad="254000" sx="102000" sy="102000" algn="ctr" rotWithShape="0">
              <a:prstClr val="black">
                <a:alpha val="20000"/>
              </a:prstClr>
            </a:outerShdw>
          </a:effectLst>
        </c:spPr>
      </c:pivotFmt>
      <c:pivotFmt>
        <c:idx val="3586"/>
        <c:spPr>
          <a:solidFill>
            <a:schemeClr val="accent6"/>
          </a:solidFill>
          <a:ln>
            <a:noFill/>
          </a:ln>
          <a:effectLst>
            <a:outerShdw blurRad="254000" sx="102000" sy="102000" algn="ctr" rotWithShape="0">
              <a:prstClr val="black">
                <a:alpha val="20000"/>
              </a:prstClr>
            </a:outerShdw>
          </a:effectLst>
        </c:spPr>
      </c:pivotFmt>
      <c:pivotFmt>
        <c:idx val="3587"/>
        <c:spPr>
          <a:solidFill>
            <a:schemeClr val="accent6"/>
          </a:solidFill>
          <a:ln>
            <a:noFill/>
          </a:ln>
          <a:effectLst>
            <a:outerShdw blurRad="254000" sx="102000" sy="102000" algn="ctr" rotWithShape="0">
              <a:prstClr val="black">
                <a:alpha val="20000"/>
              </a:prstClr>
            </a:outerShdw>
          </a:effectLst>
        </c:spPr>
      </c:pivotFmt>
      <c:pivotFmt>
        <c:idx val="3588"/>
        <c:spPr>
          <a:solidFill>
            <a:schemeClr val="accent6"/>
          </a:solidFill>
          <a:ln>
            <a:noFill/>
          </a:ln>
          <a:effectLst>
            <a:outerShdw blurRad="254000" sx="102000" sy="102000" algn="ctr" rotWithShape="0">
              <a:prstClr val="black">
                <a:alpha val="20000"/>
              </a:prstClr>
            </a:outerShdw>
          </a:effectLst>
        </c:spPr>
      </c:pivotFmt>
      <c:pivotFmt>
        <c:idx val="3589"/>
        <c:spPr>
          <a:solidFill>
            <a:schemeClr val="accent6"/>
          </a:solidFill>
          <a:ln>
            <a:noFill/>
          </a:ln>
          <a:effectLst>
            <a:outerShdw blurRad="254000" sx="102000" sy="102000" algn="ctr" rotWithShape="0">
              <a:prstClr val="black">
                <a:alpha val="20000"/>
              </a:prstClr>
            </a:outerShdw>
          </a:effectLst>
        </c:spPr>
      </c:pivotFmt>
      <c:pivotFmt>
        <c:idx val="3590"/>
        <c:spPr>
          <a:solidFill>
            <a:schemeClr val="accent6"/>
          </a:solidFill>
          <a:ln>
            <a:noFill/>
          </a:ln>
          <a:effectLst>
            <a:outerShdw blurRad="254000" sx="102000" sy="102000" algn="ctr" rotWithShape="0">
              <a:prstClr val="black">
                <a:alpha val="20000"/>
              </a:prstClr>
            </a:outerShdw>
          </a:effectLst>
        </c:spPr>
      </c:pivotFmt>
      <c:pivotFmt>
        <c:idx val="3591"/>
        <c:spPr>
          <a:solidFill>
            <a:schemeClr val="accent6"/>
          </a:solidFill>
          <a:ln>
            <a:noFill/>
          </a:ln>
          <a:effectLst>
            <a:outerShdw blurRad="254000" sx="102000" sy="102000" algn="ctr" rotWithShape="0">
              <a:prstClr val="black">
                <a:alpha val="20000"/>
              </a:prstClr>
            </a:outerShdw>
          </a:effectLst>
        </c:spPr>
      </c:pivotFmt>
      <c:pivotFmt>
        <c:idx val="35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9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9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9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9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9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9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59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0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1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1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12"/>
        <c:spPr>
          <a:solidFill>
            <a:schemeClr val="accent6"/>
          </a:solidFill>
          <a:ln>
            <a:noFill/>
          </a:ln>
          <a:effectLst>
            <a:outerShdw blurRad="254000" sx="102000" sy="102000" algn="ctr" rotWithShape="0">
              <a:prstClr val="black">
                <a:alpha val="20000"/>
              </a:prstClr>
            </a:outerShdw>
          </a:effectLst>
        </c:spPr>
      </c:pivotFmt>
      <c:pivotFmt>
        <c:idx val="3613"/>
        <c:spPr>
          <a:solidFill>
            <a:schemeClr val="accent6"/>
          </a:solidFill>
          <a:ln>
            <a:noFill/>
          </a:ln>
          <a:effectLst>
            <a:outerShdw blurRad="254000" sx="102000" sy="102000" algn="ctr" rotWithShape="0">
              <a:prstClr val="black">
                <a:alpha val="20000"/>
              </a:prstClr>
            </a:outerShdw>
          </a:effectLst>
        </c:spPr>
      </c:pivotFmt>
      <c:pivotFmt>
        <c:idx val="3614"/>
        <c:spPr>
          <a:solidFill>
            <a:schemeClr val="accent6"/>
          </a:solidFill>
          <a:ln>
            <a:noFill/>
          </a:ln>
          <a:effectLst>
            <a:outerShdw blurRad="254000" sx="102000" sy="102000" algn="ctr" rotWithShape="0">
              <a:prstClr val="black">
                <a:alpha val="20000"/>
              </a:prstClr>
            </a:outerShdw>
          </a:effectLst>
        </c:spPr>
      </c:pivotFmt>
      <c:pivotFmt>
        <c:idx val="3615"/>
        <c:spPr>
          <a:solidFill>
            <a:schemeClr val="accent6"/>
          </a:solidFill>
          <a:ln>
            <a:noFill/>
          </a:ln>
          <a:effectLst>
            <a:outerShdw blurRad="254000" sx="102000" sy="102000" algn="ctr" rotWithShape="0">
              <a:prstClr val="black">
                <a:alpha val="20000"/>
              </a:prstClr>
            </a:outerShdw>
          </a:effectLst>
        </c:spPr>
      </c:pivotFmt>
      <c:pivotFmt>
        <c:idx val="3616"/>
        <c:spPr>
          <a:solidFill>
            <a:schemeClr val="accent6"/>
          </a:solidFill>
          <a:ln>
            <a:noFill/>
          </a:ln>
          <a:effectLst>
            <a:outerShdw blurRad="254000" sx="102000" sy="102000" algn="ctr" rotWithShape="0">
              <a:prstClr val="black">
                <a:alpha val="20000"/>
              </a:prstClr>
            </a:outerShdw>
          </a:effectLst>
        </c:spPr>
      </c:pivotFmt>
      <c:pivotFmt>
        <c:idx val="361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1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1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29"/>
        <c:spPr>
          <a:solidFill>
            <a:schemeClr val="accent6"/>
          </a:solidFill>
          <a:ln>
            <a:noFill/>
          </a:ln>
          <a:effectLst>
            <a:outerShdw blurRad="254000" sx="102000" sy="102000" algn="ctr" rotWithShape="0">
              <a:prstClr val="black">
                <a:alpha val="20000"/>
              </a:prstClr>
            </a:outerShdw>
          </a:effectLst>
        </c:spPr>
      </c:pivotFmt>
      <c:pivotFmt>
        <c:idx val="3630"/>
        <c:spPr>
          <a:solidFill>
            <a:schemeClr val="accent6"/>
          </a:solidFill>
          <a:ln>
            <a:noFill/>
          </a:ln>
          <a:effectLst>
            <a:outerShdw blurRad="254000" sx="102000" sy="102000" algn="ctr" rotWithShape="0">
              <a:prstClr val="black">
                <a:alpha val="20000"/>
              </a:prstClr>
            </a:outerShdw>
          </a:effectLst>
        </c:spPr>
      </c:pivotFmt>
      <c:pivotFmt>
        <c:idx val="3631"/>
        <c:spPr>
          <a:solidFill>
            <a:schemeClr val="accent6"/>
          </a:solidFill>
          <a:ln>
            <a:noFill/>
          </a:ln>
          <a:effectLst>
            <a:outerShdw blurRad="254000" sx="102000" sy="102000" algn="ctr" rotWithShape="0">
              <a:prstClr val="black">
                <a:alpha val="20000"/>
              </a:prstClr>
            </a:outerShdw>
          </a:effectLst>
        </c:spPr>
      </c:pivotFmt>
      <c:pivotFmt>
        <c:idx val="3632"/>
        <c:spPr>
          <a:solidFill>
            <a:schemeClr val="accent6"/>
          </a:solidFill>
          <a:ln>
            <a:noFill/>
          </a:ln>
          <a:effectLst>
            <a:outerShdw blurRad="254000" sx="102000" sy="102000" algn="ctr" rotWithShape="0">
              <a:prstClr val="black">
                <a:alpha val="20000"/>
              </a:prstClr>
            </a:outerShdw>
          </a:effectLst>
        </c:spPr>
      </c:pivotFmt>
      <c:pivotFmt>
        <c:idx val="3633"/>
        <c:spPr>
          <a:solidFill>
            <a:schemeClr val="accent6"/>
          </a:solidFill>
          <a:ln>
            <a:noFill/>
          </a:ln>
          <a:effectLst>
            <a:outerShdw blurRad="254000" sx="102000" sy="102000" algn="ctr" rotWithShape="0">
              <a:prstClr val="black">
                <a:alpha val="20000"/>
              </a:prstClr>
            </a:outerShdw>
          </a:effectLst>
        </c:spPr>
      </c:pivotFmt>
      <c:pivotFmt>
        <c:idx val="363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35"/>
        <c:spPr>
          <a:solidFill>
            <a:schemeClr val="accent6"/>
          </a:solidFill>
          <a:ln>
            <a:noFill/>
          </a:ln>
          <a:effectLst>
            <a:outerShdw blurRad="254000" sx="102000" sy="102000" algn="ctr" rotWithShape="0">
              <a:prstClr val="black">
                <a:alpha val="20000"/>
              </a:prstClr>
            </a:outerShdw>
          </a:effectLst>
        </c:spPr>
      </c:pivotFmt>
      <c:pivotFmt>
        <c:idx val="3636"/>
        <c:spPr>
          <a:solidFill>
            <a:schemeClr val="accent6"/>
          </a:solidFill>
          <a:ln>
            <a:noFill/>
          </a:ln>
          <a:effectLst>
            <a:outerShdw blurRad="254000" sx="102000" sy="102000" algn="ctr" rotWithShape="0">
              <a:prstClr val="black">
                <a:alpha val="20000"/>
              </a:prstClr>
            </a:outerShdw>
          </a:effectLst>
        </c:spPr>
      </c:pivotFmt>
      <c:pivotFmt>
        <c:idx val="3637"/>
        <c:spPr>
          <a:solidFill>
            <a:schemeClr val="accent6"/>
          </a:solidFill>
          <a:ln>
            <a:noFill/>
          </a:ln>
          <a:effectLst>
            <a:outerShdw blurRad="254000" sx="102000" sy="102000" algn="ctr" rotWithShape="0">
              <a:prstClr val="black">
                <a:alpha val="20000"/>
              </a:prstClr>
            </a:outerShdw>
          </a:effectLst>
        </c:spPr>
      </c:pivotFmt>
      <c:pivotFmt>
        <c:idx val="3638"/>
        <c:spPr>
          <a:solidFill>
            <a:schemeClr val="accent6"/>
          </a:solidFill>
          <a:ln>
            <a:noFill/>
          </a:ln>
          <a:effectLst>
            <a:outerShdw blurRad="254000" sx="102000" sy="102000" algn="ctr" rotWithShape="0">
              <a:prstClr val="black">
                <a:alpha val="20000"/>
              </a:prstClr>
            </a:outerShdw>
          </a:effectLst>
        </c:spPr>
      </c:pivotFmt>
      <c:pivotFmt>
        <c:idx val="3639"/>
        <c:spPr>
          <a:solidFill>
            <a:schemeClr val="accent6"/>
          </a:solidFill>
          <a:ln>
            <a:noFill/>
          </a:ln>
          <a:effectLst>
            <a:outerShdw blurRad="254000" sx="102000" sy="102000" algn="ctr" rotWithShape="0">
              <a:prstClr val="black">
                <a:alpha val="20000"/>
              </a:prstClr>
            </a:outerShdw>
          </a:effectLst>
        </c:spPr>
      </c:pivotFmt>
      <c:pivotFmt>
        <c:idx val="364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41"/>
        <c:spPr>
          <a:solidFill>
            <a:schemeClr val="accent6"/>
          </a:solidFill>
          <a:ln>
            <a:noFill/>
          </a:ln>
          <a:effectLst>
            <a:outerShdw blurRad="254000" sx="102000" sy="102000" algn="ctr" rotWithShape="0">
              <a:prstClr val="black">
                <a:alpha val="20000"/>
              </a:prstClr>
            </a:outerShdw>
          </a:effectLst>
        </c:spPr>
      </c:pivotFmt>
      <c:pivotFmt>
        <c:idx val="3642"/>
        <c:spPr>
          <a:solidFill>
            <a:schemeClr val="accent6"/>
          </a:solidFill>
          <a:ln>
            <a:noFill/>
          </a:ln>
          <a:effectLst>
            <a:outerShdw blurRad="254000" sx="102000" sy="102000" algn="ctr" rotWithShape="0">
              <a:prstClr val="black">
                <a:alpha val="20000"/>
              </a:prstClr>
            </a:outerShdw>
          </a:effectLst>
        </c:spPr>
      </c:pivotFmt>
      <c:pivotFmt>
        <c:idx val="3643"/>
        <c:spPr>
          <a:solidFill>
            <a:schemeClr val="accent6"/>
          </a:solidFill>
          <a:ln>
            <a:noFill/>
          </a:ln>
          <a:effectLst>
            <a:outerShdw blurRad="254000" sx="102000" sy="102000" algn="ctr" rotWithShape="0">
              <a:prstClr val="black">
                <a:alpha val="20000"/>
              </a:prstClr>
            </a:outerShdw>
          </a:effectLst>
        </c:spPr>
      </c:pivotFmt>
      <c:pivotFmt>
        <c:idx val="3644"/>
        <c:spPr>
          <a:solidFill>
            <a:schemeClr val="accent6"/>
          </a:solidFill>
          <a:ln>
            <a:noFill/>
          </a:ln>
          <a:effectLst>
            <a:outerShdw blurRad="254000" sx="102000" sy="102000" algn="ctr" rotWithShape="0">
              <a:prstClr val="black">
                <a:alpha val="20000"/>
              </a:prstClr>
            </a:outerShdw>
          </a:effectLst>
        </c:spPr>
      </c:pivotFmt>
      <c:pivotFmt>
        <c:idx val="3645"/>
        <c:spPr>
          <a:solidFill>
            <a:schemeClr val="accent6"/>
          </a:solidFill>
          <a:ln>
            <a:noFill/>
          </a:ln>
          <a:effectLst>
            <a:outerShdw blurRad="254000" sx="102000" sy="102000" algn="ctr" rotWithShape="0">
              <a:prstClr val="black">
                <a:alpha val="20000"/>
              </a:prstClr>
            </a:outerShdw>
          </a:effectLst>
        </c:spPr>
      </c:pivotFmt>
      <c:pivotFmt>
        <c:idx val="364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47"/>
        <c:spPr>
          <a:solidFill>
            <a:schemeClr val="accent6"/>
          </a:solidFill>
          <a:ln>
            <a:noFill/>
          </a:ln>
          <a:effectLst>
            <a:outerShdw blurRad="254000" sx="102000" sy="102000" algn="ctr" rotWithShape="0">
              <a:prstClr val="black">
                <a:alpha val="20000"/>
              </a:prstClr>
            </a:outerShdw>
          </a:effectLst>
        </c:spPr>
      </c:pivotFmt>
      <c:pivotFmt>
        <c:idx val="3648"/>
        <c:spPr>
          <a:solidFill>
            <a:schemeClr val="accent6"/>
          </a:solidFill>
          <a:ln>
            <a:noFill/>
          </a:ln>
          <a:effectLst>
            <a:outerShdw blurRad="254000" sx="102000" sy="102000" algn="ctr" rotWithShape="0">
              <a:prstClr val="black">
                <a:alpha val="20000"/>
              </a:prstClr>
            </a:outerShdw>
          </a:effectLst>
        </c:spPr>
      </c:pivotFmt>
      <c:pivotFmt>
        <c:idx val="3649"/>
        <c:spPr>
          <a:solidFill>
            <a:schemeClr val="accent6"/>
          </a:solidFill>
          <a:ln>
            <a:noFill/>
          </a:ln>
          <a:effectLst>
            <a:outerShdw blurRad="254000" sx="102000" sy="102000" algn="ctr" rotWithShape="0">
              <a:prstClr val="black">
                <a:alpha val="20000"/>
              </a:prstClr>
            </a:outerShdw>
          </a:effectLst>
        </c:spPr>
      </c:pivotFmt>
      <c:pivotFmt>
        <c:idx val="3650"/>
        <c:spPr>
          <a:solidFill>
            <a:schemeClr val="accent6"/>
          </a:solidFill>
          <a:ln>
            <a:noFill/>
          </a:ln>
          <a:effectLst>
            <a:outerShdw blurRad="254000" sx="102000" sy="102000" algn="ctr" rotWithShape="0">
              <a:prstClr val="black">
                <a:alpha val="20000"/>
              </a:prstClr>
            </a:outerShdw>
          </a:effectLst>
        </c:spPr>
      </c:pivotFmt>
      <c:pivotFmt>
        <c:idx val="3651"/>
        <c:spPr>
          <a:solidFill>
            <a:schemeClr val="accent6"/>
          </a:solidFill>
          <a:ln>
            <a:noFill/>
          </a:ln>
          <a:effectLst>
            <a:outerShdw blurRad="254000" sx="102000" sy="102000" algn="ctr" rotWithShape="0">
              <a:prstClr val="black">
                <a:alpha val="20000"/>
              </a:prstClr>
            </a:outerShdw>
          </a:effectLst>
        </c:spPr>
      </c:pivotFmt>
      <c:pivotFmt>
        <c:idx val="3652"/>
        <c:spPr>
          <a:solidFill>
            <a:schemeClr val="accent6"/>
          </a:solidFill>
          <a:ln>
            <a:noFill/>
          </a:ln>
          <a:effectLst>
            <a:outerShdw blurRad="254000" sx="102000" sy="102000" algn="ctr" rotWithShape="0">
              <a:prstClr val="black">
                <a:alpha val="20000"/>
              </a:prstClr>
            </a:outerShdw>
          </a:effectLst>
        </c:spPr>
      </c:pivotFmt>
      <c:pivotFmt>
        <c:idx val="3653"/>
        <c:spPr>
          <a:solidFill>
            <a:schemeClr val="accent6"/>
          </a:solidFill>
          <a:ln>
            <a:noFill/>
          </a:ln>
          <a:effectLst>
            <a:outerShdw blurRad="254000" sx="102000" sy="102000" algn="ctr" rotWithShape="0">
              <a:prstClr val="black">
                <a:alpha val="20000"/>
              </a:prstClr>
            </a:outerShdw>
          </a:effectLst>
        </c:spPr>
      </c:pivotFmt>
      <c:pivotFmt>
        <c:idx val="3654"/>
        <c:spPr>
          <a:solidFill>
            <a:schemeClr val="accent6"/>
          </a:solidFill>
          <a:ln>
            <a:noFill/>
          </a:ln>
          <a:effectLst>
            <a:outerShdw blurRad="254000" sx="102000" sy="102000" algn="ctr" rotWithShape="0">
              <a:prstClr val="black">
                <a:alpha val="20000"/>
              </a:prstClr>
            </a:outerShdw>
          </a:effectLst>
        </c:spPr>
      </c:pivotFmt>
      <c:pivotFmt>
        <c:idx val="3655"/>
        <c:spPr>
          <a:solidFill>
            <a:schemeClr val="accent6"/>
          </a:solidFill>
          <a:ln>
            <a:noFill/>
          </a:ln>
          <a:effectLst>
            <a:outerShdw blurRad="254000" sx="102000" sy="102000" algn="ctr" rotWithShape="0">
              <a:prstClr val="black">
                <a:alpha val="20000"/>
              </a:prstClr>
            </a:outerShdw>
          </a:effectLst>
        </c:spPr>
      </c:pivotFmt>
      <c:pivotFmt>
        <c:idx val="3656"/>
        <c:spPr>
          <a:solidFill>
            <a:schemeClr val="accent6"/>
          </a:solidFill>
          <a:ln>
            <a:noFill/>
          </a:ln>
          <a:effectLst>
            <a:outerShdw blurRad="254000" sx="102000" sy="102000" algn="ctr" rotWithShape="0">
              <a:prstClr val="black">
                <a:alpha val="20000"/>
              </a:prstClr>
            </a:outerShdw>
          </a:effectLst>
        </c:spPr>
      </c:pivotFmt>
      <c:pivotFmt>
        <c:idx val="365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58"/>
        <c:spPr>
          <a:solidFill>
            <a:schemeClr val="accent6"/>
          </a:solidFill>
          <a:ln>
            <a:noFill/>
          </a:ln>
          <a:effectLst>
            <a:outerShdw blurRad="254000" sx="102000" sy="102000" algn="ctr" rotWithShape="0">
              <a:prstClr val="black">
                <a:alpha val="20000"/>
              </a:prstClr>
            </a:outerShdw>
          </a:effectLst>
        </c:spPr>
      </c:pivotFmt>
      <c:pivotFmt>
        <c:idx val="3659"/>
        <c:spPr>
          <a:solidFill>
            <a:schemeClr val="accent6"/>
          </a:solidFill>
          <a:ln>
            <a:noFill/>
          </a:ln>
          <a:effectLst>
            <a:outerShdw blurRad="254000" sx="102000" sy="102000" algn="ctr" rotWithShape="0">
              <a:prstClr val="black">
                <a:alpha val="20000"/>
              </a:prstClr>
            </a:outerShdw>
          </a:effectLst>
        </c:spPr>
      </c:pivotFmt>
      <c:pivotFmt>
        <c:idx val="3660"/>
        <c:spPr>
          <a:solidFill>
            <a:schemeClr val="accent6"/>
          </a:solidFill>
          <a:ln>
            <a:noFill/>
          </a:ln>
          <a:effectLst>
            <a:outerShdw blurRad="254000" sx="102000" sy="102000" algn="ctr" rotWithShape="0">
              <a:prstClr val="black">
                <a:alpha val="20000"/>
              </a:prstClr>
            </a:outerShdw>
          </a:effectLst>
        </c:spPr>
      </c:pivotFmt>
      <c:pivotFmt>
        <c:idx val="3661"/>
        <c:spPr>
          <a:solidFill>
            <a:schemeClr val="accent6"/>
          </a:solidFill>
          <a:ln>
            <a:noFill/>
          </a:ln>
          <a:effectLst>
            <a:outerShdw blurRad="254000" sx="102000" sy="102000" algn="ctr" rotWithShape="0">
              <a:prstClr val="black">
                <a:alpha val="20000"/>
              </a:prstClr>
            </a:outerShdw>
          </a:effectLst>
        </c:spPr>
      </c:pivotFmt>
      <c:pivotFmt>
        <c:idx val="3662"/>
        <c:spPr>
          <a:solidFill>
            <a:schemeClr val="accent6"/>
          </a:solidFill>
          <a:ln>
            <a:noFill/>
          </a:ln>
          <a:effectLst>
            <a:outerShdw blurRad="254000" sx="102000" sy="102000" algn="ctr" rotWithShape="0">
              <a:prstClr val="black">
                <a:alpha val="20000"/>
              </a:prstClr>
            </a:outerShdw>
          </a:effectLst>
        </c:spPr>
      </c:pivotFmt>
      <c:pivotFmt>
        <c:idx val="3663"/>
        <c:spPr>
          <a:solidFill>
            <a:schemeClr val="accent6"/>
          </a:solidFill>
          <a:ln>
            <a:noFill/>
          </a:ln>
          <a:effectLst>
            <a:outerShdw blurRad="254000" sx="102000" sy="102000" algn="ctr" rotWithShape="0">
              <a:prstClr val="black">
                <a:alpha val="20000"/>
              </a:prstClr>
            </a:outerShdw>
          </a:effectLst>
        </c:spPr>
      </c:pivotFmt>
      <c:pivotFmt>
        <c:idx val="3664"/>
        <c:spPr>
          <a:solidFill>
            <a:schemeClr val="accent6"/>
          </a:solidFill>
          <a:ln>
            <a:noFill/>
          </a:ln>
          <a:effectLst>
            <a:outerShdw blurRad="254000" sx="102000" sy="102000" algn="ctr" rotWithShape="0">
              <a:prstClr val="black">
                <a:alpha val="20000"/>
              </a:prstClr>
            </a:outerShdw>
          </a:effectLst>
        </c:spPr>
      </c:pivotFmt>
      <c:pivotFmt>
        <c:idx val="3665"/>
        <c:spPr>
          <a:solidFill>
            <a:schemeClr val="accent6"/>
          </a:solidFill>
          <a:ln>
            <a:noFill/>
          </a:ln>
          <a:effectLst>
            <a:outerShdw blurRad="254000" sx="102000" sy="102000" algn="ctr" rotWithShape="0">
              <a:prstClr val="black">
                <a:alpha val="20000"/>
              </a:prstClr>
            </a:outerShdw>
          </a:effectLst>
        </c:spPr>
      </c:pivotFmt>
      <c:pivotFmt>
        <c:idx val="3666"/>
        <c:spPr>
          <a:solidFill>
            <a:schemeClr val="accent6"/>
          </a:solidFill>
          <a:ln>
            <a:noFill/>
          </a:ln>
          <a:effectLst>
            <a:outerShdw blurRad="254000" sx="102000" sy="102000" algn="ctr" rotWithShape="0">
              <a:prstClr val="black">
                <a:alpha val="20000"/>
              </a:prstClr>
            </a:outerShdw>
          </a:effectLst>
        </c:spPr>
      </c:pivotFmt>
      <c:pivotFmt>
        <c:idx val="3667"/>
        <c:spPr>
          <a:solidFill>
            <a:schemeClr val="accent6"/>
          </a:solidFill>
          <a:ln>
            <a:noFill/>
          </a:ln>
          <a:effectLst>
            <a:outerShdw blurRad="254000" sx="102000" sy="102000" algn="ctr" rotWithShape="0">
              <a:prstClr val="black">
                <a:alpha val="20000"/>
              </a:prstClr>
            </a:outerShdw>
          </a:effectLst>
        </c:spPr>
      </c:pivotFmt>
      <c:pivotFmt>
        <c:idx val="3668"/>
        <c:spPr>
          <a:solidFill>
            <a:schemeClr val="accent6"/>
          </a:solidFill>
          <a:ln>
            <a:noFill/>
          </a:ln>
          <a:effectLst>
            <a:outerShdw blurRad="254000" sx="102000" sy="102000" algn="ctr" rotWithShape="0">
              <a:prstClr val="black">
                <a:alpha val="20000"/>
              </a:prstClr>
            </a:outerShdw>
          </a:effectLst>
        </c:spPr>
      </c:pivotFmt>
      <c:pivotFmt>
        <c:idx val="3669"/>
        <c:spPr>
          <a:solidFill>
            <a:schemeClr val="accent6"/>
          </a:solidFill>
          <a:ln>
            <a:noFill/>
          </a:ln>
          <a:effectLst>
            <a:outerShdw blurRad="254000" sx="102000" sy="102000" algn="ctr" rotWithShape="0">
              <a:prstClr val="black">
                <a:alpha val="20000"/>
              </a:prstClr>
            </a:outerShdw>
          </a:effectLst>
        </c:spPr>
      </c:pivotFmt>
      <c:pivotFmt>
        <c:idx val="3670"/>
        <c:spPr>
          <a:solidFill>
            <a:schemeClr val="accent6"/>
          </a:solidFill>
          <a:ln>
            <a:noFill/>
          </a:ln>
          <a:effectLst>
            <a:outerShdw blurRad="254000" sx="102000" sy="102000" algn="ctr" rotWithShape="0">
              <a:prstClr val="black">
                <a:alpha val="20000"/>
              </a:prstClr>
            </a:outerShdw>
          </a:effectLst>
        </c:spPr>
      </c:pivotFmt>
      <c:pivotFmt>
        <c:idx val="3671"/>
        <c:spPr>
          <a:solidFill>
            <a:schemeClr val="accent6"/>
          </a:solidFill>
          <a:ln>
            <a:noFill/>
          </a:ln>
          <a:effectLst>
            <a:outerShdw blurRad="254000" sx="102000" sy="102000" algn="ctr" rotWithShape="0">
              <a:prstClr val="black">
                <a:alpha val="20000"/>
              </a:prstClr>
            </a:outerShdw>
          </a:effectLst>
        </c:spPr>
      </c:pivotFmt>
      <c:pivotFmt>
        <c:idx val="3672"/>
        <c:spPr>
          <a:solidFill>
            <a:schemeClr val="accent6"/>
          </a:solidFill>
          <a:ln>
            <a:noFill/>
          </a:ln>
          <a:effectLst>
            <a:outerShdw blurRad="254000" sx="102000" sy="102000" algn="ctr" rotWithShape="0">
              <a:prstClr val="black">
                <a:alpha val="20000"/>
              </a:prstClr>
            </a:outerShdw>
          </a:effectLst>
        </c:spPr>
      </c:pivotFmt>
      <c:pivotFmt>
        <c:idx val="3673"/>
        <c:spPr>
          <a:solidFill>
            <a:schemeClr val="accent6"/>
          </a:solidFill>
          <a:ln>
            <a:noFill/>
          </a:ln>
          <a:effectLst>
            <a:outerShdw blurRad="254000" sx="102000" sy="102000" algn="ctr" rotWithShape="0">
              <a:prstClr val="black">
                <a:alpha val="20000"/>
              </a:prstClr>
            </a:outerShdw>
          </a:effectLst>
        </c:spPr>
      </c:pivotFmt>
      <c:pivotFmt>
        <c:idx val="3674"/>
        <c:spPr>
          <a:solidFill>
            <a:schemeClr val="accent6"/>
          </a:solidFill>
          <a:ln>
            <a:noFill/>
          </a:ln>
          <a:effectLst>
            <a:outerShdw blurRad="254000" sx="102000" sy="102000" algn="ctr" rotWithShape="0">
              <a:prstClr val="black">
                <a:alpha val="20000"/>
              </a:prstClr>
            </a:outerShdw>
          </a:effectLst>
        </c:spPr>
      </c:pivotFmt>
      <c:pivotFmt>
        <c:idx val="3675"/>
        <c:spPr>
          <a:solidFill>
            <a:schemeClr val="accent6"/>
          </a:solidFill>
          <a:ln>
            <a:noFill/>
          </a:ln>
          <a:effectLst>
            <a:outerShdw blurRad="254000" sx="102000" sy="102000" algn="ctr" rotWithShape="0">
              <a:prstClr val="black">
                <a:alpha val="20000"/>
              </a:prstClr>
            </a:outerShdw>
          </a:effectLst>
        </c:spPr>
      </c:pivotFmt>
      <c:pivotFmt>
        <c:idx val="3676"/>
        <c:spPr>
          <a:solidFill>
            <a:schemeClr val="accent6"/>
          </a:solidFill>
          <a:ln>
            <a:noFill/>
          </a:ln>
          <a:effectLst>
            <a:outerShdw blurRad="254000" sx="102000" sy="102000" algn="ctr" rotWithShape="0">
              <a:prstClr val="black">
                <a:alpha val="20000"/>
              </a:prstClr>
            </a:outerShdw>
          </a:effectLst>
        </c:spPr>
      </c:pivotFmt>
      <c:pivotFmt>
        <c:idx val="3677"/>
        <c:spPr>
          <a:solidFill>
            <a:schemeClr val="accent6"/>
          </a:solidFill>
          <a:ln>
            <a:noFill/>
          </a:ln>
          <a:effectLst>
            <a:outerShdw blurRad="254000" sx="102000" sy="102000" algn="ctr" rotWithShape="0">
              <a:prstClr val="black">
                <a:alpha val="20000"/>
              </a:prstClr>
            </a:outerShdw>
          </a:effectLst>
        </c:spPr>
      </c:pivotFmt>
      <c:pivotFmt>
        <c:idx val="367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79"/>
        <c:spPr>
          <a:solidFill>
            <a:schemeClr val="accent6"/>
          </a:solidFill>
          <a:ln>
            <a:noFill/>
          </a:ln>
          <a:effectLst>
            <a:outerShdw blurRad="254000" sx="102000" sy="102000" algn="ctr" rotWithShape="0">
              <a:prstClr val="black">
                <a:alpha val="20000"/>
              </a:prstClr>
            </a:outerShdw>
          </a:effectLst>
        </c:spPr>
      </c:pivotFmt>
      <c:pivotFmt>
        <c:idx val="3680"/>
        <c:spPr>
          <a:solidFill>
            <a:schemeClr val="accent6"/>
          </a:solidFill>
          <a:ln>
            <a:noFill/>
          </a:ln>
          <a:effectLst>
            <a:outerShdw blurRad="254000" sx="102000" sy="102000" algn="ctr" rotWithShape="0">
              <a:prstClr val="black">
                <a:alpha val="20000"/>
              </a:prstClr>
            </a:outerShdw>
          </a:effectLst>
        </c:spPr>
      </c:pivotFmt>
      <c:pivotFmt>
        <c:idx val="3681"/>
        <c:spPr>
          <a:solidFill>
            <a:schemeClr val="accent6"/>
          </a:solidFill>
          <a:ln>
            <a:noFill/>
          </a:ln>
          <a:effectLst>
            <a:outerShdw blurRad="254000" sx="102000" sy="102000" algn="ctr" rotWithShape="0">
              <a:prstClr val="black">
                <a:alpha val="20000"/>
              </a:prstClr>
            </a:outerShdw>
          </a:effectLst>
        </c:spPr>
      </c:pivotFmt>
      <c:pivotFmt>
        <c:idx val="3682"/>
        <c:spPr>
          <a:solidFill>
            <a:schemeClr val="accent6"/>
          </a:solidFill>
          <a:ln>
            <a:noFill/>
          </a:ln>
          <a:effectLst>
            <a:outerShdw blurRad="254000" sx="102000" sy="102000" algn="ctr" rotWithShape="0">
              <a:prstClr val="black">
                <a:alpha val="20000"/>
              </a:prstClr>
            </a:outerShdw>
          </a:effectLst>
        </c:spPr>
      </c:pivotFmt>
      <c:pivotFmt>
        <c:idx val="3683"/>
        <c:spPr>
          <a:solidFill>
            <a:schemeClr val="accent6"/>
          </a:solidFill>
          <a:ln>
            <a:noFill/>
          </a:ln>
          <a:effectLst>
            <a:outerShdw blurRad="254000" sx="102000" sy="102000" algn="ctr" rotWithShape="0">
              <a:prstClr val="black">
                <a:alpha val="20000"/>
              </a:prstClr>
            </a:outerShdw>
          </a:effectLst>
        </c:spPr>
      </c:pivotFmt>
      <c:pivotFmt>
        <c:idx val="368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85"/>
        <c:spPr>
          <a:solidFill>
            <a:schemeClr val="accent6"/>
          </a:solidFill>
          <a:ln>
            <a:noFill/>
          </a:ln>
          <a:effectLst>
            <a:outerShdw blurRad="254000" sx="102000" sy="102000" algn="ctr" rotWithShape="0">
              <a:prstClr val="black">
                <a:alpha val="20000"/>
              </a:prstClr>
            </a:outerShdw>
          </a:effectLst>
        </c:spPr>
      </c:pivotFmt>
      <c:pivotFmt>
        <c:idx val="3686"/>
        <c:spPr>
          <a:solidFill>
            <a:schemeClr val="accent6"/>
          </a:solidFill>
          <a:ln>
            <a:noFill/>
          </a:ln>
          <a:effectLst>
            <a:outerShdw blurRad="254000" sx="102000" sy="102000" algn="ctr" rotWithShape="0">
              <a:prstClr val="black">
                <a:alpha val="20000"/>
              </a:prstClr>
            </a:outerShdw>
          </a:effectLst>
        </c:spPr>
      </c:pivotFmt>
      <c:pivotFmt>
        <c:idx val="3687"/>
        <c:spPr>
          <a:solidFill>
            <a:schemeClr val="accent6"/>
          </a:solidFill>
          <a:ln>
            <a:noFill/>
          </a:ln>
          <a:effectLst>
            <a:outerShdw blurRad="254000" sx="102000" sy="102000" algn="ctr" rotWithShape="0">
              <a:prstClr val="black">
                <a:alpha val="20000"/>
              </a:prstClr>
            </a:outerShdw>
          </a:effectLst>
        </c:spPr>
      </c:pivotFmt>
      <c:pivotFmt>
        <c:idx val="3688"/>
        <c:spPr>
          <a:solidFill>
            <a:schemeClr val="accent6"/>
          </a:solidFill>
          <a:ln>
            <a:noFill/>
          </a:ln>
          <a:effectLst>
            <a:outerShdw blurRad="254000" sx="102000" sy="102000" algn="ctr" rotWithShape="0">
              <a:prstClr val="black">
                <a:alpha val="20000"/>
              </a:prstClr>
            </a:outerShdw>
          </a:effectLst>
        </c:spPr>
      </c:pivotFmt>
      <c:pivotFmt>
        <c:idx val="3689"/>
        <c:spPr>
          <a:solidFill>
            <a:schemeClr val="accent6"/>
          </a:solidFill>
          <a:ln>
            <a:noFill/>
          </a:ln>
          <a:effectLst>
            <a:outerShdw blurRad="254000" sx="102000" sy="102000" algn="ctr" rotWithShape="0">
              <a:prstClr val="black">
                <a:alpha val="20000"/>
              </a:prstClr>
            </a:outerShdw>
          </a:effectLst>
        </c:spPr>
      </c:pivotFmt>
      <c:pivotFmt>
        <c:idx val="369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91"/>
        <c:spPr>
          <a:solidFill>
            <a:schemeClr val="accent6"/>
          </a:solidFill>
          <a:ln>
            <a:noFill/>
          </a:ln>
          <a:effectLst>
            <a:outerShdw blurRad="254000" sx="102000" sy="102000" algn="ctr" rotWithShape="0">
              <a:prstClr val="black">
                <a:alpha val="20000"/>
              </a:prstClr>
            </a:outerShdw>
          </a:effectLst>
        </c:spPr>
      </c:pivotFmt>
      <c:pivotFmt>
        <c:idx val="3692"/>
        <c:spPr>
          <a:solidFill>
            <a:schemeClr val="accent6"/>
          </a:solidFill>
          <a:ln>
            <a:noFill/>
          </a:ln>
          <a:effectLst>
            <a:outerShdw blurRad="254000" sx="102000" sy="102000" algn="ctr" rotWithShape="0">
              <a:prstClr val="black">
                <a:alpha val="20000"/>
              </a:prstClr>
            </a:outerShdw>
          </a:effectLst>
        </c:spPr>
      </c:pivotFmt>
      <c:pivotFmt>
        <c:idx val="3693"/>
        <c:spPr>
          <a:solidFill>
            <a:schemeClr val="accent6"/>
          </a:solidFill>
          <a:ln>
            <a:noFill/>
          </a:ln>
          <a:effectLst>
            <a:outerShdw blurRad="254000" sx="102000" sy="102000" algn="ctr" rotWithShape="0">
              <a:prstClr val="black">
                <a:alpha val="20000"/>
              </a:prstClr>
            </a:outerShdw>
          </a:effectLst>
        </c:spPr>
      </c:pivotFmt>
      <c:pivotFmt>
        <c:idx val="3694"/>
        <c:spPr>
          <a:solidFill>
            <a:schemeClr val="accent6"/>
          </a:solidFill>
          <a:ln>
            <a:noFill/>
          </a:ln>
          <a:effectLst>
            <a:outerShdw blurRad="254000" sx="102000" sy="102000" algn="ctr" rotWithShape="0">
              <a:prstClr val="black">
                <a:alpha val="20000"/>
              </a:prstClr>
            </a:outerShdw>
          </a:effectLst>
        </c:spPr>
      </c:pivotFmt>
      <c:pivotFmt>
        <c:idx val="3695"/>
        <c:spPr>
          <a:solidFill>
            <a:schemeClr val="accent6"/>
          </a:solidFill>
          <a:ln>
            <a:noFill/>
          </a:ln>
          <a:effectLst>
            <a:outerShdw blurRad="254000" sx="102000" sy="102000" algn="ctr" rotWithShape="0">
              <a:prstClr val="black">
                <a:alpha val="20000"/>
              </a:prstClr>
            </a:outerShdw>
          </a:effectLst>
        </c:spPr>
      </c:pivotFmt>
      <c:pivotFmt>
        <c:idx val="369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97"/>
        <c:spPr>
          <a:solidFill>
            <a:schemeClr val="accent6"/>
          </a:solidFill>
          <a:ln>
            <a:noFill/>
          </a:ln>
          <a:effectLst>
            <a:outerShdw blurRad="254000" sx="102000" sy="102000" algn="ctr" rotWithShape="0">
              <a:prstClr val="black">
                <a:alpha val="20000"/>
              </a:prstClr>
            </a:outerShdw>
          </a:effectLst>
        </c:spPr>
      </c:pivotFmt>
      <c:pivotFmt>
        <c:idx val="3698"/>
        <c:spPr>
          <a:solidFill>
            <a:schemeClr val="accent6"/>
          </a:solidFill>
          <a:ln>
            <a:noFill/>
          </a:ln>
          <a:effectLst>
            <a:outerShdw blurRad="254000" sx="102000" sy="102000" algn="ctr" rotWithShape="0">
              <a:prstClr val="black">
                <a:alpha val="20000"/>
              </a:prstClr>
            </a:outerShdw>
          </a:effectLst>
        </c:spPr>
      </c:pivotFmt>
      <c:pivotFmt>
        <c:idx val="3699"/>
        <c:spPr>
          <a:solidFill>
            <a:schemeClr val="accent6"/>
          </a:solidFill>
          <a:ln>
            <a:noFill/>
          </a:ln>
          <a:effectLst>
            <a:outerShdw blurRad="254000" sx="102000" sy="102000" algn="ctr" rotWithShape="0">
              <a:prstClr val="black">
                <a:alpha val="20000"/>
              </a:prstClr>
            </a:outerShdw>
          </a:effectLst>
        </c:spPr>
      </c:pivotFmt>
      <c:pivotFmt>
        <c:idx val="3700"/>
        <c:spPr>
          <a:solidFill>
            <a:schemeClr val="accent6"/>
          </a:solidFill>
          <a:ln>
            <a:noFill/>
          </a:ln>
          <a:effectLst>
            <a:outerShdw blurRad="254000" sx="102000" sy="102000" algn="ctr" rotWithShape="0">
              <a:prstClr val="black">
                <a:alpha val="20000"/>
              </a:prstClr>
            </a:outerShdw>
          </a:effectLst>
        </c:spPr>
      </c:pivotFmt>
      <c:pivotFmt>
        <c:idx val="3701"/>
        <c:spPr>
          <a:solidFill>
            <a:schemeClr val="accent6"/>
          </a:solidFill>
          <a:ln>
            <a:noFill/>
          </a:ln>
          <a:effectLst>
            <a:outerShdw blurRad="254000" sx="102000" sy="102000" algn="ctr" rotWithShape="0">
              <a:prstClr val="black">
                <a:alpha val="20000"/>
              </a:prstClr>
            </a:outerShdw>
          </a:effectLst>
        </c:spPr>
      </c:pivotFmt>
      <c:pivotFmt>
        <c:idx val="370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03"/>
        <c:spPr>
          <a:solidFill>
            <a:schemeClr val="accent6"/>
          </a:solidFill>
          <a:ln>
            <a:noFill/>
          </a:ln>
          <a:effectLst>
            <a:outerShdw blurRad="254000" sx="102000" sy="102000" algn="ctr" rotWithShape="0">
              <a:prstClr val="black">
                <a:alpha val="20000"/>
              </a:prstClr>
            </a:outerShdw>
          </a:effectLst>
        </c:spPr>
      </c:pivotFmt>
      <c:pivotFmt>
        <c:idx val="3704"/>
        <c:spPr>
          <a:solidFill>
            <a:schemeClr val="accent6"/>
          </a:solidFill>
          <a:ln>
            <a:noFill/>
          </a:ln>
          <a:effectLst>
            <a:outerShdw blurRad="254000" sx="102000" sy="102000" algn="ctr" rotWithShape="0">
              <a:prstClr val="black">
                <a:alpha val="20000"/>
              </a:prstClr>
            </a:outerShdw>
          </a:effectLst>
        </c:spPr>
      </c:pivotFmt>
      <c:pivotFmt>
        <c:idx val="3705"/>
        <c:spPr>
          <a:solidFill>
            <a:schemeClr val="accent6"/>
          </a:solidFill>
          <a:ln>
            <a:noFill/>
          </a:ln>
          <a:effectLst>
            <a:outerShdw blurRad="254000" sx="102000" sy="102000" algn="ctr" rotWithShape="0">
              <a:prstClr val="black">
                <a:alpha val="20000"/>
              </a:prstClr>
            </a:outerShdw>
          </a:effectLst>
        </c:spPr>
      </c:pivotFmt>
      <c:pivotFmt>
        <c:idx val="3706"/>
        <c:spPr>
          <a:solidFill>
            <a:schemeClr val="accent6"/>
          </a:solidFill>
          <a:ln>
            <a:noFill/>
          </a:ln>
          <a:effectLst>
            <a:outerShdw blurRad="254000" sx="102000" sy="102000" algn="ctr" rotWithShape="0">
              <a:prstClr val="black">
                <a:alpha val="20000"/>
              </a:prstClr>
            </a:outerShdw>
          </a:effectLst>
        </c:spPr>
      </c:pivotFmt>
      <c:pivotFmt>
        <c:idx val="3707"/>
        <c:spPr>
          <a:solidFill>
            <a:schemeClr val="accent6"/>
          </a:solidFill>
          <a:ln>
            <a:noFill/>
          </a:ln>
          <a:effectLst>
            <a:outerShdw blurRad="254000" sx="102000" sy="102000" algn="ctr" rotWithShape="0">
              <a:prstClr val="black">
                <a:alpha val="20000"/>
              </a:prstClr>
            </a:outerShdw>
          </a:effectLst>
        </c:spPr>
      </c:pivotFmt>
      <c:pivotFmt>
        <c:idx val="370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09"/>
        <c:spPr>
          <a:solidFill>
            <a:schemeClr val="accent6"/>
          </a:solidFill>
          <a:ln>
            <a:noFill/>
          </a:ln>
          <a:effectLst>
            <a:outerShdw blurRad="254000" sx="102000" sy="102000" algn="ctr" rotWithShape="0">
              <a:prstClr val="black">
                <a:alpha val="20000"/>
              </a:prstClr>
            </a:outerShdw>
          </a:effectLst>
        </c:spPr>
      </c:pivotFmt>
      <c:pivotFmt>
        <c:idx val="3710"/>
        <c:spPr>
          <a:solidFill>
            <a:schemeClr val="accent6"/>
          </a:solidFill>
          <a:ln>
            <a:noFill/>
          </a:ln>
          <a:effectLst>
            <a:outerShdw blurRad="254000" sx="102000" sy="102000" algn="ctr" rotWithShape="0">
              <a:prstClr val="black">
                <a:alpha val="20000"/>
              </a:prstClr>
            </a:outerShdw>
          </a:effectLst>
        </c:spPr>
      </c:pivotFmt>
      <c:pivotFmt>
        <c:idx val="3711"/>
        <c:spPr>
          <a:solidFill>
            <a:schemeClr val="accent6"/>
          </a:solidFill>
          <a:ln>
            <a:noFill/>
          </a:ln>
          <a:effectLst>
            <a:outerShdw blurRad="254000" sx="102000" sy="102000" algn="ctr" rotWithShape="0">
              <a:prstClr val="black">
                <a:alpha val="20000"/>
              </a:prstClr>
            </a:outerShdw>
          </a:effectLst>
        </c:spPr>
      </c:pivotFmt>
      <c:pivotFmt>
        <c:idx val="3712"/>
        <c:spPr>
          <a:solidFill>
            <a:schemeClr val="accent6"/>
          </a:solidFill>
          <a:ln>
            <a:noFill/>
          </a:ln>
          <a:effectLst>
            <a:outerShdw blurRad="254000" sx="102000" sy="102000" algn="ctr" rotWithShape="0">
              <a:prstClr val="black">
                <a:alpha val="20000"/>
              </a:prstClr>
            </a:outerShdw>
          </a:effectLst>
        </c:spPr>
      </c:pivotFmt>
      <c:pivotFmt>
        <c:idx val="3713"/>
        <c:spPr>
          <a:solidFill>
            <a:schemeClr val="accent6"/>
          </a:solidFill>
          <a:ln>
            <a:noFill/>
          </a:ln>
          <a:effectLst>
            <a:outerShdw blurRad="254000" sx="102000" sy="102000" algn="ctr" rotWithShape="0">
              <a:prstClr val="black">
                <a:alpha val="20000"/>
              </a:prstClr>
            </a:outerShdw>
          </a:effectLst>
        </c:spPr>
      </c:pivotFmt>
      <c:pivotFmt>
        <c:idx val="371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15"/>
        <c:spPr>
          <a:solidFill>
            <a:schemeClr val="accent6"/>
          </a:solidFill>
          <a:ln>
            <a:noFill/>
          </a:ln>
          <a:effectLst>
            <a:outerShdw blurRad="254000" sx="102000" sy="102000" algn="ctr" rotWithShape="0">
              <a:prstClr val="black">
                <a:alpha val="20000"/>
              </a:prstClr>
            </a:outerShdw>
          </a:effectLst>
        </c:spPr>
      </c:pivotFmt>
      <c:pivotFmt>
        <c:idx val="3716"/>
        <c:spPr>
          <a:solidFill>
            <a:schemeClr val="accent6"/>
          </a:solidFill>
          <a:ln>
            <a:noFill/>
          </a:ln>
          <a:effectLst>
            <a:outerShdw blurRad="254000" sx="102000" sy="102000" algn="ctr" rotWithShape="0">
              <a:prstClr val="black">
                <a:alpha val="20000"/>
              </a:prstClr>
            </a:outerShdw>
          </a:effectLst>
        </c:spPr>
      </c:pivotFmt>
      <c:pivotFmt>
        <c:idx val="3717"/>
        <c:spPr>
          <a:solidFill>
            <a:schemeClr val="accent6"/>
          </a:solidFill>
          <a:ln>
            <a:noFill/>
          </a:ln>
          <a:effectLst>
            <a:outerShdw blurRad="254000" sx="102000" sy="102000" algn="ctr" rotWithShape="0">
              <a:prstClr val="black">
                <a:alpha val="20000"/>
              </a:prstClr>
            </a:outerShdw>
          </a:effectLst>
        </c:spPr>
      </c:pivotFmt>
      <c:pivotFmt>
        <c:idx val="3718"/>
        <c:spPr>
          <a:solidFill>
            <a:schemeClr val="accent6"/>
          </a:solidFill>
          <a:ln>
            <a:noFill/>
          </a:ln>
          <a:effectLst>
            <a:outerShdw blurRad="254000" sx="102000" sy="102000" algn="ctr" rotWithShape="0">
              <a:prstClr val="black">
                <a:alpha val="20000"/>
              </a:prstClr>
            </a:outerShdw>
          </a:effectLst>
        </c:spPr>
      </c:pivotFmt>
      <c:pivotFmt>
        <c:idx val="3719"/>
        <c:spPr>
          <a:solidFill>
            <a:schemeClr val="accent6"/>
          </a:solidFill>
          <a:ln>
            <a:noFill/>
          </a:ln>
          <a:effectLst>
            <a:outerShdw blurRad="254000" sx="102000" sy="102000" algn="ctr" rotWithShape="0">
              <a:prstClr val="black">
                <a:alpha val="20000"/>
              </a:prstClr>
            </a:outerShdw>
          </a:effectLst>
        </c:spPr>
      </c:pivotFmt>
      <c:pivotFmt>
        <c:idx val="372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21"/>
        <c:spPr>
          <a:solidFill>
            <a:schemeClr val="accent6"/>
          </a:solidFill>
          <a:ln>
            <a:noFill/>
          </a:ln>
          <a:effectLst>
            <a:outerShdw blurRad="254000" sx="102000" sy="102000" algn="ctr" rotWithShape="0">
              <a:prstClr val="black">
                <a:alpha val="20000"/>
              </a:prstClr>
            </a:outerShdw>
          </a:effectLst>
        </c:spPr>
      </c:pivotFmt>
      <c:pivotFmt>
        <c:idx val="3722"/>
        <c:spPr>
          <a:solidFill>
            <a:schemeClr val="accent6"/>
          </a:solidFill>
          <a:ln>
            <a:noFill/>
          </a:ln>
          <a:effectLst>
            <a:outerShdw blurRad="254000" sx="102000" sy="102000" algn="ctr" rotWithShape="0">
              <a:prstClr val="black">
                <a:alpha val="20000"/>
              </a:prstClr>
            </a:outerShdw>
          </a:effectLst>
        </c:spPr>
      </c:pivotFmt>
      <c:pivotFmt>
        <c:idx val="3723"/>
        <c:spPr>
          <a:solidFill>
            <a:schemeClr val="accent6"/>
          </a:solidFill>
          <a:ln>
            <a:noFill/>
          </a:ln>
          <a:effectLst>
            <a:outerShdw blurRad="254000" sx="102000" sy="102000" algn="ctr" rotWithShape="0">
              <a:prstClr val="black">
                <a:alpha val="20000"/>
              </a:prstClr>
            </a:outerShdw>
          </a:effectLst>
        </c:spPr>
      </c:pivotFmt>
      <c:pivotFmt>
        <c:idx val="3724"/>
        <c:spPr>
          <a:solidFill>
            <a:schemeClr val="accent6"/>
          </a:solidFill>
          <a:ln>
            <a:noFill/>
          </a:ln>
          <a:effectLst>
            <a:outerShdw blurRad="254000" sx="102000" sy="102000" algn="ctr" rotWithShape="0">
              <a:prstClr val="black">
                <a:alpha val="20000"/>
              </a:prstClr>
            </a:outerShdw>
          </a:effectLst>
        </c:spPr>
      </c:pivotFmt>
      <c:pivotFmt>
        <c:idx val="3725"/>
        <c:spPr>
          <a:solidFill>
            <a:schemeClr val="accent6"/>
          </a:solidFill>
          <a:ln>
            <a:noFill/>
          </a:ln>
          <a:effectLst>
            <a:outerShdw blurRad="254000" sx="102000" sy="102000" algn="ctr" rotWithShape="0">
              <a:prstClr val="black">
                <a:alpha val="20000"/>
              </a:prstClr>
            </a:outerShdw>
          </a:effectLst>
        </c:spPr>
      </c:pivotFmt>
      <c:pivotFmt>
        <c:idx val="372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27"/>
        <c:spPr>
          <a:solidFill>
            <a:schemeClr val="accent6"/>
          </a:solidFill>
          <a:ln>
            <a:noFill/>
          </a:ln>
          <a:effectLst>
            <a:outerShdw blurRad="254000" sx="102000" sy="102000" algn="ctr" rotWithShape="0">
              <a:prstClr val="black">
                <a:alpha val="20000"/>
              </a:prstClr>
            </a:outerShdw>
          </a:effectLst>
        </c:spPr>
      </c:pivotFmt>
      <c:pivotFmt>
        <c:idx val="3728"/>
        <c:spPr>
          <a:solidFill>
            <a:schemeClr val="accent6"/>
          </a:solidFill>
          <a:ln>
            <a:noFill/>
          </a:ln>
          <a:effectLst>
            <a:outerShdw blurRad="254000" sx="102000" sy="102000" algn="ctr" rotWithShape="0">
              <a:prstClr val="black">
                <a:alpha val="20000"/>
              </a:prstClr>
            </a:outerShdw>
          </a:effectLst>
        </c:spPr>
      </c:pivotFmt>
      <c:pivotFmt>
        <c:idx val="3729"/>
        <c:spPr>
          <a:solidFill>
            <a:schemeClr val="accent6"/>
          </a:solidFill>
          <a:ln>
            <a:noFill/>
          </a:ln>
          <a:effectLst>
            <a:outerShdw blurRad="254000" sx="102000" sy="102000" algn="ctr" rotWithShape="0">
              <a:prstClr val="black">
                <a:alpha val="20000"/>
              </a:prstClr>
            </a:outerShdw>
          </a:effectLst>
        </c:spPr>
      </c:pivotFmt>
      <c:pivotFmt>
        <c:idx val="3730"/>
        <c:spPr>
          <a:solidFill>
            <a:schemeClr val="accent6"/>
          </a:solidFill>
          <a:ln>
            <a:noFill/>
          </a:ln>
          <a:effectLst>
            <a:outerShdw blurRad="254000" sx="102000" sy="102000" algn="ctr" rotWithShape="0">
              <a:prstClr val="black">
                <a:alpha val="20000"/>
              </a:prstClr>
            </a:outerShdw>
          </a:effectLst>
        </c:spPr>
      </c:pivotFmt>
      <c:pivotFmt>
        <c:idx val="3731"/>
        <c:spPr>
          <a:solidFill>
            <a:schemeClr val="accent6"/>
          </a:solidFill>
          <a:ln>
            <a:noFill/>
          </a:ln>
          <a:effectLst>
            <a:outerShdw blurRad="254000" sx="102000" sy="102000" algn="ctr" rotWithShape="0">
              <a:prstClr val="black">
                <a:alpha val="20000"/>
              </a:prstClr>
            </a:outerShdw>
          </a:effectLst>
        </c:spPr>
      </c:pivotFmt>
      <c:pivotFmt>
        <c:idx val="373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33"/>
        <c:spPr>
          <a:solidFill>
            <a:schemeClr val="accent6"/>
          </a:solidFill>
          <a:ln>
            <a:noFill/>
          </a:ln>
          <a:effectLst>
            <a:outerShdw blurRad="254000" sx="102000" sy="102000" algn="ctr" rotWithShape="0">
              <a:prstClr val="black">
                <a:alpha val="20000"/>
              </a:prstClr>
            </a:outerShdw>
          </a:effectLst>
        </c:spPr>
      </c:pivotFmt>
      <c:pivotFmt>
        <c:idx val="3734"/>
        <c:spPr>
          <a:solidFill>
            <a:schemeClr val="accent6"/>
          </a:solidFill>
          <a:ln>
            <a:noFill/>
          </a:ln>
          <a:effectLst>
            <a:outerShdw blurRad="254000" sx="102000" sy="102000" algn="ctr" rotWithShape="0">
              <a:prstClr val="black">
                <a:alpha val="20000"/>
              </a:prstClr>
            </a:outerShdw>
          </a:effectLst>
        </c:spPr>
      </c:pivotFmt>
      <c:pivotFmt>
        <c:idx val="3735"/>
        <c:spPr>
          <a:solidFill>
            <a:schemeClr val="accent6"/>
          </a:solidFill>
          <a:ln>
            <a:noFill/>
          </a:ln>
          <a:effectLst>
            <a:outerShdw blurRad="254000" sx="102000" sy="102000" algn="ctr" rotWithShape="0">
              <a:prstClr val="black">
                <a:alpha val="20000"/>
              </a:prstClr>
            </a:outerShdw>
          </a:effectLst>
        </c:spPr>
      </c:pivotFmt>
      <c:pivotFmt>
        <c:idx val="3736"/>
        <c:spPr>
          <a:solidFill>
            <a:schemeClr val="accent6"/>
          </a:solidFill>
          <a:ln>
            <a:noFill/>
          </a:ln>
          <a:effectLst>
            <a:outerShdw blurRad="254000" sx="102000" sy="102000" algn="ctr" rotWithShape="0">
              <a:prstClr val="black">
                <a:alpha val="20000"/>
              </a:prstClr>
            </a:outerShdw>
          </a:effectLst>
        </c:spPr>
      </c:pivotFmt>
      <c:pivotFmt>
        <c:idx val="3737"/>
        <c:spPr>
          <a:solidFill>
            <a:schemeClr val="accent6"/>
          </a:solidFill>
          <a:ln>
            <a:noFill/>
          </a:ln>
          <a:effectLst>
            <a:outerShdw blurRad="254000" sx="102000" sy="102000" algn="ctr" rotWithShape="0">
              <a:prstClr val="black">
                <a:alpha val="20000"/>
              </a:prstClr>
            </a:outerShdw>
          </a:effectLst>
        </c:spPr>
      </c:pivotFmt>
      <c:pivotFmt>
        <c:idx val="373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39"/>
        <c:spPr>
          <a:solidFill>
            <a:schemeClr val="accent6"/>
          </a:solidFill>
          <a:ln>
            <a:noFill/>
          </a:ln>
          <a:effectLst>
            <a:outerShdw blurRad="254000" sx="102000" sy="102000" algn="ctr" rotWithShape="0">
              <a:prstClr val="black">
                <a:alpha val="20000"/>
              </a:prstClr>
            </a:outerShdw>
          </a:effectLst>
        </c:spPr>
      </c:pivotFmt>
      <c:pivotFmt>
        <c:idx val="3740"/>
        <c:spPr>
          <a:solidFill>
            <a:schemeClr val="accent6"/>
          </a:solidFill>
          <a:ln>
            <a:noFill/>
          </a:ln>
          <a:effectLst>
            <a:outerShdw blurRad="254000" sx="102000" sy="102000" algn="ctr" rotWithShape="0">
              <a:prstClr val="black">
                <a:alpha val="20000"/>
              </a:prstClr>
            </a:outerShdw>
          </a:effectLst>
        </c:spPr>
      </c:pivotFmt>
      <c:pivotFmt>
        <c:idx val="3741"/>
        <c:spPr>
          <a:solidFill>
            <a:schemeClr val="accent6"/>
          </a:solidFill>
          <a:ln>
            <a:noFill/>
          </a:ln>
          <a:effectLst>
            <a:outerShdw blurRad="254000" sx="102000" sy="102000" algn="ctr" rotWithShape="0">
              <a:prstClr val="black">
                <a:alpha val="20000"/>
              </a:prstClr>
            </a:outerShdw>
          </a:effectLst>
        </c:spPr>
      </c:pivotFmt>
      <c:pivotFmt>
        <c:idx val="3742"/>
        <c:spPr>
          <a:solidFill>
            <a:schemeClr val="accent6"/>
          </a:solidFill>
          <a:ln>
            <a:noFill/>
          </a:ln>
          <a:effectLst>
            <a:outerShdw blurRad="254000" sx="102000" sy="102000" algn="ctr" rotWithShape="0">
              <a:prstClr val="black">
                <a:alpha val="20000"/>
              </a:prstClr>
            </a:outerShdw>
          </a:effectLst>
        </c:spPr>
      </c:pivotFmt>
      <c:pivotFmt>
        <c:idx val="3743"/>
        <c:spPr>
          <a:solidFill>
            <a:schemeClr val="accent6"/>
          </a:solidFill>
          <a:ln>
            <a:noFill/>
          </a:ln>
          <a:effectLst>
            <a:outerShdw blurRad="254000" sx="102000" sy="102000" algn="ctr" rotWithShape="0">
              <a:prstClr val="black">
                <a:alpha val="20000"/>
              </a:prstClr>
            </a:outerShdw>
          </a:effectLst>
        </c:spPr>
      </c:pivotFmt>
      <c:pivotFmt>
        <c:idx val="374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45"/>
        <c:spPr>
          <a:solidFill>
            <a:schemeClr val="accent6"/>
          </a:solidFill>
          <a:ln>
            <a:noFill/>
          </a:ln>
          <a:effectLst>
            <a:outerShdw blurRad="254000" sx="102000" sy="102000" algn="ctr" rotWithShape="0">
              <a:prstClr val="black">
                <a:alpha val="20000"/>
              </a:prstClr>
            </a:outerShdw>
          </a:effectLst>
        </c:spPr>
      </c:pivotFmt>
      <c:pivotFmt>
        <c:idx val="3746"/>
        <c:spPr>
          <a:solidFill>
            <a:schemeClr val="accent6"/>
          </a:solidFill>
          <a:ln>
            <a:noFill/>
          </a:ln>
          <a:effectLst>
            <a:outerShdw blurRad="254000" sx="102000" sy="102000" algn="ctr" rotWithShape="0">
              <a:prstClr val="black">
                <a:alpha val="20000"/>
              </a:prstClr>
            </a:outerShdw>
          </a:effectLst>
        </c:spPr>
      </c:pivotFmt>
      <c:pivotFmt>
        <c:idx val="3747"/>
        <c:spPr>
          <a:solidFill>
            <a:schemeClr val="accent6"/>
          </a:solidFill>
          <a:ln>
            <a:noFill/>
          </a:ln>
          <a:effectLst>
            <a:outerShdw blurRad="254000" sx="102000" sy="102000" algn="ctr" rotWithShape="0">
              <a:prstClr val="black">
                <a:alpha val="20000"/>
              </a:prstClr>
            </a:outerShdw>
          </a:effectLst>
        </c:spPr>
      </c:pivotFmt>
      <c:pivotFmt>
        <c:idx val="3748"/>
        <c:spPr>
          <a:solidFill>
            <a:schemeClr val="accent6"/>
          </a:solidFill>
          <a:ln>
            <a:noFill/>
          </a:ln>
          <a:effectLst>
            <a:outerShdw blurRad="254000" sx="102000" sy="102000" algn="ctr" rotWithShape="0">
              <a:prstClr val="black">
                <a:alpha val="20000"/>
              </a:prstClr>
            </a:outerShdw>
          </a:effectLst>
        </c:spPr>
      </c:pivotFmt>
      <c:pivotFmt>
        <c:idx val="3749"/>
        <c:spPr>
          <a:solidFill>
            <a:schemeClr val="accent6"/>
          </a:solidFill>
          <a:ln>
            <a:noFill/>
          </a:ln>
          <a:effectLst>
            <a:outerShdw blurRad="254000" sx="102000" sy="102000" algn="ctr" rotWithShape="0">
              <a:prstClr val="black">
                <a:alpha val="20000"/>
              </a:prstClr>
            </a:outerShdw>
          </a:effectLst>
        </c:spPr>
      </c:pivotFmt>
      <c:pivotFmt>
        <c:idx val="375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51"/>
        <c:spPr>
          <a:solidFill>
            <a:schemeClr val="accent6"/>
          </a:solidFill>
          <a:ln>
            <a:noFill/>
          </a:ln>
          <a:effectLst>
            <a:outerShdw blurRad="254000" sx="102000" sy="102000" algn="ctr" rotWithShape="0">
              <a:prstClr val="black">
                <a:alpha val="20000"/>
              </a:prstClr>
            </a:outerShdw>
          </a:effectLst>
        </c:spPr>
      </c:pivotFmt>
      <c:pivotFmt>
        <c:idx val="3752"/>
        <c:spPr>
          <a:solidFill>
            <a:schemeClr val="accent6"/>
          </a:solidFill>
          <a:ln>
            <a:noFill/>
          </a:ln>
          <a:effectLst>
            <a:outerShdw blurRad="254000" sx="102000" sy="102000" algn="ctr" rotWithShape="0">
              <a:prstClr val="black">
                <a:alpha val="20000"/>
              </a:prstClr>
            </a:outerShdw>
          </a:effectLst>
        </c:spPr>
      </c:pivotFmt>
      <c:pivotFmt>
        <c:idx val="3753"/>
        <c:spPr>
          <a:solidFill>
            <a:schemeClr val="accent6"/>
          </a:solidFill>
          <a:ln>
            <a:noFill/>
          </a:ln>
          <a:effectLst>
            <a:outerShdw blurRad="254000" sx="102000" sy="102000" algn="ctr" rotWithShape="0">
              <a:prstClr val="black">
                <a:alpha val="20000"/>
              </a:prstClr>
            </a:outerShdw>
          </a:effectLst>
        </c:spPr>
      </c:pivotFmt>
      <c:pivotFmt>
        <c:idx val="3754"/>
        <c:spPr>
          <a:solidFill>
            <a:schemeClr val="accent6"/>
          </a:solidFill>
          <a:ln>
            <a:noFill/>
          </a:ln>
          <a:effectLst>
            <a:outerShdw blurRad="254000" sx="102000" sy="102000" algn="ctr" rotWithShape="0">
              <a:prstClr val="black">
                <a:alpha val="20000"/>
              </a:prstClr>
            </a:outerShdw>
          </a:effectLst>
        </c:spPr>
      </c:pivotFmt>
      <c:pivotFmt>
        <c:idx val="3755"/>
        <c:spPr>
          <a:solidFill>
            <a:schemeClr val="accent6"/>
          </a:solidFill>
          <a:ln>
            <a:noFill/>
          </a:ln>
          <a:effectLst>
            <a:outerShdw blurRad="254000" sx="102000" sy="102000" algn="ctr" rotWithShape="0">
              <a:prstClr val="black">
                <a:alpha val="20000"/>
              </a:prstClr>
            </a:outerShdw>
          </a:effectLst>
        </c:spPr>
      </c:pivotFmt>
      <c:pivotFmt>
        <c:idx val="375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57"/>
        <c:spPr>
          <a:solidFill>
            <a:schemeClr val="accent6"/>
          </a:solidFill>
          <a:ln>
            <a:noFill/>
          </a:ln>
          <a:effectLst>
            <a:outerShdw blurRad="254000" sx="102000" sy="102000" algn="ctr" rotWithShape="0">
              <a:prstClr val="black">
                <a:alpha val="20000"/>
              </a:prstClr>
            </a:outerShdw>
          </a:effectLst>
        </c:spPr>
      </c:pivotFmt>
      <c:pivotFmt>
        <c:idx val="3758"/>
        <c:spPr>
          <a:solidFill>
            <a:schemeClr val="accent6"/>
          </a:solidFill>
          <a:ln>
            <a:noFill/>
          </a:ln>
          <a:effectLst>
            <a:outerShdw blurRad="254000" sx="102000" sy="102000" algn="ctr" rotWithShape="0">
              <a:prstClr val="black">
                <a:alpha val="20000"/>
              </a:prstClr>
            </a:outerShdw>
          </a:effectLst>
        </c:spPr>
      </c:pivotFmt>
      <c:pivotFmt>
        <c:idx val="3759"/>
        <c:spPr>
          <a:solidFill>
            <a:schemeClr val="accent6"/>
          </a:solidFill>
          <a:ln>
            <a:noFill/>
          </a:ln>
          <a:effectLst>
            <a:outerShdw blurRad="254000" sx="102000" sy="102000" algn="ctr" rotWithShape="0">
              <a:prstClr val="black">
                <a:alpha val="20000"/>
              </a:prstClr>
            </a:outerShdw>
          </a:effectLst>
        </c:spPr>
      </c:pivotFmt>
      <c:pivotFmt>
        <c:idx val="3760"/>
        <c:spPr>
          <a:solidFill>
            <a:schemeClr val="accent6"/>
          </a:solidFill>
          <a:ln>
            <a:noFill/>
          </a:ln>
          <a:effectLst>
            <a:outerShdw blurRad="254000" sx="102000" sy="102000" algn="ctr" rotWithShape="0">
              <a:prstClr val="black">
                <a:alpha val="20000"/>
              </a:prstClr>
            </a:outerShdw>
          </a:effectLst>
        </c:spPr>
      </c:pivotFmt>
      <c:pivotFmt>
        <c:idx val="3761"/>
        <c:spPr>
          <a:solidFill>
            <a:schemeClr val="accent6"/>
          </a:solidFill>
          <a:ln>
            <a:noFill/>
          </a:ln>
          <a:effectLst>
            <a:outerShdw blurRad="254000" sx="102000" sy="102000" algn="ctr" rotWithShape="0">
              <a:prstClr val="black">
                <a:alpha val="20000"/>
              </a:prstClr>
            </a:outerShdw>
          </a:effectLst>
        </c:spPr>
      </c:pivotFmt>
      <c:pivotFmt>
        <c:idx val="376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63"/>
        <c:spPr>
          <a:solidFill>
            <a:schemeClr val="accent6"/>
          </a:solidFill>
          <a:ln>
            <a:noFill/>
          </a:ln>
          <a:effectLst>
            <a:outerShdw blurRad="254000" sx="102000" sy="102000" algn="ctr" rotWithShape="0">
              <a:prstClr val="black">
                <a:alpha val="20000"/>
              </a:prstClr>
            </a:outerShdw>
          </a:effectLst>
        </c:spPr>
      </c:pivotFmt>
      <c:pivotFmt>
        <c:idx val="3764"/>
        <c:spPr>
          <a:solidFill>
            <a:schemeClr val="accent6"/>
          </a:solidFill>
          <a:ln>
            <a:noFill/>
          </a:ln>
          <a:effectLst>
            <a:outerShdw blurRad="254000" sx="102000" sy="102000" algn="ctr" rotWithShape="0">
              <a:prstClr val="black">
                <a:alpha val="20000"/>
              </a:prstClr>
            </a:outerShdw>
          </a:effectLst>
        </c:spPr>
      </c:pivotFmt>
      <c:pivotFmt>
        <c:idx val="3765"/>
        <c:spPr>
          <a:solidFill>
            <a:schemeClr val="accent6"/>
          </a:solidFill>
          <a:ln>
            <a:noFill/>
          </a:ln>
          <a:effectLst>
            <a:outerShdw blurRad="254000" sx="102000" sy="102000" algn="ctr" rotWithShape="0">
              <a:prstClr val="black">
                <a:alpha val="20000"/>
              </a:prstClr>
            </a:outerShdw>
          </a:effectLst>
        </c:spPr>
      </c:pivotFmt>
      <c:pivotFmt>
        <c:idx val="3766"/>
        <c:spPr>
          <a:solidFill>
            <a:schemeClr val="accent6"/>
          </a:solidFill>
          <a:ln>
            <a:noFill/>
          </a:ln>
          <a:effectLst>
            <a:outerShdw blurRad="254000" sx="102000" sy="102000" algn="ctr" rotWithShape="0">
              <a:prstClr val="black">
                <a:alpha val="20000"/>
              </a:prstClr>
            </a:outerShdw>
          </a:effectLst>
        </c:spPr>
      </c:pivotFmt>
      <c:pivotFmt>
        <c:idx val="3767"/>
        <c:spPr>
          <a:solidFill>
            <a:schemeClr val="accent6"/>
          </a:solidFill>
          <a:ln>
            <a:noFill/>
          </a:ln>
          <a:effectLst>
            <a:outerShdw blurRad="254000" sx="102000" sy="102000" algn="ctr" rotWithShape="0">
              <a:prstClr val="black">
                <a:alpha val="20000"/>
              </a:prstClr>
            </a:outerShdw>
          </a:effectLst>
        </c:spPr>
      </c:pivotFmt>
      <c:pivotFmt>
        <c:idx val="376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69"/>
        <c:spPr>
          <a:solidFill>
            <a:schemeClr val="accent6"/>
          </a:solidFill>
          <a:ln>
            <a:noFill/>
          </a:ln>
          <a:effectLst>
            <a:outerShdw blurRad="254000" sx="102000" sy="102000" algn="ctr" rotWithShape="0">
              <a:prstClr val="black">
                <a:alpha val="20000"/>
              </a:prstClr>
            </a:outerShdw>
          </a:effectLst>
        </c:spPr>
      </c:pivotFmt>
      <c:pivotFmt>
        <c:idx val="3770"/>
        <c:spPr>
          <a:solidFill>
            <a:schemeClr val="accent6"/>
          </a:solidFill>
          <a:ln>
            <a:noFill/>
          </a:ln>
          <a:effectLst>
            <a:outerShdw blurRad="254000" sx="102000" sy="102000" algn="ctr" rotWithShape="0">
              <a:prstClr val="black">
                <a:alpha val="20000"/>
              </a:prstClr>
            </a:outerShdw>
          </a:effectLst>
        </c:spPr>
      </c:pivotFmt>
      <c:pivotFmt>
        <c:idx val="3771"/>
        <c:spPr>
          <a:solidFill>
            <a:schemeClr val="accent6"/>
          </a:solidFill>
          <a:ln>
            <a:noFill/>
          </a:ln>
          <a:effectLst>
            <a:outerShdw blurRad="254000" sx="102000" sy="102000" algn="ctr" rotWithShape="0">
              <a:prstClr val="black">
                <a:alpha val="20000"/>
              </a:prstClr>
            </a:outerShdw>
          </a:effectLst>
        </c:spPr>
      </c:pivotFmt>
      <c:pivotFmt>
        <c:idx val="3772"/>
        <c:spPr>
          <a:solidFill>
            <a:schemeClr val="accent6"/>
          </a:solidFill>
          <a:ln>
            <a:noFill/>
          </a:ln>
          <a:effectLst>
            <a:outerShdw blurRad="254000" sx="102000" sy="102000" algn="ctr" rotWithShape="0">
              <a:prstClr val="black">
                <a:alpha val="20000"/>
              </a:prstClr>
            </a:outerShdw>
          </a:effectLst>
        </c:spPr>
      </c:pivotFmt>
      <c:pivotFmt>
        <c:idx val="3773"/>
        <c:spPr>
          <a:solidFill>
            <a:schemeClr val="accent6"/>
          </a:solidFill>
          <a:ln>
            <a:noFill/>
          </a:ln>
          <a:effectLst>
            <a:outerShdw blurRad="254000" sx="102000" sy="102000" algn="ctr" rotWithShape="0">
              <a:prstClr val="black">
                <a:alpha val="20000"/>
              </a:prstClr>
            </a:outerShdw>
          </a:effectLst>
        </c:spPr>
      </c:pivotFmt>
      <c:pivotFmt>
        <c:idx val="377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75"/>
        <c:spPr>
          <a:solidFill>
            <a:schemeClr val="accent6"/>
          </a:solidFill>
          <a:ln>
            <a:noFill/>
          </a:ln>
          <a:effectLst>
            <a:outerShdw blurRad="254000" sx="102000" sy="102000" algn="ctr" rotWithShape="0">
              <a:prstClr val="black">
                <a:alpha val="20000"/>
              </a:prstClr>
            </a:outerShdw>
          </a:effectLst>
        </c:spPr>
      </c:pivotFmt>
      <c:pivotFmt>
        <c:idx val="3776"/>
        <c:spPr>
          <a:solidFill>
            <a:schemeClr val="accent6"/>
          </a:solidFill>
          <a:ln>
            <a:noFill/>
          </a:ln>
          <a:effectLst>
            <a:outerShdw blurRad="254000" sx="102000" sy="102000" algn="ctr" rotWithShape="0">
              <a:prstClr val="black">
                <a:alpha val="20000"/>
              </a:prstClr>
            </a:outerShdw>
          </a:effectLst>
        </c:spPr>
      </c:pivotFmt>
      <c:pivotFmt>
        <c:idx val="3777"/>
        <c:spPr>
          <a:solidFill>
            <a:schemeClr val="accent6"/>
          </a:solidFill>
          <a:ln>
            <a:noFill/>
          </a:ln>
          <a:effectLst>
            <a:outerShdw blurRad="254000" sx="102000" sy="102000" algn="ctr" rotWithShape="0">
              <a:prstClr val="black">
                <a:alpha val="20000"/>
              </a:prstClr>
            </a:outerShdw>
          </a:effectLst>
        </c:spPr>
      </c:pivotFmt>
      <c:pivotFmt>
        <c:idx val="3778"/>
        <c:spPr>
          <a:solidFill>
            <a:schemeClr val="accent6"/>
          </a:solidFill>
          <a:ln>
            <a:noFill/>
          </a:ln>
          <a:effectLst>
            <a:outerShdw blurRad="254000" sx="102000" sy="102000" algn="ctr" rotWithShape="0">
              <a:prstClr val="black">
                <a:alpha val="20000"/>
              </a:prstClr>
            </a:outerShdw>
          </a:effectLst>
        </c:spPr>
      </c:pivotFmt>
      <c:pivotFmt>
        <c:idx val="3779"/>
        <c:spPr>
          <a:solidFill>
            <a:schemeClr val="accent6"/>
          </a:solidFill>
          <a:ln>
            <a:noFill/>
          </a:ln>
          <a:effectLst>
            <a:outerShdw blurRad="254000" sx="102000" sy="102000" algn="ctr" rotWithShape="0">
              <a:prstClr val="black">
                <a:alpha val="20000"/>
              </a:prstClr>
            </a:outerShdw>
          </a:effectLst>
        </c:spPr>
      </c:pivotFmt>
      <c:pivotFmt>
        <c:idx val="378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81"/>
        <c:spPr>
          <a:solidFill>
            <a:schemeClr val="accent6"/>
          </a:solidFill>
          <a:ln>
            <a:noFill/>
          </a:ln>
          <a:effectLst>
            <a:outerShdw blurRad="254000" sx="102000" sy="102000" algn="ctr" rotWithShape="0">
              <a:prstClr val="black">
                <a:alpha val="20000"/>
              </a:prstClr>
            </a:outerShdw>
          </a:effectLst>
        </c:spPr>
      </c:pivotFmt>
      <c:pivotFmt>
        <c:idx val="3782"/>
        <c:spPr>
          <a:solidFill>
            <a:schemeClr val="accent5"/>
          </a:solidFill>
          <a:ln>
            <a:noFill/>
          </a:ln>
          <a:effectLst>
            <a:outerShdw blurRad="254000" sx="102000" sy="102000" algn="ctr" rotWithShape="0">
              <a:prstClr val="black">
                <a:alpha val="20000"/>
              </a:prstClr>
            </a:outerShdw>
          </a:effectLst>
        </c:spPr>
      </c:pivotFmt>
      <c:pivotFmt>
        <c:idx val="3783"/>
        <c:spPr>
          <a:solidFill>
            <a:schemeClr val="accent4"/>
          </a:solidFill>
          <a:ln>
            <a:noFill/>
          </a:ln>
          <a:effectLst>
            <a:outerShdw blurRad="254000" sx="102000" sy="102000" algn="ctr" rotWithShape="0">
              <a:prstClr val="black">
                <a:alpha val="20000"/>
              </a:prstClr>
            </a:outerShdw>
          </a:effectLst>
        </c:spPr>
      </c:pivotFmt>
      <c:pivotFmt>
        <c:idx val="3784"/>
        <c:spPr>
          <a:solidFill>
            <a:schemeClr val="accent6">
              <a:lumMod val="60000"/>
            </a:schemeClr>
          </a:solidFill>
          <a:ln>
            <a:noFill/>
          </a:ln>
          <a:effectLst>
            <a:outerShdw blurRad="254000" sx="102000" sy="102000" algn="ctr" rotWithShape="0">
              <a:prstClr val="black">
                <a:alpha val="20000"/>
              </a:prstClr>
            </a:outerShdw>
          </a:effectLst>
        </c:spPr>
      </c:pivotFmt>
      <c:pivotFmt>
        <c:idx val="3785"/>
        <c:spPr>
          <a:solidFill>
            <a:schemeClr val="accent5">
              <a:lumMod val="60000"/>
            </a:schemeClr>
          </a:solidFill>
          <a:ln>
            <a:noFill/>
          </a:ln>
          <a:effectLst>
            <a:outerShdw blurRad="254000" sx="102000" sy="102000" algn="ctr" rotWithShape="0">
              <a:prstClr val="black">
                <a:alpha val="20000"/>
              </a:prstClr>
            </a:outerShdw>
          </a:effectLst>
        </c:spPr>
      </c:pivotFmt>
      <c:pivotFmt>
        <c:idx val="378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87"/>
        <c:spPr>
          <a:solidFill>
            <a:schemeClr val="accent6"/>
          </a:solidFill>
          <a:ln>
            <a:noFill/>
          </a:ln>
          <a:effectLst>
            <a:outerShdw blurRad="254000" sx="102000" sy="102000" algn="ctr" rotWithShape="0">
              <a:prstClr val="black">
                <a:alpha val="20000"/>
              </a:prstClr>
            </a:outerShdw>
          </a:effectLst>
        </c:spPr>
      </c:pivotFmt>
      <c:pivotFmt>
        <c:idx val="3788"/>
        <c:spPr>
          <a:solidFill>
            <a:schemeClr val="accent6"/>
          </a:solidFill>
          <a:ln>
            <a:noFill/>
          </a:ln>
          <a:effectLst>
            <a:outerShdw blurRad="254000" sx="102000" sy="102000" algn="ctr" rotWithShape="0">
              <a:prstClr val="black">
                <a:alpha val="20000"/>
              </a:prstClr>
            </a:outerShdw>
          </a:effectLst>
        </c:spPr>
      </c:pivotFmt>
      <c:pivotFmt>
        <c:idx val="3789"/>
        <c:spPr>
          <a:solidFill>
            <a:schemeClr val="accent6"/>
          </a:solidFill>
          <a:ln>
            <a:noFill/>
          </a:ln>
          <a:effectLst>
            <a:outerShdw blurRad="254000" sx="102000" sy="102000" algn="ctr" rotWithShape="0">
              <a:prstClr val="black">
                <a:alpha val="20000"/>
              </a:prstClr>
            </a:outerShdw>
          </a:effectLst>
        </c:spPr>
      </c:pivotFmt>
      <c:pivotFmt>
        <c:idx val="3790"/>
        <c:spPr>
          <a:solidFill>
            <a:schemeClr val="accent6"/>
          </a:solidFill>
          <a:ln>
            <a:noFill/>
          </a:ln>
          <a:effectLst>
            <a:outerShdw blurRad="254000" sx="102000" sy="102000" algn="ctr" rotWithShape="0">
              <a:prstClr val="black">
                <a:alpha val="20000"/>
              </a:prstClr>
            </a:outerShdw>
          </a:effectLst>
        </c:spPr>
      </c:pivotFmt>
      <c:pivotFmt>
        <c:idx val="3791"/>
        <c:spPr>
          <a:solidFill>
            <a:schemeClr val="accent6"/>
          </a:solidFill>
          <a:ln>
            <a:noFill/>
          </a:ln>
          <a:effectLst>
            <a:outerShdw blurRad="254000" sx="102000" sy="102000" algn="ctr" rotWithShape="0">
              <a:prstClr val="black">
                <a:alpha val="20000"/>
              </a:prstClr>
            </a:outerShdw>
          </a:effectLst>
        </c:spPr>
      </c:pivotFmt>
      <c:pivotFmt>
        <c:idx val="379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9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9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9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796"/>
        <c:spPr>
          <a:solidFill>
            <a:schemeClr val="accent6"/>
          </a:solidFill>
          <a:ln>
            <a:noFill/>
          </a:ln>
          <a:effectLst>
            <a:outerShdw blurRad="254000" sx="102000" sy="102000" algn="ctr" rotWithShape="0">
              <a:prstClr val="black">
                <a:alpha val="20000"/>
              </a:prstClr>
            </a:outerShdw>
          </a:effectLst>
        </c:spPr>
      </c:pivotFmt>
      <c:pivotFmt>
        <c:idx val="3797"/>
        <c:spPr>
          <a:solidFill>
            <a:schemeClr val="accent6"/>
          </a:solidFill>
          <a:ln>
            <a:noFill/>
          </a:ln>
          <a:effectLst>
            <a:outerShdw blurRad="254000" sx="102000" sy="102000" algn="ctr" rotWithShape="0">
              <a:prstClr val="black">
                <a:alpha val="20000"/>
              </a:prstClr>
            </a:outerShdw>
          </a:effectLst>
        </c:spPr>
      </c:pivotFmt>
      <c:pivotFmt>
        <c:idx val="3798"/>
        <c:spPr>
          <a:solidFill>
            <a:schemeClr val="accent6"/>
          </a:solidFill>
          <a:ln>
            <a:noFill/>
          </a:ln>
          <a:effectLst>
            <a:outerShdw blurRad="254000" sx="102000" sy="102000" algn="ctr" rotWithShape="0">
              <a:prstClr val="black">
                <a:alpha val="20000"/>
              </a:prstClr>
            </a:outerShdw>
          </a:effectLst>
        </c:spPr>
      </c:pivotFmt>
      <c:pivotFmt>
        <c:idx val="3799"/>
        <c:spPr>
          <a:solidFill>
            <a:schemeClr val="accent6"/>
          </a:solidFill>
          <a:ln>
            <a:noFill/>
          </a:ln>
          <a:effectLst>
            <a:outerShdw blurRad="254000" sx="102000" sy="102000" algn="ctr" rotWithShape="0">
              <a:prstClr val="black">
                <a:alpha val="20000"/>
              </a:prstClr>
            </a:outerShdw>
          </a:effectLst>
        </c:spPr>
      </c:pivotFmt>
      <c:pivotFmt>
        <c:idx val="3800"/>
        <c:spPr>
          <a:solidFill>
            <a:schemeClr val="accent6"/>
          </a:solidFill>
          <a:ln>
            <a:noFill/>
          </a:ln>
          <a:effectLst>
            <a:outerShdw blurRad="254000" sx="102000" sy="102000" algn="ctr" rotWithShape="0">
              <a:prstClr val="black">
                <a:alpha val="20000"/>
              </a:prstClr>
            </a:outerShdw>
          </a:effectLst>
        </c:spPr>
      </c:pivotFmt>
      <c:pivotFmt>
        <c:idx val="38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02"/>
        <c:spPr>
          <a:solidFill>
            <a:schemeClr val="accent6"/>
          </a:solidFill>
          <a:ln>
            <a:noFill/>
          </a:ln>
          <a:effectLst>
            <a:outerShdw blurRad="254000" sx="102000" sy="102000" algn="ctr" rotWithShape="0">
              <a:prstClr val="black">
                <a:alpha val="20000"/>
              </a:prstClr>
            </a:outerShdw>
          </a:effectLst>
        </c:spPr>
      </c:pivotFmt>
      <c:pivotFmt>
        <c:idx val="3803"/>
        <c:spPr>
          <a:solidFill>
            <a:schemeClr val="accent6"/>
          </a:solidFill>
          <a:ln>
            <a:noFill/>
          </a:ln>
          <a:effectLst>
            <a:outerShdw blurRad="254000" sx="102000" sy="102000" algn="ctr" rotWithShape="0">
              <a:prstClr val="black">
                <a:alpha val="20000"/>
              </a:prstClr>
            </a:outerShdw>
          </a:effectLst>
        </c:spPr>
      </c:pivotFmt>
      <c:pivotFmt>
        <c:idx val="3804"/>
        <c:spPr>
          <a:solidFill>
            <a:schemeClr val="accent6"/>
          </a:solidFill>
          <a:ln>
            <a:noFill/>
          </a:ln>
          <a:effectLst>
            <a:outerShdw blurRad="254000" sx="102000" sy="102000" algn="ctr" rotWithShape="0">
              <a:prstClr val="black">
                <a:alpha val="20000"/>
              </a:prstClr>
            </a:outerShdw>
          </a:effectLst>
        </c:spPr>
      </c:pivotFmt>
      <c:pivotFmt>
        <c:idx val="3805"/>
        <c:spPr>
          <a:solidFill>
            <a:schemeClr val="accent6"/>
          </a:solidFill>
          <a:ln>
            <a:noFill/>
          </a:ln>
          <a:effectLst>
            <a:outerShdw blurRad="254000" sx="102000" sy="102000" algn="ctr" rotWithShape="0">
              <a:prstClr val="black">
                <a:alpha val="20000"/>
              </a:prstClr>
            </a:outerShdw>
          </a:effectLst>
        </c:spPr>
      </c:pivotFmt>
      <c:pivotFmt>
        <c:idx val="3806"/>
        <c:spPr>
          <a:solidFill>
            <a:schemeClr val="accent6"/>
          </a:solidFill>
          <a:ln>
            <a:noFill/>
          </a:ln>
          <a:effectLst>
            <a:outerShdw blurRad="254000" sx="102000" sy="102000" algn="ctr" rotWithShape="0">
              <a:prstClr val="black">
                <a:alpha val="20000"/>
              </a:prstClr>
            </a:outerShdw>
          </a:effectLst>
        </c:spPr>
      </c:pivotFmt>
      <c:pivotFmt>
        <c:idx val="380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08"/>
        <c:spPr>
          <a:solidFill>
            <a:schemeClr val="accent6"/>
          </a:solidFill>
          <a:ln>
            <a:noFill/>
          </a:ln>
          <a:effectLst>
            <a:outerShdw blurRad="254000" sx="102000" sy="102000" algn="ctr" rotWithShape="0">
              <a:prstClr val="black">
                <a:alpha val="20000"/>
              </a:prstClr>
            </a:outerShdw>
          </a:effectLst>
        </c:spPr>
      </c:pivotFmt>
      <c:pivotFmt>
        <c:idx val="3809"/>
        <c:spPr>
          <a:solidFill>
            <a:schemeClr val="accent6"/>
          </a:solidFill>
          <a:ln>
            <a:noFill/>
          </a:ln>
          <a:effectLst>
            <a:outerShdw blurRad="254000" sx="102000" sy="102000" algn="ctr" rotWithShape="0">
              <a:prstClr val="black">
                <a:alpha val="20000"/>
              </a:prstClr>
            </a:outerShdw>
          </a:effectLst>
        </c:spPr>
      </c:pivotFmt>
      <c:pivotFmt>
        <c:idx val="3810"/>
        <c:spPr>
          <a:solidFill>
            <a:schemeClr val="accent6"/>
          </a:solidFill>
          <a:ln>
            <a:noFill/>
          </a:ln>
          <a:effectLst>
            <a:outerShdw blurRad="254000" sx="102000" sy="102000" algn="ctr" rotWithShape="0">
              <a:prstClr val="black">
                <a:alpha val="20000"/>
              </a:prstClr>
            </a:outerShdw>
          </a:effectLst>
        </c:spPr>
      </c:pivotFmt>
      <c:pivotFmt>
        <c:idx val="3811"/>
        <c:spPr>
          <a:solidFill>
            <a:schemeClr val="accent6"/>
          </a:solidFill>
          <a:ln>
            <a:noFill/>
          </a:ln>
          <a:effectLst>
            <a:outerShdw blurRad="254000" sx="102000" sy="102000" algn="ctr" rotWithShape="0">
              <a:prstClr val="black">
                <a:alpha val="20000"/>
              </a:prstClr>
            </a:outerShdw>
          </a:effectLst>
        </c:spPr>
      </c:pivotFmt>
      <c:pivotFmt>
        <c:idx val="3812"/>
        <c:spPr>
          <a:solidFill>
            <a:schemeClr val="accent6"/>
          </a:solidFill>
          <a:ln>
            <a:noFill/>
          </a:ln>
          <a:effectLst>
            <a:outerShdw blurRad="254000" sx="102000" sy="102000" algn="ctr" rotWithShape="0">
              <a:prstClr val="black">
                <a:alpha val="20000"/>
              </a:prstClr>
            </a:outerShdw>
          </a:effectLst>
        </c:spPr>
      </c:pivotFmt>
      <c:pivotFmt>
        <c:idx val="381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14"/>
        <c:spPr>
          <a:solidFill>
            <a:schemeClr val="accent6"/>
          </a:solidFill>
          <a:ln>
            <a:noFill/>
          </a:ln>
          <a:effectLst>
            <a:outerShdw blurRad="254000" sx="102000" sy="102000" algn="ctr" rotWithShape="0">
              <a:prstClr val="black">
                <a:alpha val="20000"/>
              </a:prstClr>
            </a:outerShdw>
          </a:effectLst>
        </c:spPr>
      </c:pivotFmt>
      <c:pivotFmt>
        <c:idx val="3815"/>
        <c:spPr>
          <a:solidFill>
            <a:schemeClr val="accent6"/>
          </a:solidFill>
          <a:ln>
            <a:noFill/>
          </a:ln>
          <a:effectLst>
            <a:outerShdw blurRad="254000" sx="102000" sy="102000" algn="ctr" rotWithShape="0">
              <a:prstClr val="black">
                <a:alpha val="20000"/>
              </a:prstClr>
            </a:outerShdw>
          </a:effectLst>
        </c:spPr>
      </c:pivotFmt>
      <c:pivotFmt>
        <c:idx val="3816"/>
        <c:spPr>
          <a:solidFill>
            <a:schemeClr val="accent6"/>
          </a:solidFill>
          <a:ln>
            <a:noFill/>
          </a:ln>
          <a:effectLst>
            <a:outerShdw blurRad="254000" sx="102000" sy="102000" algn="ctr" rotWithShape="0">
              <a:prstClr val="black">
                <a:alpha val="20000"/>
              </a:prstClr>
            </a:outerShdw>
          </a:effectLst>
        </c:spPr>
      </c:pivotFmt>
      <c:pivotFmt>
        <c:idx val="3817"/>
        <c:spPr>
          <a:solidFill>
            <a:schemeClr val="accent6"/>
          </a:solidFill>
          <a:ln>
            <a:noFill/>
          </a:ln>
          <a:effectLst>
            <a:outerShdw blurRad="254000" sx="102000" sy="102000" algn="ctr" rotWithShape="0">
              <a:prstClr val="black">
                <a:alpha val="20000"/>
              </a:prstClr>
            </a:outerShdw>
          </a:effectLst>
        </c:spPr>
      </c:pivotFmt>
      <c:pivotFmt>
        <c:idx val="3818"/>
        <c:spPr>
          <a:solidFill>
            <a:schemeClr val="accent6"/>
          </a:solidFill>
          <a:ln>
            <a:noFill/>
          </a:ln>
          <a:effectLst>
            <a:outerShdw blurRad="254000" sx="102000" sy="102000" algn="ctr" rotWithShape="0">
              <a:prstClr val="black">
                <a:alpha val="20000"/>
              </a:prstClr>
            </a:outerShdw>
          </a:effectLst>
        </c:spPr>
      </c:pivotFmt>
      <c:pivotFmt>
        <c:idx val="381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2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2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2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2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2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2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2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27"/>
        <c:spPr>
          <a:solidFill>
            <a:schemeClr val="accent6"/>
          </a:solidFill>
          <a:ln>
            <a:noFill/>
          </a:ln>
          <a:effectLst>
            <a:outerShdw blurRad="254000" sx="102000" sy="102000" algn="ctr" rotWithShape="0">
              <a:prstClr val="black">
                <a:alpha val="20000"/>
              </a:prstClr>
            </a:outerShdw>
          </a:effectLst>
        </c:spPr>
      </c:pivotFmt>
      <c:pivotFmt>
        <c:idx val="3828"/>
        <c:spPr>
          <a:solidFill>
            <a:schemeClr val="accent6"/>
          </a:solidFill>
          <a:ln>
            <a:noFill/>
          </a:ln>
          <a:effectLst>
            <a:outerShdw blurRad="254000" sx="102000" sy="102000" algn="ctr" rotWithShape="0">
              <a:prstClr val="black">
                <a:alpha val="20000"/>
              </a:prstClr>
            </a:outerShdw>
          </a:effectLst>
        </c:spPr>
      </c:pivotFmt>
      <c:pivotFmt>
        <c:idx val="3829"/>
        <c:spPr>
          <a:solidFill>
            <a:schemeClr val="accent6"/>
          </a:solidFill>
          <a:ln>
            <a:noFill/>
          </a:ln>
          <a:effectLst>
            <a:outerShdw blurRad="254000" sx="102000" sy="102000" algn="ctr" rotWithShape="0">
              <a:prstClr val="black">
                <a:alpha val="20000"/>
              </a:prstClr>
            </a:outerShdw>
          </a:effectLst>
        </c:spPr>
      </c:pivotFmt>
      <c:pivotFmt>
        <c:idx val="3830"/>
        <c:spPr>
          <a:solidFill>
            <a:schemeClr val="accent6"/>
          </a:solidFill>
          <a:ln>
            <a:noFill/>
          </a:ln>
          <a:effectLst>
            <a:outerShdw blurRad="254000" sx="102000" sy="102000" algn="ctr" rotWithShape="0">
              <a:prstClr val="black">
                <a:alpha val="20000"/>
              </a:prstClr>
            </a:outerShdw>
          </a:effectLst>
        </c:spPr>
      </c:pivotFmt>
      <c:pivotFmt>
        <c:idx val="3831"/>
        <c:spPr>
          <a:solidFill>
            <a:schemeClr val="accent6"/>
          </a:solidFill>
          <a:ln>
            <a:noFill/>
          </a:ln>
          <a:effectLst>
            <a:outerShdw blurRad="254000" sx="102000" sy="102000" algn="ctr" rotWithShape="0">
              <a:prstClr val="black">
                <a:alpha val="20000"/>
              </a:prstClr>
            </a:outerShdw>
          </a:effectLst>
        </c:spPr>
      </c:pivotFmt>
      <c:pivotFmt>
        <c:idx val="383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33"/>
        <c:spPr>
          <a:solidFill>
            <a:schemeClr val="accent6"/>
          </a:solidFill>
          <a:ln>
            <a:noFill/>
          </a:ln>
          <a:effectLst>
            <a:outerShdw blurRad="254000" sx="102000" sy="102000" algn="ctr" rotWithShape="0">
              <a:prstClr val="black">
                <a:alpha val="20000"/>
              </a:prstClr>
            </a:outerShdw>
          </a:effectLst>
        </c:spPr>
      </c:pivotFmt>
      <c:pivotFmt>
        <c:idx val="3834"/>
        <c:spPr>
          <a:solidFill>
            <a:schemeClr val="accent6"/>
          </a:solidFill>
          <a:ln>
            <a:noFill/>
          </a:ln>
          <a:effectLst>
            <a:outerShdw blurRad="254000" sx="102000" sy="102000" algn="ctr" rotWithShape="0">
              <a:prstClr val="black">
                <a:alpha val="20000"/>
              </a:prstClr>
            </a:outerShdw>
          </a:effectLst>
        </c:spPr>
      </c:pivotFmt>
      <c:pivotFmt>
        <c:idx val="3835"/>
        <c:spPr>
          <a:solidFill>
            <a:schemeClr val="accent6"/>
          </a:solidFill>
          <a:ln>
            <a:noFill/>
          </a:ln>
          <a:effectLst>
            <a:outerShdw blurRad="254000" sx="102000" sy="102000" algn="ctr" rotWithShape="0">
              <a:prstClr val="black">
                <a:alpha val="20000"/>
              </a:prstClr>
            </a:outerShdw>
          </a:effectLst>
        </c:spPr>
      </c:pivotFmt>
      <c:pivotFmt>
        <c:idx val="3836"/>
        <c:spPr>
          <a:solidFill>
            <a:schemeClr val="accent6"/>
          </a:solidFill>
          <a:ln>
            <a:noFill/>
          </a:ln>
          <a:effectLst>
            <a:outerShdw blurRad="254000" sx="102000" sy="102000" algn="ctr" rotWithShape="0">
              <a:prstClr val="black">
                <a:alpha val="20000"/>
              </a:prstClr>
            </a:outerShdw>
          </a:effectLst>
        </c:spPr>
      </c:pivotFmt>
      <c:pivotFmt>
        <c:idx val="3837"/>
        <c:spPr>
          <a:solidFill>
            <a:schemeClr val="accent6"/>
          </a:solidFill>
          <a:ln>
            <a:noFill/>
          </a:ln>
          <a:effectLst>
            <a:outerShdw blurRad="254000" sx="102000" sy="102000" algn="ctr" rotWithShape="0">
              <a:prstClr val="black">
                <a:alpha val="20000"/>
              </a:prstClr>
            </a:outerShdw>
          </a:effectLst>
        </c:spPr>
      </c:pivotFmt>
      <c:pivotFmt>
        <c:idx val="3838"/>
        <c:spPr>
          <a:solidFill>
            <a:schemeClr val="accent6"/>
          </a:solidFill>
          <a:ln>
            <a:noFill/>
          </a:ln>
          <a:effectLst>
            <a:outerShdw blurRad="254000" sx="102000" sy="102000" algn="ctr" rotWithShape="0">
              <a:prstClr val="black">
                <a:alpha val="20000"/>
              </a:prstClr>
            </a:outerShdw>
          </a:effectLst>
        </c:spPr>
      </c:pivotFmt>
      <c:pivotFmt>
        <c:idx val="3839"/>
        <c:spPr>
          <a:solidFill>
            <a:schemeClr val="accent6"/>
          </a:solidFill>
          <a:ln>
            <a:noFill/>
          </a:ln>
          <a:effectLst>
            <a:outerShdw blurRad="254000" sx="102000" sy="102000" algn="ctr" rotWithShape="0">
              <a:prstClr val="black">
                <a:alpha val="20000"/>
              </a:prstClr>
            </a:outerShdw>
          </a:effectLst>
        </c:spPr>
      </c:pivotFmt>
      <c:pivotFmt>
        <c:idx val="3840"/>
        <c:spPr>
          <a:solidFill>
            <a:schemeClr val="accent6"/>
          </a:solidFill>
          <a:ln>
            <a:noFill/>
          </a:ln>
          <a:effectLst>
            <a:outerShdw blurRad="254000" sx="102000" sy="102000" algn="ctr" rotWithShape="0">
              <a:prstClr val="black">
                <a:alpha val="20000"/>
              </a:prstClr>
            </a:outerShdw>
          </a:effectLst>
        </c:spPr>
      </c:pivotFmt>
      <c:pivotFmt>
        <c:idx val="3841"/>
        <c:spPr>
          <a:solidFill>
            <a:schemeClr val="accent6"/>
          </a:solidFill>
          <a:ln>
            <a:noFill/>
          </a:ln>
          <a:effectLst>
            <a:outerShdw blurRad="254000" sx="102000" sy="102000" algn="ctr" rotWithShape="0">
              <a:prstClr val="black">
                <a:alpha val="20000"/>
              </a:prstClr>
            </a:outerShdw>
          </a:effectLst>
        </c:spPr>
      </c:pivotFmt>
      <c:pivotFmt>
        <c:idx val="3842"/>
        <c:spPr>
          <a:solidFill>
            <a:schemeClr val="accent6"/>
          </a:solidFill>
          <a:ln>
            <a:noFill/>
          </a:ln>
          <a:effectLst>
            <a:outerShdw blurRad="254000" sx="102000" sy="102000" algn="ctr" rotWithShape="0">
              <a:prstClr val="black">
                <a:alpha val="20000"/>
              </a:prstClr>
            </a:outerShdw>
          </a:effectLst>
        </c:spPr>
      </c:pivotFmt>
      <c:pivotFmt>
        <c:idx val="384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44"/>
        <c:spPr>
          <a:solidFill>
            <a:schemeClr val="accent6"/>
          </a:solidFill>
          <a:ln>
            <a:noFill/>
          </a:ln>
          <a:effectLst>
            <a:outerShdw blurRad="254000" sx="102000" sy="102000" algn="ctr" rotWithShape="0">
              <a:prstClr val="black">
                <a:alpha val="20000"/>
              </a:prstClr>
            </a:outerShdw>
          </a:effectLst>
        </c:spPr>
      </c:pivotFmt>
      <c:pivotFmt>
        <c:idx val="3845"/>
        <c:spPr>
          <a:solidFill>
            <a:schemeClr val="accent6"/>
          </a:solidFill>
          <a:ln>
            <a:noFill/>
          </a:ln>
          <a:effectLst>
            <a:outerShdw blurRad="254000" sx="102000" sy="102000" algn="ctr" rotWithShape="0">
              <a:prstClr val="black">
                <a:alpha val="20000"/>
              </a:prstClr>
            </a:outerShdw>
          </a:effectLst>
        </c:spPr>
      </c:pivotFmt>
      <c:pivotFmt>
        <c:idx val="3846"/>
        <c:spPr>
          <a:solidFill>
            <a:schemeClr val="accent6"/>
          </a:solidFill>
          <a:ln>
            <a:noFill/>
          </a:ln>
          <a:effectLst>
            <a:outerShdw blurRad="254000" sx="102000" sy="102000" algn="ctr" rotWithShape="0">
              <a:prstClr val="black">
                <a:alpha val="20000"/>
              </a:prstClr>
            </a:outerShdw>
          </a:effectLst>
        </c:spPr>
      </c:pivotFmt>
      <c:pivotFmt>
        <c:idx val="3847"/>
        <c:spPr>
          <a:solidFill>
            <a:schemeClr val="accent6"/>
          </a:solidFill>
          <a:ln>
            <a:noFill/>
          </a:ln>
          <a:effectLst>
            <a:outerShdw blurRad="254000" sx="102000" sy="102000" algn="ctr" rotWithShape="0">
              <a:prstClr val="black">
                <a:alpha val="20000"/>
              </a:prstClr>
            </a:outerShdw>
          </a:effectLst>
        </c:spPr>
      </c:pivotFmt>
      <c:pivotFmt>
        <c:idx val="3848"/>
        <c:spPr>
          <a:solidFill>
            <a:schemeClr val="accent6"/>
          </a:solidFill>
          <a:ln>
            <a:noFill/>
          </a:ln>
          <a:effectLst>
            <a:outerShdw blurRad="254000" sx="102000" sy="102000" algn="ctr" rotWithShape="0">
              <a:prstClr val="black">
                <a:alpha val="20000"/>
              </a:prstClr>
            </a:outerShdw>
          </a:effectLst>
        </c:spPr>
      </c:pivotFmt>
      <c:pivotFmt>
        <c:idx val="3849"/>
        <c:spPr>
          <a:solidFill>
            <a:schemeClr val="accent6"/>
          </a:solidFill>
          <a:ln>
            <a:noFill/>
          </a:ln>
          <a:effectLst>
            <a:outerShdw blurRad="254000" sx="102000" sy="102000" algn="ctr" rotWithShape="0">
              <a:prstClr val="black">
                <a:alpha val="20000"/>
              </a:prstClr>
            </a:outerShdw>
          </a:effectLst>
        </c:spPr>
      </c:pivotFmt>
      <c:pivotFmt>
        <c:idx val="3850"/>
        <c:spPr>
          <a:solidFill>
            <a:schemeClr val="accent6"/>
          </a:solidFill>
          <a:ln>
            <a:noFill/>
          </a:ln>
          <a:effectLst>
            <a:outerShdw blurRad="254000" sx="102000" sy="102000" algn="ctr" rotWithShape="0">
              <a:prstClr val="black">
                <a:alpha val="20000"/>
              </a:prstClr>
            </a:outerShdw>
          </a:effectLst>
        </c:spPr>
      </c:pivotFmt>
      <c:pivotFmt>
        <c:idx val="3851"/>
        <c:spPr>
          <a:solidFill>
            <a:schemeClr val="accent6"/>
          </a:solidFill>
          <a:ln>
            <a:noFill/>
          </a:ln>
          <a:effectLst>
            <a:outerShdw blurRad="254000" sx="102000" sy="102000" algn="ctr" rotWithShape="0">
              <a:prstClr val="black">
                <a:alpha val="20000"/>
              </a:prstClr>
            </a:outerShdw>
          </a:effectLst>
        </c:spPr>
      </c:pivotFmt>
      <c:pivotFmt>
        <c:idx val="3852"/>
        <c:spPr>
          <a:solidFill>
            <a:schemeClr val="accent6"/>
          </a:solidFill>
          <a:ln>
            <a:noFill/>
          </a:ln>
          <a:effectLst>
            <a:outerShdw blurRad="254000" sx="102000" sy="102000" algn="ctr" rotWithShape="0">
              <a:prstClr val="black">
                <a:alpha val="20000"/>
              </a:prstClr>
            </a:outerShdw>
          </a:effectLst>
        </c:spPr>
      </c:pivotFmt>
      <c:pivotFmt>
        <c:idx val="3853"/>
        <c:spPr>
          <a:solidFill>
            <a:schemeClr val="accent6"/>
          </a:solidFill>
          <a:ln>
            <a:noFill/>
          </a:ln>
          <a:effectLst>
            <a:outerShdw blurRad="254000" sx="102000" sy="102000" algn="ctr" rotWithShape="0">
              <a:prstClr val="black">
                <a:alpha val="20000"/>
              </a:prstClr>
            </a:outerShdw>
          </a:effectLst>
        </c:spPr>
      </c:pivotFmt>
      <c:pivotFmt>
        <c:idx val="3854"/>
        <c:spPr>
          <a:solidFill>
            <a:schemeClr val="accent6"/>
          </a:solidFill>
          <a:ln>
            <a:noFill/>
          </a:ln>
          <a:effectLst>
            <a:outerShdw blurRad="254000" sx="102000" sy="102000" algn="ctr" rotWithShape="0">
              <a:prstClr val="black">
                <a:alpha val="20000"/>
              </a:prstClr>
            </a:outerShdw>
          </a:effectLst>
        </c:spPr>
      </c:pivotFmt>
      <c:pivotFmt>
        <c:idx val="3855"/>
        <c:spPr>
          <a:solidFill>
            <a:schemeClr val="accent6"/>
          </a:solidFill>
          <a:ln>
            <a:noFill/>
          </a:ln>
          <a:effectLst>
            <a:outerShdw blurRad="254000" sx="102000" sy="102000" algn="ctr" rotWithShape="0">
              <a:prstClr val="black">
                <a:alpha val="20000"/>
              </a:prstClr>
            </a:outerShdw>
          </a:effectLst>
        </c:spPr>
      </c:pivotFmt>
      <c:pivotFmt>
        <c:idx val="3856"/>
        <c:spPr>
          <a:solidFill>
            <a:schemeClr val="accent6"/>
          </a:solidFill>
          <a:ln>
            <a:noFill/>
          </a:ln>
          <a:effectLst>
            <a:outerShdw blurRad="254000" sx="102000" sy="102000" algn="ctr" rotWithShape="0">
              <a:prstClr val="black">
                <a:alpha val="20000"/>
              </a:prstClr>
            </a:outerShdw>
          </a:effectLst>
        </c:spPr>
      </c:pivotFmt>
      <c:pivotFmt>
        <c:idx val="3857"/>
        <c:spPr>
          <a:solidFill>
            <a:schemeClr val="accent6"/>
          </a:solidFill>
          <a:ln>
            <a:noFill/>
          </a:ln>
          <a:effectLst>
            <a:outerShdw blurRad="254000" sx="102000" sy="102000" algn="ctr" rotWithShape="0">
              <a:prstClr val="black">
                <a:alpha val="20000"/>
              </a:prstClr>
            </a:outerShdw>
          </a:effectLst>
        </c:spPr>
      </c:pivotFmt>
      <c:pivotFmt>
        <c:idx val="3858"/>
        <c:spPr>
          <a:solidFill>
            <a:schemeClr val="accent6"/>
          </a:solidFill>
          <a:ln>
            <a:noFill/>
          </a:ln>
          <a:effectLst>
            <a:outerShdw blurRad="254000" sx="102000" sy="102000" algn="ctr" rotWithShape="0">
              <a:prstClr val="black">
                <a:alpha val="20000"/>
              </a:prstClr>
            </a:outerShdw>
          </a:effectLst>
        </c:spPr>
      </c:pivotFmt>
      <c:pivotFmt>
        <c:idx val="3859"/>
        <c:spPr>
          <a:solidFill>
            <a:schemeClr val="accent6"/>
          </a:solidFill>
          <a:ln>
            <a:noFill/>
          </a:ln>
          <a:effectLst>
            <a:outerShdw blurRad="254000" sx="102000" sy="102000" algn="ctr" rotWithShape="0">
              <a:prstClr val="black">
                <a:alpha val="20000"/>
              </a:prstClr>
            </a:outerShdw>
          </a:effectLst>
        </c:spPr>
      </c:pivotFmt>
      <c:pivotFmt>
        <c:idx val="3860"/>
        <c:spPr>
          <a:solidFill>
            <a:schemeClr val="accent6"/>
          </a:solidFill>
          <a:ln>
            <a:noFill/>
          </a:ln>
          <a:effectLst>
            <a:outerShdw blurRad="254000" sx="102000" sy="102000" algn="ctr" rotWithShape="0">
              <a:prstClr val="black">
                <a:alpha val="20000"/>
              </a:prstClr>
            </a:outerShdw>
          </a:effectLst>
        </c:spPr>
      </c:pivotFmt>
      <c:pivotFmt>
        <c:idx val="3861"/>
        <c:spPr>
          <a:solidFill>
            <a:schemeClr val="accent6"/>
          </a:solidFill>
          <a:ln>
            <a:noFill/>
          </a:ln>
          <a:effectLst>
            <a:outerShdw blurRad="254000" sx="102000" sy="102000" algn="ctr" rotWithShape="0">
              <a:prstClr val="black">
                <a:alpha val="20000"/>
              </a:prstClr>
            </a:outerShdw>
          </a:effectLst>
        </c:spPr>
      </c:pivotFmt>
      <c:pivotFmt>
        <c:idx val="3862"/>
        <c:spPr>
          <a:solidFill>
            <a:schemeClr val="accent6"/>
          </a:solidFill>
          <a:ln>
            <a:noFill/>
          </a:ln>
          <a:effectLst>
            <a:outerShdw blurRad="254000" sx="102000" sy="102000" algn="ctr" rotWithShape="0">
              <a:prstClr val="black">
                <a:alpha val="20000"/>
              </a:prstClr>
            </a:outerShdw>
          </a:effectLst>
        </c:spPr>
      </c:pivotFmt>
      <c:pivotFmt>
        <c:idx val="3863"/>
        <c:spPr>
          <a:solidFill>
            <a:schemeClr val="accent6"/>
          </a:solidFill>
          <a:ln>
            <a:noFill/>
          </a:ln>
          <a:effectLst>
            <a:outerShdw blurRad="254000" sx="102000" sy="102000" algn="ctr" rotWithShape="0">
              <a:prstClr val="black">
                <a:alpha val="20000"/>
              </a:prstClr>
            </a:outerShdw>
          </a:effectLst>
        </c:spPr>
      </c:pivotFmt>
      <c:pivotFmt>
        <c:idx val="386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65"/>
        <c:spPr>
          <a:solidFill>
            <a:schemeClr val="accent6"/>
          </a:solidFill>
          <a:ln>
            <a:noFill/>
          </a:ln>
          <a:effectLst>
            <a:outerShdw blurRad="254000" sx="102000" sy="102000" algn="ctr" rotWithShape="0">
              <a:prstClr val="black">
                <a:alpha val="20000"/>
              </a:prstClr>
            </a:outerShdw>
          </a:effectLst>
        </c:spPr>
      </c:pivotFmt>
      <c:pivotFmt>
        <c:idx val="3866"/>
        <c:spPr>
          <a:solidFill>
            <a:schemeClr val="accent6"/>
          </a:solidFill>
          <a:ln>
            <a:noFill/>
          </a:ln>
          <a:effectLst>
            <a:outerShdw blurRad="254000" sx="102000" sy="102000" algn="ctr" rotWithShape="0">
              <a:prstClr val="black">
                <a:alpha val="20000"/>
              </a:prstClr>
            </a:outerShdw>
          </a:effectLst>
        </c:spPr>
      </c:pivotFmt>
      <c:pivotFmt>
        <c:idx val="3867"/>
        <c:spPr>
          <a:solidFill>
            <a:schemeClr val="accent6"/>
          </a:solidFill>
          <a:ln>
            <a:noFill/>
          </a:ln>
          <a:effectLst>
            <a:outerShdw blurRad="254000" sx="102000" sy="102000" algn="ctr" rotWithShape="0">
              <a:prstClr val="black">
                <a:alpha val="20000"/>
              </a:prstClr>
            </a:outerShdw>
          </a:effectLst>
        </c:spPr>
      </c:pivotFmt>
      <c:pivotFmt>
        <c:idx val="3868"/>
        <c:spPr>
          <a:solidFill>
            <a:schemeClr val="accent6"/>
          </a:solidFill>
          <a:ln>
            <a:noFill/>
          </a:ln>
          <a:effectLst>
            <a:outerShdw blurRad="254000" sx="102000" sy="102000" algn="ctr" rotWithShape="0">
              <a:prstClr val="black">
                <a:alpha val="20000"/>
              </a:prstClr>
            </a:outerShdw>
          </a:effectLst>
        </c:spPr>
      </c:pivotFmt>
      <c:pivotFmt>
        <c:idx val="3869"/>
        <c:spPr>
          <a:solidFill>
            <a:schemeClr val="accent6"/>
          </a:solidFill>
          <a:ln>
            <a:noFill/>
          </a:ln>
          <a:effectLst>
            <a:outerShdw blurRad="254000" sx="102000" sy="102000" algn="ctr" rotWithShape="0">
              <a:prstClr val="black">
                <a:alpha val="20000"/>
              </a:prstClr>
            </a:outerShdw>
          </a:effectLst>
        </c:spPr>
      </c:pivotFmt>
      <c:pivotFmt>
        <c:idx val="387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71"/>
        <c:spPr>
          <a:solidFill>
            <a:schemeClr val="accent6"/>
          </a:solidFill>
          <a:ln>
            <a:noFill/>
          </a:ln>
          <a:effectLst>
            <a:outerShdw blurRad="254000" sx="102000" sy="102000" algn="ctr" rotWithShape="0">
              <a:prstClr val="black">
                <a:alpha val="20000"/>
              </a:prstClr>
            </a:outerShdw>
          </a:effectLst>
        </c:spPr>
      </c:pivotFmt>
      <c:pivotFmt>
        <c:idx val="3872"/>
        <c:spPr>
          <a:solidFill>
            <a:schemeClr val="accent6"/>
          </a:solidFill>
          <a:ln>
            <a:noFill/>
          </a:ln>
          <a:effectLst>
            <a:outerShdw blurRad="254000" sx="102000" sy="102000" algn="ctr" rotWithShape="0">
              <a:prstClr val="black">
                <a:alpha val="20000"/>
              </a:prstClr>
            </a:outerShdw>
          </a:effectLst>
        </c:spPr>
      </c:pivotFmt>
      <c:pivotFmt>
        <c:idx val="3873"/>
        <c:spPr>
          <a:solidFill>
            <a:schemeClr val="accent6"/>
          </a:solidFill>
          <a:ln>
            <a:noFill/>
          </a:ln>
          <a:effectLst>
            <a:outerShdw blurRad="254000" sx="102000" sy="102000" algn="ctr" rotWithShape="0">
              <a:prstClr val="black">
                <a:alpha val="20000"/>
              </a:prstClr>
            </a:outerShdw>
          </a:effectLst>
        </c:spPr>
      </c:pivotFmt>
      <c:pivotFmt>
        <c:idx val="3874"/>
        <c:spPr>
          <a:solidFill>
            <a:schemeClr val="accent6"/>
          </a:solidFill>
          <a:ln>
            <a:noFill/>
          </a:ln>
          <a:effectLst>
            <a:outerShdw blurRad="254000" sx="102000" sy="102000" algn="ctr" rotWithShape="0">
              <a:prstClr val="black">
                <a:alpha val="20000"/>
              </a:prstClr>
            </a:outerShdw>
          </a:effectLst>
        </c:spPr>
      </c:pivotFmt>
      <c:pivotFmt>
        <c:idx val="3875"/>
        <c:spPr>
          <a:solidFill>
            <a:schemeClr val="accent6"/>
          </a:solidFill>
          <a:ln>
            <a:noFill/>
          </a:ln>
          <a:effectLst>
            <a:outerShdw blurRad="254000" sx="102000" sy="102000" algn="ctr" rotWithShape="0">
              <a:prstClr val="black">
                <a:alpha val="20000"/>
              </a:prstClr>
            </a:outerShdw>
          </a:effectLst>
        </c:spPr>
      </c:pivotFmt>
      <c:pivotFmt>
        <c:idx val="387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77"/>
        <c:spPr>
          <a:solidFill>
            <a:schemeClr val="accent6"/>
          </a:solidFill>
          <a:ln>
            <a:noFill/>
          </a:ln>
          <a:effectLst>
            <a:outerShdw blurRad="254000" sx="102000" sy="102000" algn="ctr" rotWithShape="0">
              <a:prstClr val="black">
                <a:alpha val="20000"/>
              </a:prstClr>
            </a:outerShdw>
          </a:effectLst>
        </c:spPr>
      </c:pivotFmt>
      <c:pivotFmt>
        <c:idx val="3878"/>
        <c:spPr>
          <a:solidFill>
            <a:schemeClr val="accent6"/>
          </a:solidFill>
          <a:ln>
            <a:noFill/>
          </a:ln>
          <a:effectLst>
            <a:outerShdw blurRad="254000" sx="102000" sy="102000" algn="ctr" rotWithShape="0">
              <a:prstClr val="black">
                <a:alpha val="20000"/>
              </a:prstClr>
            </a:outerShdw>
          </a:effectLst>
        </c:spPr>
      </c:pivotFmt>
      <c:pivotFmt>
        <c:idx val="3879"/>
        <c:spPr>
          <a:solidFill>
            <a:schemeClr val="accent6"/>
          </a:solidFill>
          <a:ln>
            <a:noFill/>
          </a:ln>
          <a:effectLst>
            <a:outerShdw blurRad="254000" sx="102000" sy="102000" algn="ctr" rotWithShape="0">
              <a:prstClr val="black">
                <a:alpha val="20000"/>
              </a:prstClr>
            </a:outerShdw>
          </a:effectLst>
        </c:spPr>
      </c:pivotFmt>
      <c:pivotFmt>
        <c:idx val="3880"/>
        <c:spPr>
          <a:solidFill>
            <a:schemeClr val="accent6"/>
          </a:solidFill>
          <a:ln>
            <a:noFill/>
          </a:ln>
          <a:effectLst>
            <a:outerShdw blurRad="254000" sx="102000" sy="102000" algn="ctr" rotWithShape="0">
              <a:prstClr val="black">
                <a:alpha val="20000"/>
              </a:prstClr>
            </a:outerShdw>
          </a:effectLst>
        </c:spPr>
      </c:pivotFmt>
      <c:pivotFmt>
        <c:idx val="3881"/>
        <c:spPr>
          <a:solidFill>
            <a:schemeClr val="accent6"/>
          </a:solidFill>
          <a:ln>
            <a:noFill/>
          </a:ln>
          <a:effectLst>
            <a:outerShdw blurRad="254000" sx="102000" sy="102000" algn="ctr" rotWithShape="0">
              <a:prstClr val="black">
                <a:alpha val="20000"/>
              </a:prstClr>
            </a:outerShdw>
          </a:effectLst>
        </c:spPr>
      </c:pivotFmt>
      <c:pivotFmt>
        <c:idx val="388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83"/>
        <c:spPr>
          <a:solidFill>
            <a:schemeClr val="accent6"/>
          </a:solidFill>
          <a:ln>
            <a:noFill/>
          </a:ln>
          <a:effectLst>
            <a:outerShdw blurRad="254000" sx="102000" sy="102000" algn="ctr" rotWithShape="0">
              <a:prstClr val="black">
                <a:alpha val="20000"/>
              </a:prstClr>
            </a:outerShdw>
          </a:effectLst>
        </c:spPr>
      </c:pivotFmt>
      <c:pivotFmt>
        <c:idx val="3884"/>
        <c:spPr>
          <a:solidFill>
            <a:schemeClr val="accent6"/>
          </a:solidFill>
          <a:ln>
            <a:noFill/>
          </a:ln>
          <a:effectLst>
            <a:outerShdw blurRad="254000" sx="102000" sy="102000" algn="ctr" rotWithShape="0">
              <a:prstClr val="black">
                <a:alpha val="20000"/>
              </a:prstClr>
            </a:outerShdw>
          </a:effectLst>
        </c:spPr>
      </c:pivotFmt>
      <c:pivotFmt>
        <c:idx val="3885"/>
        <c:spPr>
          <a:solidFill>
            <a:schemeClr val="accent6"/>
          </a:solidFill>
          <a:ln>
            <a:noFill/>
          </a:ln>
          <a:effectLst>
            <a:outerShdw blurRad="254000" sx="102000" sy="102000" algn="ctr" rotWithShape="0">
              <a:prstClr val="black">
                <a:alpha val="20000"/>
              </a:prstClr>
            </a:outerShdw>
          </a:effectLst>
        </c:spPr>
      </c:pivotFmt>
      <c:pivotFmt>
        <c:idx val="3886"/>
        <c:spPr>
          <a:solidFill>
            <a:schemeClr val="accent6"/>
          </a:solidFill>
          <a:ln>
            <a:noFill/>
          </a:ln>
          <a:effectLst>
            <a:outerShdw blurRad="254000" sx="102000" sy="102000" algn="ctr" rotWithShape="0">
              <a:prstClr val="black">
                <a:alpha val="20000"/>
              </a:prstClr>
            </a:outerShdw>
          </a:effectLst>
        </c:spPr>
      </c:pivotFmt>
      <c:pivotFmt>
        <c:idx val="3887"/>
        <c:spPr>
          <a:solidFill>
            <a:schemeClr val="accent6"/>
          </a:solidFill>
          <a:ln>
            <a:noFill/>
          </a:ln>
          <a:effectLst>
            <a:outerShdw blurRad="254000" sx="102000" sy="102000" algn="ctr" rotWithShape="0">
              <a:prstClr val="black">
                <a:alpha val="20000"/>
              </a:prstClr>
            </a:outerShdw>
          </a:effectLst>
        </c:spPr>
      </c:pivotFmt>
      <c:pivotFmt>
        <c:idx val="388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89"/>
        <c:spPr>
          <a:solidFill>
            <a:schemeClr val="accent6"/>
          </a:solidFill>
          <a:ln>
            <a:noFill/>
          </a:ln>
          <a:effectLst>
            <a:outerShdw blurRad="254000" sx="102000" sy="102000" algn="ctr" rotWithShape="0">
              <a:prstClr val="black">
                <a:alpha val="20000"/>
              </a:prstClr>
            </a:outerShdw>
          </a:effectLst>
        </c:spPr>
      </c:pivotFmt>
      <c:pivotFmt>
        <c:idx val="3890"/>
        <c:spPr>
          <a:solidFill>
            <a:schemeClr val="accent6"/>
          </a:solidFill>
          <a:ln>
            <a:noFill/>
          </a:ln>
          <a:effectLst>
            <a:outerShdw blurRad="254000" sx="102000" sy="102000" algn="ctr" rotWithShape="0">
              <a:prstClr val="black">
                <a:alpha val="20000"/>
              </a:prstClr>
            </a:outerShdw>
          </a:effectLst>
        </c:spPr>
      </c:pivotFmt>
      <c:pivotFmt>
        <c:idx val="3891"/>
        <c:spPr>
          <a:solidFill>
            <a:schemeClr val="accent6"/>
          </a:solidFill>
          <a:ln>
            <a:noFill/>
          </a:ln>
          <a:effectLst>
            <a:outerShdw blurRad="254000" sx="102000" sy="102000" algn="ctr" rotWithShape="0">
              <a:prstClr val="black">
                <a:alpha val="20000"/>
              </a:prstClr>
            </a:outerShdw>
          </a:effectLst>
        </c:spPr>
      </c:pivotFmt>
      <c:pivotFmt>
        <c:idx val="3892"/>
        <c:spPr>
          <a:solidFill>
            <a:schemeClr val="accent6"/>
          </a:solidFill>
          <a:ln>
            <a:noFill/>
          </a:ln>
          <a:effectLst>
            <a:outerShdw blurRad="254000" sx="102000" sy="102000" algn="ctr" rotWithShape="0">
              <a:prstClr val="black">
                <a:alpha val="20000"/>
              </a:prstClr>
            </a:outerShdw>
          </a:effectLst>
        </c:spPr>
      </c:pivotFmt>
      <c:pivotFmt>
        <c:idx val="3893"/>
        <c:spPr>
          <a:solidFill>
            <a:schemeClr val="accent6"/>
          </a:solidFill>
          <a:ln>
            <a:noFill/>
          </a:ln>
          <a:effectLst>
            <a:outerShdw blurRad="254000" sx="102000" sy="102000" algn="ctr" rotWithShape="0">
              <a:prstClr val="black">
                <a:alpha val="20000"/>
              </a:prstClr>
            </a:outerShdw>
          </a:effectLst>
        </c:spPr>
      </c:pivotFmt>
      <c:pivotFmt>
        <c:idx val="389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895"/>
        <c:spPr>
          <a:solidFill>
            <a:schemeClr val="accent6"/>
          </a:solidFill>
          <a:ln>
            <a:noFill/>
          </a:ln>
          <a:effectLst>
            <a:outerShdw blurRad="254000" sx="102000" sy="102000" algn="ctr" rotWithShape="0">
              <a:prstClr val="black">
                <a:alpha val="20000"/>
              </a:prstClr>
            </a:outerShdw>
          </a:effectLst>
        </c:spPr>
      </c:pivotFmt>
      <c:pivotFmt>
        <c:idx val="3896"/>
        <c:spPr>
          <a:solidFill>
            <a:schemeClr val="accent6"/>
          </a:solidFill>
          <a:ln>
            <a:noFill/>
          </a:ln>
          <a:effectLst>
            <a:outerShdw blurRad="254000" sx="102000" sy="102000" algn="ctr" rotWithShape="0">
              <a:prstClr val="black">
                <a:alpha val="20000"/>
              </a:prstClr>
            </a:outerShdw>
          </a:effectLst>
        </c:spPr>
      </c:pivotFmt>
      <c:pivotFmt>
        <c:idx val="3897"/>
        <c:spPr>
          <a:solidFill>
            <a:schemeClr val="accent6"/>
          </a:solidFill>
          <a:ln>
            <a:noFill/>
          </a:ln>
          <a:effectLst>
            <a:outerShdw blurRad="254000" sx="102000" sy="102000" algn="ctr" rotWithShape="0">
              <a:prstClr val="black">
                <a:alpha val="20000"/>
              </a:prstClr>
            </a:outerShdw>
          </a:effectLst>
        </c:spPr>
      </c:pivotFmt>
      <c:pivotFmt>
        <c:idx val="3898"/>
        <c:spPr>
          <a:solidFill>
            <a:schemeClr val="accent6"/>
          </a:solidFill>
          <a:ln>
            <a:noFill/>
          </a:ln>
          <a:effectLst>
            <a:outerShdw blurRad="254000" sx="102000" sy="102000" algn="ctr" rotWithShape="0">
              <a:prstClr val="black">
                <a:alpha val="20000"/>
              </a:prstClr>
            </a:outerShdw>
          </a:effectLst>
        </c:spPr>
      </c:pivotFmt>
      <c:pivotFmt>
        <c:idx val="3899"/>
        <c:spPr>
          <a:solidFill>
            <a:schemeClr val="accent6"/>
          </a:solidFill>
          <a:ln>
            <a:noFill/>
          </a:ln>
          <a:effectLst>
            <a:outerShdw blurRad="254000" sx="102000" sy="102000" algn="ctr" rotWithShape="0">
              <a:prstClr val="black">
                <a:alpha val="20000"/>
              </a:prstClr>
            </a:outerShdw>
          </a:effectLst>
        </c:spPr>
      </c:pivotFmt>
      <c:pivotFmt>
        <c:idx val="390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01"/>
        <c:spPr>
          <a:solidFill>
            <a:schemeClr val="accent6"/>
          </a:solidFill>
          <a:ln>
            <a:noFill/>
          </a:ln>
          <a:effectLst>
            <a:outerShdw blurRad="254000" sx="102000" sy="102000" algn="ctr" rotWithShape="0">
              <a:prstClr val="black">
                <a:alpha val="20000"/>
              </a:prstClr>
            </a:outerShdw>
          </a:effectLst>
        </c:spPr>
      </c:pivotFmt>
      <c:pivotFmt>
        <c:idx val="3902"/>
        <c:spPr>
          <a:solidFill>
            <a:schemeClr val="accent6"/>
          </a:solidFill>
          <a:ln>
            <a:noFill/>
          </a:ln>
          <a:effectLst>
            <a:outerShdw blurRad="254000" sx="102000" sy="102000" algn="ctr" rotWithShape="0">
              <a:prstClr val="black">
                <a:alpha val="20000"/>
              </a:prstClr>
            </a:outerShdw>
          </a:effectLst>
        </c:spPr>
      </c:pivotFmt>
      <c:pivotFmt>
        <c:idx val="3903"/>
        <c:spPr>
          <a:solidFill>
            <a:schemeClr val="accent6"/>
          </a:solidFill>
          <a:ln>
            <a:noFill/>
          </a:ln>
          <a:effectLst>
            <a:outerShdw blurRad="254000" sx="102000" sy="102000" algn="ctr" rotWithShape="0">
              <a:prstClr val="black">
                <a:alpha val="20000"/>
              </a:prstClr>
            </a:outerShdw>
          </a:effectLst>
        </c:spPr>
      </c:pivotFmt>
      <c:pivotFmt>
        <c:idx val="3904"/>
        <c:spPr>
          <a:solidFill>
            <a:schemeClr val="accent6"/>
          </a:solidFill>
          <a:ln>
            <a:noFill/>
          </a:ln>
          <a:effectLst>
            <a:outerShdw blurRad="254000" sx="102000" sy="102000" algn="ctr" rotWithShape="0">
              <a:prstClr val="black">
                <a:alpha val="20000"/>
              </a:prstClr>
            </a:outerShdw>
          </a:effectLst>
        </c:spPr>
      </c:pivotFmt>
      <c:pivotFmt>
        <c:idx val="3905"/>
        <c:spPr>
          <a:solidFill>
            <a:schemeClr val="accent6"/>
          </a:solidFill>
          <a:ln>
            <a:noFill/>
          </a:ln>
          <a:effectLst>
            <a:outerShdw blurRad="254000" sx="102000" sy="102000" algn="ctr" rotWithShape="0">
              <a:prstClr val="black">
                <a:alpha val="20000"/>
              </a:prstClr>
            </a:outerShdw>
          </a:effectLst>
        </c:spPr>
      </c:pivotFmt>
      <c:pivotFmt>
        <c:idx val="390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07"/>
        <c:spPr>
          <a:solidFill>
            <a:schemeClr val="accent6"/>
          </a:solidFill>
          <a:ln>
            <a:noFill/>
          </a:ln>
          <a:effectLst>
            <a:outerShdw blurRad="254000" sx="102000" sy="102000" algn="ctr" rotWithShape="0">
              <a:prstClr val="black">
                <a:alpha val="20000"/>
              </a:prstClr>
            </a:outerShdw>
          </a:effectLst>
        </c:spPr>
      </c:pivotFmt>
      <c:pivotFmt>
        <c:idx val="3908"/>
        <c:spPr>
          <a:solidFill>
            <a:schemeClr val="accent6"/>
          </a:solidFill>
          <a:ln>
            <a:noFill/>
          </a:ln>
          <a:effectLst>
            <a:outerShdw blurRad="254000" sx="102000" sy="102000" algn="ctr" rotWithShape="0">
              <a:prstClr val="black">
                <a:alpha val="20000"/>
              </a:prstClr>
            </a:outerShdw>
          </a:effectLst>
        </c:spPr>
      </c:pivotFmt>
      <c:pivotFmt>
        <c:idx val="3909"/>
        <c:spPr>
          <a:solidFill>
            <a:schemeClr val="accent6"/>
          </a:solidFill>
          <a:ln>
            <a:noFill/>
          </a:ln>
          <a:effectLst>
            <a:outerShdw blurRad="254000" sx="102000" sy="102000" algn="ctr" rotWithShape="0">
              <a:prstClr val="black">
                <a:alpha val="20000"/>
              </a:prstClr>
            </a:outerShdw>
          </a:effectLst>
        </c:spPr>
      </c:pivotFmt>
      <c:pivotFmt>
        <c:idx val="3910"/>
        <c:spPr>
          <a:solidFill>
            <a:schemeClr val="accent6"/>
          </a:solidFill>
          <a:ln>
            <a:noFill/>
          </a:ln>
          <a:effectLst>
            <a:outerShdw blurRad="254000" sx="102000" sy="102000" algn="ctr" rotWithShape="0">
              <a:prstClr val="black">
                <a:alpha val="20000"/>
              </a:prstClr>
            </a:outerShdw>
          </a:effectLst>
        </c:spPr>
      </c:pivotFmt>
      <c:pivotFmt>
        <c:idx val="3911"/>
        <c:spPr>
          <a:solidFill>
            <a:schemeClr val="accent6"/>
          </a:solidFill>
          <a:ln>
            <a:noFill/>
          </a:ln>
          <a:effectLst>
            <a:outerShdw blurRad="254000" sx="102000" sy="102000" algn="ctr" rotWithShape="0">
              <a:prstClr val="black">
                <a:alpha val="20000"/>
              </a:prstClr>
            </a:outerShdw>
          </a:effectLst>
        </c:spPr>
      </c:pivotFmt>
      <c:pivotFmt>
        <c:idx val="3912"/>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13"/>
        <c:spPr>
          <a:solidFill>
            <a:schemeClr val="accent6"/>
          </a:solidFill>
          <a:ln>
            <a:noFill/>
          </a:ln>
          <a:effectLst>
            <a:outerShdw blurRad="254000" sx="102000" sy="102000" algn="ctr" rotWithShape="0">
              <a:prstClr val="black">
                <a:alpha val="20000"/>
              </a:prstClr>
            </a:outerShdw>
          </a:effectLst>
        </c:spPr>
      </c:pivotFmt>
      <c:pivotFmt>
        <c:idx val="3914"/>
        <c:spPr>
          <a:solidFill>
            <a:schemeClr val="accent6"/>
          </a:solidFill>
          <a:ln>
            <a:noFill/>
          </a:ln>
          <a:effectLst>
            <a:outerShdw blurRad="254000" sx="102000" sy="102000" algn="ctr" rotWithShape="0">
              <a:prstClr val="black">
                <a:alpha val="20000"/>
              </a:prstClr>
            </a:outerShdw>
          </a:effectLst>
        </c:spPr>
      </c:pivotFmt>
      <c:pivotFmt>
        <c:idx val="3915"/>
        <c:spPr>
          <a:solidFill>
            <a:schemeClr val="accent6"/>
          </a:solidFill>
          <a:ln>
            <a:noFill/>
          </a:ln>
          <a:effectLst>
            <a:outerShdw blurRad="254000" sx="102000" sy="102000" algn="ctr" rotWithShape="0">
              <a:prstClr val="black">
                <a:alpha val="20000"/>
              </a:prstClr>
            </a:outerShdw>
          </a:effectLst>
        </c:spPr>
      </c:pivotFmt>
      <c:pivotFmt>
        <c:idx val="3916"/>
        <c:spPr>
          <a:solidFill>
            <a:schemeClr val="accent6"/>
          </a:solidFill>
          <a:ln>
            <a:noFill/>
          </a:ln>
          <a:effectLst>
            <a:outerShdw blurRad="254000" sx="102000" sy="102000" algn="ctr" rotWithShape="0">
              <a:prstClr val="black">
                <a:alpha val="20000"/>
              </a:prstClr>
            </a:outerShdw>
          </a:effectLst>
        </c:spPr>
      </c:pivotFmt>
      <c:pivotFmt>
        <c:idx val="3917"/>
        <c:spPr>
          <a:solidFill>
            <a:schemeClr val="accent6"/>
          </a:solidFill>
          <a:ln>
            <a:noFill/>
          </a:ln>
          <a:effectLst>
            <a:outerShdw blurRad="254000" sx="102000" sy="102000" algn="ctr" rotWithShape="0">
              <a:prstClr val="black">
                <a:alpha val="20000"/>
              </a:prstClr>
            </a:outerShdw>
          </a:effectLst>
        </c:spPr>
      </c:pivotFmt>
      <c:pivotFmt>
        <c:idx val="3918"/>
        <c:spPr>
          <a:solidFill>
            <a:schemeClr val="accent6"/>
          </a:solidFill>
          <a:ln>
            <a:noFill/>
          </a:ln>
          <a:effectLst>
            <a:outerShdw blurRad="254000" sx="102000" sy="102000" algn="ctr" rotWithShape="0">
              <a:prstClr val="black">
                <a:alpha val="20000"/>
              </a:prstClr>
            </a:outerShdw>
          </a:effectLst>
        </c:spPr>
      </c:pivotFmt>
      <c:pivotFmt>
        <c:idx val="3919"/>
        <c:spPr>
          <a:solidFill>
            <a:schemeClr val="accent6"/>
          </a:solidFill>
          <a:ln>
            <a:noFill/>
          </a:ln>
          <a:effectLst>
            <a:outerShdw blurRad="254000" sx="102000" sy="102000" algn="ctr" rotWithShape="0">
              <a:prstClr val="black">
                <a:alpha val="20000"/>
              </a:prstClr>
            </a:outerShdw>
          </a:effectLst>
        </c:spPr>
      </c:pivotFmt>
      <c:pivotFmt>
        <c:idx val="3920"/>
        <c:spPr>
          <a:solidFill>
            <a:schemeClr val="accent6"/>
          </a:solidFill>
          <a:ln>
            <a:noFill/>
          </a:ln>
          <a:effectLst>
            <a:outerShdw blurRad="254000" sx="102000" sy="102000" algn="ctr" rotWithShape="0">
              <a:prstClr val="black">
                <a:alpha val="20000"/>
              </a:prstClr>
            </a:outerShdw>
          </a:effectLst>
        </c:spPr>
      </c:pivotFmt>
      <c:pivotFmt>
        <c:idx val="3921"/>
        <c:spPr>
          <a:solidFill>
            <a:schemeClr val="accent6"/>
          </a:solidFill>
          <a:ln>
            <a:noFill/>
          </a:ln>
          <a:effectLst>
            <a:outerShdw blurRad="254000" sx="102000" sy="102000" algn="ctr" rotWithShape="0">
              <a:prstClr val="black">
                <a:alpha val="20000"/>
              </a:prstClr>
            </a:outerShdw>
          </a:effectLst>
        </c:spPr>
      </c:pivotFmt>
      <c:pivotFmt>
        <c:idx val="3922"/>
        <c:spPr>
          <a:solidFill>
            <a:schemeClr val="accent6"/>
          </a:solidFill>
          <a:ln>
            <a:noFill/>
          </a:ln>
          <a:effectLst>
            <a:outerShdw blurRad="254000" sx="102000" sy="102000" algn="ctr" rotWithShape="0">
              <a:prstClr val="black">
                <a:alpha val="20000"/>
              </a:prstClr>
            </a:outerShdw>
          </a:effectLst>
        </c:spPr>
      </c:pivotFmt>
      <c:pivotFmt>
        <c:idx val="392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2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2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26"/>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2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2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2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3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32"/>
        <c:spPr>
          <a:solidFill>
            <a:schemeClr val="accent6"/>
          </a:solidFill>
          <a:ln>
            <a:noFill/>
          </a:ln>
          <a:effectLst>
            <a:outerShdw blurRad="254000" sx="102000" sy="102000" algn="ctr" rotWithShape="0">
              <a:prstClr val="black">
                <a:alpha val="20000"/>
              </a:prstClr>
            </a:outerShdw>
          </a:effectLst>
        </c:spPr>
      </c:pivotFmt>
      <c:pivotFmt>
        <c:idx val="3933"/>
        <c:spPr>
          <a:solidFill>
            <a:schemeClr val="accent6"/>
          </a:solidFill>
          <a:ln>
            <a:noFill/>
          </a:ln>
          <a:effectLst>
            <a:outerShdw blurRad="254000" sx="102000" sy="102000" algn="ctr" rotWithShape="0">
              <a:prstClr val="black">
                <a:alpha val="20000"/>
              </a:prstClr>
            </a:outerShdw>
          </a:effectLst>
        </c:spPr>
      </c:pivotFmt>
      <c:pivotFmt>
        <c:idx val="3934"/>
        <c:spPr>
          <a:solidFill>
            <a:schemeClr val="accent6"/>
          </a:solidFill>
          <a:ln>
            <a:noFill/>
          </a:ln>
          <a:effectLst>
            <a:outerShdw blurRad="254000" sx="102000" sy="102000" algn="ctr" rotWithShape="0">
              <a:prstClr val="black">
                <a:alpha val="20000"/>
              </a:prstClr>
            </a:outerShdw>
          </a:effectLst>
        </c:spPr>
      </c:pivotFmt>
      <c:pivotFmt>
        <c:idx val="3935"/>
        <c:spPr>
          <a:solidFill>
            <a:schemeClr val="accent6"/>
          </a:solidFill>
          <a:ln>
            <a:noFill/>
          </a:ln>
          <a:effectLst>
            <a:outerShdw blurRad="254000" sx="102000" sy="102000" algn="ctr" rotWithShape="0">
              <a:prstClr val="black">
                <a:alpha val="20000"/>
              </a:prstClr>
            </a:outerShdw>
          </a:effectLst>
        </c:spPr>
      </c:pivotFmt>
      <c:pivotFmt>
        <c:idx val="3936"/>
        <c:spPr>
          <a:solidFill>
            <a:schemeClr val="accent6"/>
          </a:solidFill>
          <a:ln>
            <a:noFill/>
          </a:ln>
          <a:effectLst>
            <a:outerShdw blurRad="254000" sx="102000" sy="102000" algn="ctr" rotWithShape="0">
              <a:prstClr val="black">
                <a:alpha val="20000"/>
              </a:prstClr>
            </a:outerShdw>
          </a:effectLst>
        </c:spPr>
      </c:pivotFmt>
      <c:pivotFmt>
        <c:idx val="3937"/>
        <c:spPr>
          <a:solidFill>
            <a:schemeClr val="accent6"/>
          </a:solidFill>
          <a:ln>
            <a:noFill/>
          </a:ln>
          <a:effectLst>
            <a:outerShdw blurRad="254000" sx="102000" sy="102000" algn="ctr" rotWithShape="0">
              <a:prstClr val="black">
                <a:alpha val="20000"/>
              </a:prstClr>
            </a:outerShdw>
          </a:effectLst>
        </c:spPr>
      </c:pivotFmt>
      <c:pivotFmt>
        <c:idx val="3938"/>
        <c:spPr>
          <a:solidFill>
            <a:schemeClr val="accent6"/>
          </a:solidFill>
          <a:ln>
            <a:noFill/>
          </a:ln>
          <a:effectLst>
            <a:outerShdw blurRad="254000" sx="102000" sy="102000" algn="ctr" rotWithShape="0">
              <a:prstClr val="black">
                <a:alpha val="20000"/>
              </a:prstClr>
            </a:outerShdw>
          </a:effectLst>
        </c:spPr>
      </c:pivotFmt>
      <c:pivotFmt>
        <c:idx val="3939"/>
        <c:spPr>
          <a:solidFill>
            <a:schemeClr val="accent6"/>
          </a:solidFill>
          <a:ln>
            <a:noFill/>
          </a:ln>
          <a:effectLst>
            <a:outerShdw blurRad="254000" sx="102000" sy="102000" algn="ctr" rotWithShape="0">
              <a:prstClr val="black">
                <a:alpha val="20000"/>
              </a:prstClr>
            </a:outerShdw>
          </a:effectLst>
        </c:spPr>
      </c:pivotFmt>
      <c:pivotFmt>
        <c:idx val="3940"/>
        <c:spPr>
          <a:solidFill>
            <a:schemeClr val="accent6"/>
          </a:solidFill>
          <a:ln>
            <a:noFill/>
          </a:ln>
          <a:effectLst>
            <a:outerShdw blurRad="254000" sx="102000" sy="102000" algn="ctr" rotWithShape="0">
              <a:prstClr val="black">
                <a:alpha val="20000"/>
              </a:prstClr>
            </a:outerShdw>
          </a:effectLst>
        </c:spPr>
      </c:pivotFmt>
      <c:pivotFmt>
        <c:idx val="3941"/>
        <c:spPr>
          <a:solidFill>
            <a:schemeClr val="accent6"/>
          </a:solidFill>
          <a:ln>
            <a:noFill/>
          </a:ln>
          <a:effectLst>
            <a:outerShdw blurRad="254000" sx="102000" sy="102000" algn="ctr" rotWithShape="0">
              <a:prstClr val="black">
                <a:alpha val="20000"/>
              </a:prstClr>
            </a:outerShdw>
          </a:effectLst>
        </c:spPr>
      </c:pivotFmt>
      <c:pivotFmt>
        <c:idx val="3942"/>
        <c:spPr>
          <a:solidFill>
            <a:schemeClr val="accent6"/>
          </a:solidFill>
          <a:ln>
            <a:noFill/>
          </a:ln>
          <a:effectLst>
            <a:outerShdw blurRad="254000" sx="102000" sy="102000" algn="ctr" rotWithShape="0">
              <a:prstClr val="black">
                <a:alpha val="20000"/>
              </a:prstClr>
            </a:outerShdw>
          </a:effectLst>
        </c:spPr>
      </c:pivotFmt>
      <c:pivotFmt>
        <c:idx val="3943"/>
        <c:spPr>
          <a:solidFill>
            <a:schemeClr val="accent6"/>
          </a:solidFill>
          <a:ln>
            <a:noFill/>
          </a:ln>
          <a:effectLst>
            <a:outerShdw blurRad="254000" sx="102000" sy="102000" algn="ctr" rotWithShape="0">
              <a:prstClr val="black">
                <a:alpha val="20000"/>
              </a:prstClr>
            </a:outerShdw>
          </a:effectLst>
        </c:spPr>
      </c:pivotFmt>
      <c:pivotFmt>
        <c:idx val="3944"/>
        <c:spPr>
          <a:solidFill>
            <a:schemeClr val="accent6"/>
          </a:solidFill>
          <a:ln>
            <a:noFill/>
          </a:ln>
          <a:effectLst>
            <a:outerShdw blurRad="254000" sx="102000" sy="102000" algn="ctr" rotWithShape="0">
              <a:prstClr val="black">
                <a:alpha val="20000"/>
              </a:prstClr>
            </a:outerShdw>
          </a:effectLst>
        </c:spPr>
      </c:pivotFmt>
      <c:pivotFmt>
        <c:idx val="3945"/>
        <c:spPr>
          <a:solidFill>
            <a:schemeClr val="accent6"/>
          </a:solidFill>
          <a:ln>
            <a:noFill/>
          </a:ln>
          <a:effectLst>
            <a:outerShdw blurRad="254000" sx="102000" sy="102000" algn="ctr" rotWithShape="0">
              <a:prstClr val="black">
                <a:alpha val="20000"/>
              </a:prstClr>
            </a:outerShdw>
          </a:effectLst>
        </c:spPr>
      </c:pivotFmt>
      <c:pivotFmt>
        <c:idx val="3946"/>
        <c:spPr>
          <a:solidFill>
            <a:schemeClr val="accent6"/>
          </a:solidFill>
          <a:ln>
            <a:noFill/>
          </a:ln>
          <a:effectLst>
            <a:outerShdw blurRad="254000" sx="102000" sy="102000" algn="ctr" rotWithShape="0">
              <a:prstClr val="black">
                <a:alpha val="20000"/>
              </a:prstClr>
            </a:outerShdw>
          </a:effectLst>
        </c:spPr>
      </c:pivotFmt>
      <c:pivotFmt>
        <c:idx val="3947"/>
        <c:spPr>
          <a:solidFill>
            <a:schemeClr val="accent6"/>
          </a:solidFill>
          <a:ln>
            <a:noFill/>
          </a:ln>
          <a:effectLst>
            <a:outerShdw blurRad="254000" sx="102000" sy="102000" algn="ctr" rotWithShape="0">
              <a:prstClr val="black">
                <a:alpha val="20000"/>
              </a:prstClr>
            </a:outerShdw>
          </a:effectLst>
        </c:spPr>
      </c:pivotFmt>
      <c:pivotFmt>
        <c:idx val="3948"/>
        <c:spPr>
          <a:solidFill>
            <a:schemeClr val="accent6"/>
          </a:solidFill>
          <a:ln>
            <a:noFill/>
          </a:ln>
          <a:effectLst>
            <a:outerShdw blurRad="254000" sx="102000" sy="102000" algn="ctr" rotWithShape="0">
              <a:prstClr val="black">
                <a:alpha val="20000"/>
              </a:prstClr>
            </a:outerShdw>
          </a:effectLst>
        </c:spPr>
      </c:pivotFmt>
      <c:pivotFmt>
        <c:idx val="3949"/>
        <c:spPr>
          <a:solidFill>
            <a:schemeClr val="accent6"/>
          </a:solidFill>
          <a:ln>
            <a:noFill/>
          </a:ln>
          <a:effectLst>
            <a:outerShdw blurRad="254000" sx="102000" sy="102000" algn="ctr" rotWithShape="0">
              <a:prstClr val="black">
                <a:alpha val="20000"/>
              </a:prstClr>
            </a:outerShdw>
          </a:effectLst>
        </c:spPr>
      </c:pivotFmt>
      <c:pivotFmt>
        <c:idx val="3950"/>
        <c:spPr>
          <a:solidFill>
            <a:schemeClr val="accent6"/>
          </a:solidFill>
          <a:ln>
            <a:noFill/>
          </a:ln>
          <a:effectLst>
            <a:outerShdw blurRad="254000" sx="102000" sy="102000" algn="ctr" rotWithShape="0">
              <a:prstClr val="black">
                <a:alpha val="20000"/>
              </a:prstClr>
            </a:outerShdw>
          </a:effectLst>
        </c:spPr>
      </c:pivotFmt>
      <c:pivotFmt>
        <c:idx val="3951"/>
        <c:spPr>
          <a:solidFill>
            <a:schemeClr val="accent6"/>
          </a:solidFill>
          <a:ln>
            <a:noFill/>
          </a:ln>
          <a:effectLst>
            <a:outerShdw blurRad="254000" sx="102000" sy="102000" algn="ctr" rotWithShape="0">
              <a:prstClr val="black">
                <a:alpha val="20000"/>
              </a:prstClr>
            </a:outerShdw>
          </a:effectLst>
        </c:spPr>
      </c:pivotFmt>
      <c:pivotFmt>
        <c:idx val="3952"/>
        <c:spPr>
          <a:solidFill>
            <a:schemeClr val="accent6"/>
          </a:solidFill>
          <a:ln>
            <a:noFill/>
          </a:ln>
          <a:effectLst>
            <a:outerShdw blurRad="254000" sx="102000" sy="102000" algn="ctr" rotWithShape="0">
              <a:prstClr val="black">
                <a:alpha val="20000"/>
              </a:prstClr>
            </a:outerShdw>
          </a:effectLst>
        </c:spPr>
      </c:pivotFmt>
      <c:pivotFmt>
        <c:idx val="3953"/>
        <c:spPr>
          <a:solidFill>
            <a:schemeClr val="accent6"/>
          </a:solidFill>
          <a:ln>
            <a:noFill/>
          </a:ln>
          <a:effectLst>
            <a:outerShdw blurRad="254000" sx="102000" sy="102000" algn="ctr" rotWithShape="0">
              <a:prstClr val="black">
                <a:alpha val="20000"/>
              </a:prstClr>
            </a:outerShdw>
          </a:effectLst>
        </c:spPr>
      </c:pivotFmt>
      <c:pivotFmt>
        <c:idx val="3954"/>
        <c:spPr>
          <a:solidFill>
            <a:schemeClr val="accent6"/>
          </a:solidFill>
          <a:ln>
            <a:noFill/>
          </a:ln>
          <a:effectLst>
            <a:outerShdw blurRad="254000" sx="102000" sy="102000" algn="ctr" rotWithShape="0">
              <a:prstClr val="black">
                <a:alpha val="20000"/>
              </a:prstClr>
            </a:outerShdw>
          </a:effectLst>
        </c:spPr>
      </c:pivotFmt>
      <c:pivotFmt>
        <c:idx val="3955"/>
        <c:spPr>
          <a:solidFill>
            <a:schemeClr val="accent6"/>
          </a:solidFill>
          <a:ln>
            <a:noFill/>
          </a:ln>
          <a:effectLst>
            <a:outerShdw blurRad="254000" sx="102000" sy="102000" algn="ctr" rotWithShape="0">
              <a:prstClr val="black">
                <a:alpha val="20000"/>
              </a:prstClr>
            </a:outerShdw>
          </a:effectLst>
        </c:spPr>
      </c:pivotFmt>
      <c:pivotFmt>
        <c:idx val="3956"/>
        <c:spPr>
          <a:solidFill>
            <a:schemeClr val="accent6"/>
          </a:solidFill>
          <a:ln>
            <a:noFill/>
          </a:ln>
          <a:effectLst>
            <a:outerShdw blurRad="254000" sx="102000" sy="102000" algn="ctr" rotWithShape="0">
              <a:prstClr val="black">
                <a:alpha val="20000"/>
              </a:prstClr>
            </a:outerShdw>
          </a:effectLst>
        </c:spPr>
      </c:pivotFmt>
      <c:pivotFmt>
        <c:idx val="3957"/>
        <c:spPr>
          <a:solidFill>
            <a:schemeClr val="accent6"/>
          </a:solidFill>
          <a:ln>
            <a:noFill/>
          </a:ln>
          <a:effectLst>
            <a:outerShdw blurRad="254000" sx="102000" sy="102000" algn="ctr" rotWithShape="0">
              <a:prstClr val="black">
                <a:alpha val="20000"/>
              </a:prstClr>
            </a:outerShdw>
          </a:effectLst>
        </c:spPr>
      </c:pivotFmt>
      <c:pivotFmt>
        <c:idx val="3958"/>
        <c:spPr>
          <a:solidFill>
            <a:schemeClr val="accent6"/>
          </a:solidFill>
          <a:ln>
            <a:noFill/>
          </a:ln>
          <a:effectLst>
            <a:outerShdw blurRad="254000" sx="102000" sy="102000" algn="ctr" rotWithShape="0">
              <a:prstClr val="black">
                <a:alpha val="20000"/>
              </a:prstClr>
            </a:outerShdw>
          </a:effectLst>
        </c:spPr>
      </c:pivotFmt>
      <c:pivotFmt>
        <c:idx val="3959"/>
        <c:spPr>
          <a:solidFill>
            <a:schemeClr val="accent6"/>
          </a:solidFill>
          <a:ln>
            <a:noFill/>
          </a:ln>
          <a:effectLst>
            <a:outerShdw blurRad="254000" sx="102000" sy="102000" algn="ctr" rotWithShape="0">
              <a:prstClr val="black">
                <a:alpha val="20000"/>
              </a:prstClr>
            </a:outerShdw>
          </a:effectLst>
        </c:spPr>
      </c:pivotFmt>
      <c:pivotFmt>
        <c:idx val="3960"/>
        <c:spPr>
          <a:solidFill>
            <a:schemeClr val="accent6"/>
          </a:solidFill>
          <a:ln>
            <a:noFill/>
          </a:ln>
          <a:effectLst>
            <a:outerShdw blurRad="254000" sx="102000" sy="102000" algn="ctr" rotWithShape="0">
              <a:prstClr val="black">
                <a:alpha val="20000"/>
              </a:prstClr>
            </a:outerShdw>
          </a:effectLst>
        </c:spPr>
      </c:pivotFmt>
      <c:pivotFmt>
        <c:idx val="3961"/>
        <c:spPr>
          <a:solidFill>
            <a:schemeClr val="accent6"/>
          </a:solidFill>
          <a:ln>
            <a:noFill/>
          </a:ln>
          <a:effectLst>
            <a:outerShdw blurRad="254000" sx="102000" sy="102000" algn="ctr" rotWithShape="0">
              <a:prstClr val="black">
                <a:alpha val="20000"/>
              </a:prstClr>
            </a:outerShdw>
          </a:effectLst>
        </c:spPr>
      </c:pivotFmt>
      <c:pivotFmt>
        <c:idx val="3962"/>
        <c:spPr>
          <a:solidFill>
            <a:schemeClr val="accent6"/>
          </a:solidFill>
          <a:ln>
            <a:noFill/>
          </a:ln>
          <a:effectLst>
            <a:outerShdw blurRad="254000" sx="102000" sy="102000" algn="ctr" rotWithShape="0">
              <a:prstClr val="black">
                <a:alpha val="20000"/>
              </a:prstClr>
            </a:outerShdw>
          </a:effectLst>
        </c:spPr>
      </c:pivotFmt>
      <c:pivotFmt>
        <c:idx val="3963"/>
        <c:spPr>
          <a:solidFill>
            <a:schemeClr val="accent6"/>
          </a:solidFill>
          <a:ln>
            <a:noFill/>
          </a:ln>
          <a:effectLst>
            <a:outerShdw blurRad="254000" sx="102000" sy="102000" algn="ctr" rotWithShape="0">
              <a:prstClr val="black">
                <a:alpha val="20000"/>
              </a:prstClr>
            </a:outerShdw>
          </a:effectLst>
        </c:spPr>
      </c:pivotFmt>
      <c:pivotFmt>
        <c:idx val="3964"/>
        <c:spPr>
          <a:solidFill>
            <a:schemeClr val="accent6"/>
          </a:solidFill>
          <a:ln>
            <a:noFill/>
          </a:ln>
          <a:effectLst>
            <a:outerShdw blurRad="254000" sx="102000" sy="102000" algn="ctr" rotWithShape="0">
              <a:prstClr val="black">
                <a:alpha val="20000"/>
              </a:prstClr>
            </a:outerShdw>
          </a:effectLst>
        </c:spPr>
      </c:pivotFmt>
      <c:pivotFmt>
        <c:idx val="3965"/>
        <c:spPr>
          <a:solidFill>
            <a:schemeClr val="accent6"/>
          </a:solidFill>
          <a:ln>
            <a:noFill/>
          </a:ln>
          <a:effectLst>
            <a:outerShdw blurRad="254000" sx="102000" sy="102000" algn="ctr" rotWithShape="0">
              <a:prstClr val="black">
                <a:alpha val="20000"/>
              </a:prstClr>
            </a:outerShdw>
          </a:effectLst>
        </c:spPr>
      </c:pivotFmt>
      <c:pivotFmt>
        <c:idx val="3966"/>
        <c:spPr>
          <a:solidFill>
            <a:schemeClr val="accent6"/>
          </a:solidFill>
          <a:ln>
            <a:noFill/>
          </a:ln>
          <a:effectLst>
            <a:outerShdw blurRad="254000" sx="102000" sy="102000" algn="ctr" rotWithShape="0">
              <a:prstClr val="black">
                <a:alpha val="20000"/>
              </a:prstClr>
            </a:outerShdw>
          </a:effectLst>
        </c:spPr>
      </c:pivotFmt>
      <c:pivotFmt>
        <c:idx val="3967"/>
        <c:spPr>
          <a:solidFill>
            <a:schemeClr val="accent6"/>
          </a:solidFill>
          <a:ln>
            <a:noFill/>
          </a:ln>
          <a:effectLst>
            <a:outerShdw blurRad="254000" sx="102000" sy="102000" algn="ctr" rotWithShape="0">
              <a:prstClr val="black">
                <a:alpha val="20000"/>
              </a:prstClr>
            </a:outerShdw>
          </a:effectLst>
        </c:spPr>
      </c:pivotFmt>
      <c:pivotFmt>
        <c:idx val="3968"/>
        <c:spPr>
          <a:solidFill>
            <a:schemeClr val="accent6"/>
          </a:solidFill>
          <a:ln>
            <a:noFill/>
          </a:ln>
          <a:effectLst>
            <a:outerShdw blurRad="254000" sx="102000" sy="102000" algn="ctr" rotWithShape="0">
              <a:prstClr val="black">
                <a:alpha val="20000"/>
              </a:prstClr>
            </a:outerShdw>
          </a:effectLst>
        </c:spPr>
      </c:pivotFmt>
      <c:pivotFmt>
        <c:idx val="3969"/>
        <c:spPr>
          <a:solidFill>
            <a:schemeClr val="accent6"/>
          </a:solidFill>
          <a:ln>
            <a:noFill/>
          </a:ln>
          <a:effectLst>
            <a:outerShdw blurRad="254000" sx="102000" sy="102000" algn="ctr" rotWithShape="0">
              <a:prstClr val="black">
                <a:alpha val="20000"/>
              </a:prstClr>
            </a:outerShdw>
          </a:effectLst>
        </c:spPr>
      </c:pivotFmt>
      <c:pivotFmt>
        <c:idx val="3970"/>
        <c:spPr>
          <a:solidFill>
            <a:schemeClr val="accent6"/>
          </a:solidFill>
          <a:ln>
            <a:noFill/>
          </a:ln>
          <a:effectLst>
            <a:outerShdw blurRad="254000" sx="102000" sy="102000" algn="ctr" rotWithShape="0">
              <a:prstClr val="black">
                <a:alpha val="20000"/>
              </a:prstClr>
            </a:outerShdw>
          </a:effectLst>
        </c:spPr>
      </c:pivotFmt>
      <c:pivotFmt>
        <c:idx val="3971"/>
        <c:spPr>
          <a:solidFill>
            <a:schemeClr val="accent6"/>
          </a:solidFill>
          <a:ln>
            <a:noFill/>
          </a:ln>
          <a:effectLst>
            <a:outerShdw blurRad="254000" sx="102000" sy="102000" algn="ctr" rotWithShape="0">
              <a:prstClr val="black">
                <a:alpha val="20000"/>
              </a:prstClr>
            </a:outerShdw>
          </a:effectLst>
        </c:spPr>
      </c:pivotFmt>
      <c:pivotFmt>
        <c:idx val="3972"/>
        <c:spPr>
          <a:solidFill>
            <a:schemeClr val="accent6"/>
          </a:solidFill>
          <a:ln>
            <a:noFill/>
          </a:ln>
          <a:effectLst>
            <a:outerShdw blurRad="254000" sx="102000" sy="102000" algn="ctr" rotWithShape="0">
              <a:prstClr val="black">
                <a:alpha val="20000"/>
              </a:prstClr>
            </a:outerShdw>
          </a:effectLst>
        </c:spPr>
      </c:pivotFmt>
      <c:pivotFmt>
        <c:idx val="3973"/>
        <c:spPr>
          <a:solidFill>
            <a:schemeClr val="accent6"/>
          </a:solidFill>
          <a:ln>
            <a:noFill/>
          </a:ln>
          <a:effectLst>
            <a:outerShdw blurRad="254000" sx="102000" sy="102000" algn="ctr" rotWithShape="0">
              <a:prstClr val="black">
                <a:alpha val="20000"/>
              </a:prstClr>
            </a:outerShdw>
          </a:effectLst>
        </c:spPr>
      </c:pivotFmt>
      <c:pivotFmt>
        <c:idx val="3974"/>
        <c:spPr>
          <a:solidFill>
            <a:schemeClr val="accent6"/>
          </a:solidFill>
          <a:ln>
            <a:noFill/>
          </a:ln>
          <a:effectLst>
            <a:outerShdw blurRad="254000" sx="102000" sy="102000" algn="ctr" rotWithShape="0">
              <a:prstClr val="black">
                <a:alpha val="20000"/>
              </a:prstClr>
            </a:outerShdw>
          </a:effectLst>
        </c:spPr>
      </c:pivotFmt>
      <c:pivotFmt>
        <c:idx val="3975"/>
        <c:spPr>
          <a:solidFill>
            <a:schemeClr val="accent6"/>
          </a:solidFill>
          <a:ln>
            <a:noFill/>
          </a:ln>
          <a:effectLst>
            <a:outerShdw blurRad="254000" sx="102000" sy="102000" algn="ctr" rotWithShape="0">
              <a:prstClr val="black">
                <a:alpha val="20000"/>
              </a:prstClr>
            </a:outerShdw>
          </a:effectLst>
        </c:spPr>
      </c:pivotFmt>
      <c:pivotFmt>
        <c:idx val="3976"/>
        <c:spPr>
          <a:solidFill>
            <a:schemeClr val="accent6"/>
          </a:solidFill>
          <a:ln>
            <a:noFill/>
          </a:ln>
          <a:effectLst>
            <a:outerShdw blurRad="254000" sx="102000" sy="102000" algn="ctr" rotWithShape="0">
              <a:prstClr val="black">
                <a:alpha val="20000"/>
              </a:prstClr>
            </a:outerShdw>
          </a:effectLst>
        </c:spPr>
      </c:pivotFmt>
      <c:pivotFmt>
        <c:idx val="397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78"/>
        <c:spPr>
          <a:solidFill>
            <a:schemeClr val="accent6"/>
          </a:solidFill>
          <a:ln>
            <a:noFill/>
          </a:ln>
          <a:effectLst>
            <a:outerShdw blurRad="254000" sx="102000" sy="102000" algn="ctr" rotWithShape="0">
              <a:prstClr val="black">
                <a:alpha val="20000"/>
              </a:prstClr>
            </a:outerShdw>
          </a:effectLst>
        </c:spPr>
      </c:pivotFmt>
      <c:pivotFmt>
        <c:idx val="3979"/>
        <c:spPr>
          <a:solidFill>
            <a:schemeClr val="accent6"/>
          </a:solidFill>
          <a:ln>
            <a:noFill/>
          </a:ln>
          <a:effectLst>
            <a:outerShdw blurRad="254000" sx="102000" sy="102000" algn="ctr" rotWithShape="0">
              <a:prstClr val="black">
                <a:alpha val="20000"/>
              </a:prstClr>
            </a:outerShdw>
          </a:effectLst>
        </c:spPr>
      </c:pivotFmt>
      <c:pivotFmt>
        <c:idx val="3980"/>
        <c:spPr>
          <a:solidFill>
            <a:schemeClr val="accent6"/>
          </a:solidFill>
          <a:ln>
            <a:noFill/>
          </a:ln>
          <a:effectLst>
            <a:outerShdw blurRad="254000" sx="102000" sy="102000" algn="ctr" rotWithShape="0">
              <a:prstClr val="black">
                <a:alpha val="20000"/>
              </a:prstClr>
            </a:outerShdw>
          </a:effectLst>
        </c:spPr>
      </c:pivotFmt>
      <c:pivotFmt>
        <c:idx val="3981"/>
        <c:spPr>
          <a:solidFill>
            <a:schemeClr val="accent6"/>
          </a:solidFill>
          <a:ln>
            <a:noFill/>
          </a:ln>
          <a:effectLst>
            <a:outerShdw blurRad="254000" sx="102000" sy="102000" algn="ctr" rotWithShape="0">
              <a:prstClr val="black">
                <a:alpha val="20000"/>
              </a:prstClr>
            </a:outerShdw>
          </a:effectLst>
        </c:spPr>
      </c:pivotFmt>
      <c:pivotFmt>
        <c:idx val="3982"/>
        <c:spPr>
          <a:solidFill>
            <a:schemeClr val="accent6"/>
          </a:solidFill>
          <a:ln>
            <a:noFill/>
          </a:ln>
          <a:effectLst>
            <a:outerShdw blurRad="254000" sx="102000" sy="102000" algn="ctr" rotWithShape="0">
              <a:prstClr val="black">
                <a:alpha val="20000"/>
              </a:prstClr>
            </a:outerShdw>
          </a:effectLst>
        </c:spPr>
      </c:pivotFmt>
      <c:pivotFmt>
        <c:idx val="398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84"/>
        <c:spPr>
          <a:solidFill>
            <a:schemeClr val="accent6"/>
          </a:solidFill>
          <a:ln>
            <a:noFill/>
          </a:ln>
          <a:effectLst>
            <a:outerShdw blurRad="254000" sx="102000" sy="102000" algn="ctr" rotWithShape="0">
              <a:prstClr val="black">
                <a:alpha val="20000"/>
              </a:prstClr>
            </a:outerShdw>
          </a:effectLst>
        </c:spPr>
      </c:pivotFmt>
      <c:pivotFmt>
        <c:idx val="3985"/>
        <c:spPr>
          <a:solidFill>
            <a:schemeClr val="accent6"/>
          </a:solidFill>
          <a:ln>
            <a:noFill/>
          </a:ln>
          <a:effectLst>
            <a:outerShdw blurRad="254000" sx="102000" sy="102000" algn="ctr" rotWithShape="0">
              <a:prstClr val="black">
                <a:alpha val="20000"/>
              </a:prstClr>
            </a:outerShdw>
          </a:effectLst>
        </c:spPr>
      </c:pivotFmt>
      <c:pivotFmt>
        <c:idx val="3986"/>
        <c:spPr>
          <a:solidFill>
            <a:schemeClr val="accent6"/>
          </a:solidFill>
          <a:ln>
            <a:noFill/>
          </a:ln>
          <a:effectLst>
            <a:outerShdw blurRad="254000" sx="102000" sy="102000" algn="ctr" rotWithShape="0">
              <a:prstClr val="black">
                <a:alpha val="20000"/>
              </a:prstClr>
            </a:outerShdw>
          </a:effectLst>
        </c:spPr>
      </c:pivotFmt>
      <c:pivotFmt>
        <c:idx val="3987"/>
        <c:spPr>
          <a:solidFill>
            <a:schemeClr val="accent6"/>
          </a:solidFill>
          <a:ln>
            <a:noFill/>
          </a:ln>
          <a:effectLst>
            <a:outerShdw blurRad="254000" sx="102000" sy="102000" algn="ctr" rotWithShape="0">
              <a:prstClr val="black">
                <a:alpha val="20000"/>
              </a:prstClr>
            </a:outerShdw>
          </a:effectLst>
        </c:spPr>
      </c:pivotFmt>
      <c:pivotFmt>
        <c:idx val="3988"/>
        <c:spPr>
          <a:solidFill>
            <a:schemeClr val="accent6"/>
          </a:solidFill>
          <a:ln>
            <a:noFill/>
          </a:ln>
          <a:effectLst>
            <a:outerShdw blurRad="254000" sx="102000" sy="102000" algn="ctr" rotWithShape="0">
              <a:prstClr val="black">
                <a:alpha val="20000"/>
              </a:prstClr>
            </a:outerShdw>
          </a:effectLst>
        </c:spPr>
      </c:pivotFmt>
      <c:pivotFmt>
        <c:idx val="398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90"/>
        <c:spPr>
          <a:solidFill>
            <a:schemeClr val="accent6"/>
          </a:solidFill>
          <a:ln>
            <a:noFill/>
          </a:ln>
          <a:effectLst>
            <a:outerShdw blurRad="254000" sx="102000" sy="102000" algn="ctr" rotWithShape="0">
              <a:prstClr val="black">
                <a:alpha val="20000"/>
              </a:prstClr>
            </a:outerShdw>
          </a:effectLst>
        </c:spPr>
      </c:pivotFmt>
      <c:pivotFmt>
        <c:idx val="3991"/>
        <c:spPr>
          <a:solidFill>
            <a:schemeClr val="accent6"/>
          </a:solidFill>
          <a:ln>
            <a:noFill/>
          </a:ln>
          <a:effectLst>
            <a:outerShdw blurRad="254000" sx="102000" sy="102000" algn="ctr" rotWithShape="0">
              <a:prstClr val="black">
                <a:alpha val="20000"/>
              </a:prstClr>
            </a:outerShdw>
          </a:effectLst>
        </c:spPr>
      </c:pivotFmt>
      <c:pivotFmt>
        <c:idx val="3992"/>
        <c:spPr>
          <a:solidFill>
            <a:schemeClr val="accent6"/>
          </a:solidFill>
          <a:ln>
            <a:noFill/>
          </a:ln>
          <a:effectLst>
            <a:outerShdw blurRad="254000" sx="102000" sy="102000" algn="ctr" rotWithShape="0">
              <a:prstClr val="black">
                <a:alpha val="20000"/>
              </a:prstClr>
            </a:outerShdw>
          </a:effectLst>
        </c:spPr>
      </c:pivotFmt>
      <c:pivotFmt>
        <c:idx val="3993"/>
        <c:spPr>
          <a:solidFill>
            <a:schemeClr val="accent6"/>
          </a:solidFill>
          <a:ln>
            <a:noFill/>
          </a:ln>
          <a:effectLst>
            <a:outerShdw blurRad="254000" sx="102000" sy="102000" algn="ctr" rotWithShape="0">
              <a:prstClr val="black">
                <a:alpha val="20000"/>
              </a:prstClr>
            </a:outerShdw>
          </a:effectLst>
        </c:spPr>
      </c:pivotFmt>
      <c:pivotFmt>
        <c:idx val="3994"/>
        <c:spPr>
          <a:solidFill>
            <a:schemeClr val="accent6"/>
          </a:solidFill>
          <a:ln>
            <a:noFill/>
          </a:ln>
          <a:effectLst>
            <a:outerShdw blurRad="254000" sx="102000" sy="102000" algn="ctr" rotWithShape="0">
              <a:prstClr val="black">
                <a:alpha val="20000"/>
              </a:prstClr>
            </a:outerShdw>
          </a:effectLst>
        </c:spPr>
      </c:pivotFmt>
      <c:pivotFmt>
        <c:idx val="399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996"/>
        <c:spPr>
          <a:solidFill>
            <a:schemeClr val="accent6"/>
          </a:solidFill>
          <a:ln>
            <a:noFill/>
          </a:ln>
          <a:effectLst>
            <a:outerShdw blurRad="254000" sx="102000" sy="102000" algn="ctr" rotWithShape="0">
              <a:prstClr val="black">
                <a:alpha val="20000"/>
              </a:prstClr>
            </a:outerShdw>
          </a:effectLst>
        </c:spPr>
      </c:pivotFmt>
      <c:pivotFmt>
        <c:idx val="3997"/>
        <c:spPr>
          <a:solidFill>
            <a:schemeClr val="accent6"/>
          </a:solidFill>
          <a:ln>
            <a:noFill/>
          </a:ln>
          <a:effectLst>
            <a:outerShdw blurRad="254000" sx="102000" sy="102000" algn="ctr" rotWithShape="0">
              <a:prstClr val="black">
                <a:alpha val="20000"/>
              </a:prstClr>
            </a:outerShdw>
          </a:effectLst>
        </c:spPr>
      </c:pivotFmt>
      <c:pivotFmt>
        <c:idx val="3998"/>
        <c:spPr>
          <a:solidFill>
            <a:schemeClr val="accent6"/>
          </a:solidFill>
          <a:ln>
            <a:noFill/>
          </a:ln>
          <a:effectLst>
            <a:outerShdw blurRad="254000" sx="102000" sy="102000" algn="ctr" rotWithShape="0">
              <a:prstClr val="black">
                <a:alpha val="20000"/>
              </a:prstClr>
            </a:outerShdw>
          </a:effectLst>
        </c:spPr>
      </c:pivotFmt>
      <c:pivotFmt>
        <c:idx val="3999"/>
        <c:spPr>
          <a:solidFill>
            <a:schemeClr val="accent6"/>
          </a:solidFill>
          <a:ln>
            <a:noFill/>
          </a:ln>
          <a:effectLst>
            <a:outerShdw blurRad="254000" sx="102000" sy="102000" algn="ctr" rotWithShape="0">
              <a:prstClr val="black">
                <a:alpha val="20000"/>
              </a:prstClr>
            </a:outerShdw>
          </a:effectLst>
        </c:spPr>
      </c:pivotFmt>
      <c:pivotFmt>
        <c:idx val="4000"/>
        <c:spPr>
          <a:solidFill>
            <a:schemeClr val="accent6"/>
          </a:solidFill>
          <a:ln>
            <a:noFill/>
          </a:ln>
          <a:effectLst>
            <a:outerShdw blurRad="254000" sx="102000" sy="102000" algn="ctr" rotWithShape="0">
              <a:prstClr val="black">
                <a:alpha val="20000"/>
              </a:prstClr>
            </a:outerShdw>
          </a:effectLst>
        </c:spPr>
      </c:pivotFmt>
      <c:pivotFmt>
        <c:idx val="400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02"/>
        <c:spPr>
          <a:solidFill>
            <a:schemeClr val="accent6"/>
          </a:solidFill>
          <a:ln>
            <a:noFill/>
          </a:ln>
          <a:effectLst>
            <a:outerShdw blurRad="254000" sx="102000" sy="102000" algn="ctr" rotWithShape="0">
              <a:prstClr val="black">
                <a:alpha val="20000"/>
              </a:prstClr>
            </a:outerShdw>
          </a:effectLst>
        </c:spPr>
      </c:pivotFmt>
      <c:pivotFmt>
        <c:idx val="4003"/>
        <c:spPr>
          <a:solidFill>
            <a:schemeClr val="accent6"/>
          </a:solidFill>
          <a:ln>
            <a:noFill/>
          </a:ln>
          <a:effectLst>
            <a:outerShdw blurRad="254000" sx="102000" sy="102000" algn="ctr" rotWithShape="0">
              <a:prstClr val="black">
                <a:alpha val="20000"/>
              </a:prstClr>
            </a:outerShdw>
          </a:effectLst>
        </c:spPr>
      </c:pivotFmt>
      <c:pivotFmt>
        <c:idx val="4004"/>
        <c:spPr>
          <a:solidFill>
            <a:schemeClr val="accent6"/>
          </a:solidFill>
          <a:ln>
            <a:noFill/>
          </a:ln>
          <a:effectLst>
            <a:outerShdw blurRad="254000" sx="102000" sy="102000" algn="ctr" rotWithShape="0">
              <a:prstClr val="black">
                <a:alpha val="20000"/>
              </a:prstClr>
            </a:outerShdw>
          </a:effectLst>
        </c:spPr>
      </c:pivotFmt>
      <c:pivotFmt>
        <c:idx val="4005"/>
        <c:spPr>
          <a:solidFill>
            <a:schemeClr val="accent6"/>
          </a:solidFill>
          <a:ln>
            <a:noFill/>
          </a:ln>
          <a:effectLst>
            <a:outerShdw blurRad="254000" sx="102000" sy="102000" algn="ctr" rotWithShape="0">
              <a:prstClr val="black">
                <a:alpha val="20000"/>
              </a:prstClr>
            </a:outerShdw>
          </a:effectLst>
        </c:spPr>
      </c:pivotFmt>
      <c:pivotFmt>
        <c:idx val="4006"/>
        <c:spPr>
          <a:solidFill>
            <a:schemeClr val="accent6"/>
          </a:solidFill>
          <a:ln>
            <a:noFill/>
          </a:ln>
          <a:effectLst>
            <a:outerShdw blurRad="254000" sx="102000" sy="102000" algn="ctr" rotWithShape="0">
              <a:prstClr val="black">
                <a:alpha val="20000"/>
              </a:prstClr>
            </a:outerShdw>
          </a:effectLst>
        </c:spPr>
      </c:pivotFmt>
      <c:pivotFmt>
        <c:idx val="400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08"/>
        <c:spPr>
          <a:solidFill>
            <a:schemeClr val="accent6"/>
          </a:solidFill>
          <a:ln>
            <a:noFill/>
          </a:ln>
          <a:effectLst>
            <a:outerShdw blurRad="254000" sx="102000" sy="102000" algn="ctr" rotWithShape="0">
              <a:prstClr val="black">
                <a:alpha val="20000"/>
              </a:prstClr>
            </a:outerShdw>
          </a:effectLst>
        </c:spPr>
      </c:pivotFmt>
      <c:pivotFmt>
        <c:idx val="4009"/>
        <c:spPr>
          <a:solidFill>
            <a:schemeClr val="accent6"/>
          </a:solidFill>
          <a:ln>
            <a:noFill/>
          </a:ln>
          <a:effectLst>
            <a:outerShdw blurRad="254000" sx="102000" sy="102000" algn="ctr" rotWithShape="0">
              <a:prstClr val="black">
                <a:alpha val="20000"/>
              </a:prstClr>
            </a:outerShdw>
          </a:effectLst>
        </c:spPr>
      </c:pivotFmt>
      <c:pivotFmt>
        <c:idx val="4010"/>
        <c:spPr>
          <a:solidFill>
            <a:schemeClr val="accent6"/>
          </a:solidFill>
          <a:ln>
            <a:noFill/>
          </a:ln>
          <a:effectLst>
            <a:outerShdw blurRad="254000" sx="102000" sy="102000" algn="ctr" rotWithShape="0">
              <a:prstClr val="black">
                <a:alpha val="20000"/>
              </a:prstClr>
            </a:outerShdw>
          </a:effectLst>
        </c:spPr>
      </c:pivotFmt>
      <c:pivotFmt>
        <c:idx val="4011"/>
        <c:spPr>
          <a:solidFill>
            <a:schemeClr val="accent6"/>
          </a:solidFill>
          <a:ln>
            <a:noFill/>
          </a:ln>
          <a:effectLst>
            <a:outerShdw blurRad="254000" sx="102000" sy="102000" algn="ctr" rotWithShape="0">
              <a:prstClr val="black">
                <a:alpha val="20000"/>
              </a:prstClr>
            </a:outerShdw>
          </a:effectLst>
        </c:spPr>
      </c:pivotFmt>
      <c:pivotFmt>
        <c:idx val="4012"/>
        <c:spPr>
          <a:solidFill>
            <a:schemeClr val="accent6"/>
          </a:solidFill>
          <a:ln>
            <a:noFill/>
          </a:ln>
          <a:effectLst>
            <a:outerShdw blurRad="254000" sx="102000" sy="102000" algn="ctr" rotWithShape="0">
              <a:prstClr val="black">
                <a:alpha val="20000"/>
              </a:prstClr>
            </a:outerShdw>
          </a:effectLst>
        </c:spPr>
      </c:pivotFmt>
      <c:pivotFmt>
        <c:idx val="401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14"/>
        <c:spPr>
          <a:solidFill>
            <a:schemeClr val="accent6"/>
          </a:solidFill>
          <a:ln>
            <a:noFill/>
          </a:ln>
          <a:effectLst>
            <a:outerShdw blurRad="254000" sx="102000" sy="102000" algn="ctr" rotWithShape="0">
              <a:prstClr val="black">
                <a:alpha val="20000"/>
              </a:prstClr>
            </a:outerShdw>
          </a:effectLst>
        </c:spPr>
      </c:pivotFmt>
      <c:pivotFmt>
        <c:idx val="4015"/>
        <c:spPr>
          <a:solidFill>
            <a:schemeClr val="accent6"/>
          </a:solidFill>
          <a:ln>
            <a:noFill/>
          </a:ln>
          <a:effectLst>
            <a:outerShdw blurRad="254000" sx="102000" sy="102000" algn="ctr" rotWithShape="0">
              <a:prstClr val="black">
                <a:alpha val="20000"/>
              </a:prstClr>
            </a:outerShdw>
          </a:effectLst>
        </c:spPr>
      </c:pivotFmt>
      <c:pivotFmt>
        <c:idx val="4016"/>
        <c:spPr>
          <a:solidFill>
            <a:schemeClr val="accent6"/>
          </a:solidFill>
          <a:ln>
            <a:noFill/>
          </a:ln>
          <a:effectLst>
            <a:outerShdw blurRad="254000" sx="102000" sy="102000" algn="ctr" rotWithShape="0">
              <a:prstClr val="black">
                <a:alpha val="20000"/>
              </a:prstClr>
            </a:outerShdw>
          </a:effectLst>
        </c:spPr>
      </c:pivotFmt>
      <c:pivotFmt>
        <c:idx val="4017"/>
        <c:spPr>
          <a:solidFill>
            <a:schemeClr val="accent6"/>
          </a:solidFill>
          <a:ln>
            <a:noFill/>
          </a:ln>
          <a:effectLst>
            <a:outerShdw blurRad="254000" sx="102000" sy="102000" algn="ctr" rotWithShape="0">
              <a:prstClr val="black">
                <a:alpha val="20000"/>
              </a:prstClr>
            </a:outerShdw>
          </a:effectLst>
        </c:spPr>
      </c:pivotFmt>
      <c:pivotFmt>
        <c:idx val="4018"/>
        <c:spPr>
          <a:solidFill>
            <a:schemeClr val="accent6"/>
          </a:solidFill>
          <a:ln>
            <a:noFill/>
          </a:ln>
          <a:effectLst>
            <a:outerShdw blurRad="254000" sx="102000" sy="102000" algn="ctr" rotWithShape="0">
              <a:prstClr val="black">
                <a:alpha val="20000"/>
              </a:prstClr>
            </a:outerShdw>
          </a:effectLst>
        </c:spPr>
      </c:pivotFmt>
      <c:pivotFmt>
        <c:idx val="401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20"/>
        <c:spPr>
          <a:solidFill>
            <a:schemeClr val="accent6"/>
          </a:solidFill>
          <a:ln>
            <a:noFill/>
          </a:ln>
          <a:effectLst>
            <a:outerShdw blurRad="254000" sx="102000" sy="102000" algn="ctr" rotWithShape="0">
              <a:prstClr val="black">
                <a:alpha val="20000"/>
              </a:prstClr>
            </a:outerShdw>
          </a:effectLst>
        </c:spPr>
      </c:pivotFmt>
      <c:pivotFmt>
        <c:idx val="4021"/>
        <c:spPr>
          <a:solidFill>
            <a:schemeClr val="accent6"/>
          </a:solidFill>
          <a:ln>
            <a:noFill/>
          </a:ln>
          <a:effectLst>
            <a:outerShdw blurRad="254000" sx="102000" sy="102000" algn="ctr" rotWithShape="0">
              <a:prstClr val="black">
                <a:alpha val="20000"/>
              </a:prstClr>
            </a:outerShdw>
          </a:effectLst>
        </c:spPr>
      </c:pivotFmt>
      <c:pivotFmt>
        <c:idx val="4022"/>
        <c:spPr>
          <a:solidFill>
            <a:schemeClr val="accent6"/>
          </a:solidFill>
          <a:ln>
            <a:noFill/>
          </a:ln>
          <a:effectLst>
            <a:outerShdw blurRad="254000" sx="102000" sy="102000" algn="ctr" rotWithShape="0">
              <a:prstClr val="black">
                <a:alpha val="20000"/>
              </a:prstClr>
            </a:outerShdw>
          </a:effectLst>
        </c:spPr>
      </c:pivotFmt>
      <c:pivotFmt>
        <c:idx val="4023"/>
        <c:spPr>
          <a:solidFill>
            <a:schemeClr val="accent6"/>
          </a:solidFill>
          <a:ln>
            <a:noFill/>
          </a:ln>
          <a:effectLst>
            <a:outerShdw blurRad="254000" sx="102000" sy="102000" algn="ctr" rotWithShape="0">
              <a:prstClr val="black">
                <a:alpha val="20000"/>
              </a:prstClr>
            </a:outerShdw>
          </a:effectLst>
        </c:spPr>
      </c:pivotFmt>
      <c:pivotFmt>
        <c:idx val="4024"/>
        <c:spPr>
          <a:solidFill>
            <a:schemeClr val="accent6"/>
          </a:solidFill>
          <a:ln>
            <a:noFill/>
          </a:ln>
          <a:effectLst>
            <a:outerShdw blurRad="254000" sx="102000" sy="102000" algn="ctr" rotWithShape="0">
              <a:prstClr val="black">
                <a:alpha val="20000"/>
              </a:prstClr>
            </a:outerShdw>
          </a:effectLst>
        </c:spPr>
      </c:pivotFmt>
      <c:pivotFmt>
        <c:idx val="402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26"/>
        <c:spPr>
          <a:solidFill>
            <a:schemeClr val="accent6"/>
          </a:solidFill>
          <a:ln>
            <a:noFill/>
          </a:ln>
          <a:effectLst>
            <a:outerShdw blurRad="254000" sx="102000" sy="102000" algn="ctr" rotWithShape="0">
              <a:prstClr val="black">
                <a:alpha val="20000"/>
              </a:prstClr>
            </a:outerShdw>
          </a:effectLst>
        </c:spPr>
      </c:pivotFmt>
      <c:pivotFmt>
        <c:idx val="4027"/>
        <c:spPr>
          <a:solidFill>
            <a:schemeClr val="accent6"/>
          </a:solidFill>
          <a:ln>
            <a:noFill/>
          </a:ln>
          <a:effectLst>
            <a:outerShdw blurRad="254000" sx="102000" sy="102000" algn="ctr" rotWithShape="0">
              <a:prstClr val="black">
                <a:alpha val="20000"/>
              </a:prstClr>
            </a:outerShdw>
          </a:effectLst>
        </c:spPr>
      </c:pivotFmt>
      <c:pivotFmt>
        <c:idx val="4028"/>
        <c:spPr>
          <a:solidFill>
            <a:schemeClr val="accent6"/>
          </a:solidFill>
          <a:ln>
            <a:noFill/>
          </a:ln>
          <a:effectLst>
            <a:outerShdw blurRad="254000" sx="102000" sy="102000" algn="ctr" rotWithShape="0">
              <a:prstClr val="black">
                <a:alpha val="20000"/>
              </a:prstClr>
            </a:outerShdw>
          </a:effectLst>
        </c:spPr>
      </c:pivotFmt>
      <c:pivotFmt>
        <c:idx val="4029"/>
        <c:spPr>
          <a:solidFill>
            <a:schemeClr val="accent6"/>
          </a:solidFill>
          <a:ln>
            <a:noFill/>
          </a:ln>
          <a:effectLst>
            <a:outerShdw blurRad="254000" sx="102000" sy="102000" algn="ctr" rotWithShape="0">
              <a:prstClr val="black">
                <a:alpha val="20000"/>
              </a:prstClr>
            </a:outerShdw>
          </a:effectLst>
        </c:spPr>
      </c:pivotFmt>
      <c:pivotFmt>
        <c:idx val="4030"/>
        <c:spPr>
          <a:solidFill>
            <a:schemeClr val="accent6"/>
          </a:solidFill>
          <a:ln>
            <a:noFill/>
          </a:ln>
          <a:effectLst>
            <a:outerShdw blurRad="254000" sx="102000" sy="102000" algn="ctr" rotWithShape="0">
              <a:prstClr val="black">
                <a:alpha val="20000"/>
              </a:prstClr>
            </a:outerShdw>
          </a:effectLst>
        </c:spPr>
      </c:pivotFmt>
      <c:pivotFmt>
        <c:idx val="403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32"/>
        <c:spPr>
          <a:solidFill>
            <a:schemeClr val="accent6"/>
          </a:solidFill>
          <a:ln>
            <a:noFill/>
          </a:ln>
          <a:effectLst>
            <a:outerShdw blurRad="254000" sx="102000" sy="102000" algn="ctr" rotWithShape="0">
              <a:prstClr val="black">
                <a:alpha val="20000"/>
              </a:prstClr>
            </a:outerShdw>
          </a:effectLst>
        </c:spPr>
      </c:pivotFmt>
      <c:pivotFmt>
        <c:idx val="4033"/>
        <c:spPr>
          <a:solidFill>
            <a:schemeClr val="accent6"/>
          </a:solidFill>
          <a:ln>
            <a:noFill/>
          </a:ln>
          <a:effectLst>
            <a:outerShdw blurRad="254000" sx="102000" sy="102000" algn="ctr" rotWithShape="0">
              <a:prstClr val="black">
                <a:alpha val="20000"/>
              </a:prstClr>
            </a:outerShdw>
          </a:effectLst>
        </c:spPr>
      </c:pivotFmt>
      <c:pivotFmt>
        <c:idx val="4034"/>
        <c:spPr>
          <a:solidFill>
            <a:schemeClr val="accent6"/>
          </a:solidFill>
          <a:ln>
            <a:noFill/>
          </a:ln>
          <a:effectLst>
            <a:outerShdw blurRad="254000" sx="102000" sy="102000" algn="ctr" rotWithShape="0">
              <a:prstClr val="black">
                <a:alpha val="20000"/>
              </a:prstClr>
            </a:outerShdw>
          </a:effectLst>
        </c:spPr>
      </c:pivotFmt>
      <c:pivotFmt>
        <c:idx val="4035"/>
        <c:spPr>
          <a:solidFill>
            <a:schemeClr val="accent6"/>
          </a:solidFill>
          <a:ln>
            <a:noFill/>
          </a:ln>
          <a:effectLst>
            <a:outerShdw blurRad="254000" sx="102000" sy="102000" algn="ctr" rotWithShape="0">
              <a:prstClr val="black">
                <a:alpha val="20000"/>
              </a:prstClr>
            </a:outerShdw>
          </a:effectLst>
        </c:spPr>
      </c:pivotFmt>
      <c:pivotFmt>
        <c:idx val="4036"/>
        <c:spPr>
          <a:solidFill>
            <a:schemeClr val="accent6"/>
          </a:solidFill>
          <a:ln>
            <a:noFill/>
          </a:ln>
          <a:effectLst>
            <a:outerShdw blurRad="254000" sx="102000" sy="102000" algn="ctr" rotWithShape="0">
              <a:prstClr val="black">
                <a:alpha val="20000"/>
              </a:prstClr>
            </a:outerShdw>
          </a:effectLst>
        </c:spPr>
      </c:pivotFmt>
      <c:pivotFmt>
        <c:idx val="403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38"/>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3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4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41"/>
        <c:spPr>
          <a:solidFill>
            <a:schemeClr val="accent6"/>
          </a:solidFill>
          <a:ln>
            <a:noFill/>
          </a:ln>
          <a:effectLst>
            <a:outerShdw blurRad="254000" sx="102000" sy="102000" algn="ctr" rotWithShape="0">
              <a:prstClr val="black">
                <a:alpha val="20000"/>
              </a:prstClr>
            </a:outerShdw>
          </a:effectLst>
        </c:spPr>
      </c:pivotFmt>
      <c:pivotFmt>
        <c:idx val="4042"/>
        <c:spPr>
          <a:solidFill>
            <a:schemeClr val="accent6"/>
          </a:solidFill>
          <a:ln>
            <a:noFill/>
          </a:ln>
          <a:effectLst>
            <a:outerShdw blurRad="254000" sx="102000" sy="102000" algn="ctr" rotWithShape="0">
              <a:prstClr val="black">
                <a:alpha val="20000"/>
              </a:prstClr>
            </a:outerShdw>
          </a:effectLst>
        </c:spPr>
      </c:pivotFmt>
      <c:pivotFmt>
        <c:idx val="4043"/>
        <c:spPr>
          <a:solidFill>
            <a:schemeClr val="accent6"/>
          </a:solidFill>
          <a:ln>
            <a:noFill/>
          </a:ln>
          <a:effectLst>
            <a:outerShdw blurRad="254000" sx="102000" sy="102000" algn="ctr" rotWithShape="0">
              <a:prstClr val="black">
                <a:alpha val="20000"/>
              </a:prstClr>
            </a:outerShdw>
          </a:effectLst>
        </c:spPr>
      </c:pivotFmt>
      <c:pivotFmt>
        <c:idx val="4044"/>
        <c:spPr>
          <a:solidFill>
            <a:schemeClr val="accent6"/>
          </a:solidFill>
          <a:ln>
            <a:noFill/>
          </a:ln>
          <a:effectLst>
            <a:outerShdw blurRad="254000" sx="102000" sy="102000" algn="ctr" rotWithShape="0">
              <a:prstClr val="black">
                <a:alpha val="20000"/>
              </a:prstClr>
            </a:outerShdw>
          </a:effectLst>
        </c:spPr>
      </c:pivotFmt>
      <c:pivotFmt>
        <c:idx val="4045"/>
        <c:spPr>
          <a:solidFill>
            <a:schemeClr val="accent6"/>
          </a:solidFill>
          <a:ln>
            <a:noFill/>
          </a:ln>
          <a:effectLst>
            <a:outerShdw blurRad="254000" sx="102000" sy="102000" algn="ctr" rotWithShape="0">
              <a:prstClr val="black">
                <a:alpha val="20000"/>
              </a:prstClr>
            </a:outerShdw>
          </a:effectLst>
        </c:spPr>
      </c:pivotFmt>
      <c:pivotFmt>
        <c:idx val="4046"/>
        <c:spPr>
          <a:solidFill>
            <a:schemeClr val="accent6"/>
          </a:solidFill>
          <a:ln>
            <a:noFill/>
          </a:ln>
          <a:effectLst>
            <a:outerShdw blurRad="254000" sx="102000" sy="102000" algn="ctr" rotWithShape="0">
              <a:prstClr val="black">
                <a:alpha val="20000"/>
              </a:prstClr>
            </a:outerShdw>
          </a:effectLst>
        </c:spPr>
      </c:pivotFmt>
      <c:pivotFmt>
        <c:idx val="4047"/>
        <c:spPr>
          <a:solidFill>
            <a:schemeClr val="accent6"/>
          </a:solidFill>
          <a:ln>
            <a:noFill/>
          </a:ln>
          <a:effectLst>
            <a:outerShdw blurRad="254000" sx="102000" sy="102000" algn="ctr" rotWithShape="0">
              <a:prstClr val="black">
                <a:alpha val="20000"/>
              </a:prstClr>
            </a:outerShdw>
          </a:effectLst>
        </c:spPr>
      </c:pivotFmt>
      <c:pivotFmt>
        <c:idx val="4048"/>
        <c:spPr>
          <a:solidFill>
            <a:schemeClr val="accent6"/>
          </a:solidFill>
          <a:ln>
            <a:noFill/>
          </a:ln>
          <a:effectLst>
            <a:outerShdw blurRad="254000" sx="102000" sy="102000" algn="ctr" rotWithShape="0">
              <a:prstClr val="black">
                <a:alpha val="20000"/>
              </a:prstClr>
            </a:outerShdw>
          </a:effectLst>
        </c:spPr>
      </c:pivotFmt>
      <c:pivotFmt>
        <c:idx val="4049"/>
        <c:spPr>
          <a:solidFill>
            <a:schemeClr val="accent6"/>
          </a:solidFill>
          <a:ln>
            <a:noFill/>
          </a:ln>
          <a:effectLst>
            <a:outerShdw blurRad="254000" sx="102000" sy="102000" algn="ctr" rotWithShape="0">
              <a:prstClr val="black">
                <a:alpha val="20000"/>
              </a:prstClr>
            </a:outerShdw>
          </a:effectLst>
        </c:spPr>
      </c:pivotFmt>
      <c:pivotFmt>
        <c:idx val="4050"/>
        <c:spPr>
          <a:solidFill>
            <a:schemeClr val="accent6"/>
          </a:solidFill>
          <a:ln>
            <a:noFill/>
          </a:ln>
          <a:effectLst>
            <a:outerShdw blurRad="254000" sx="102000" sy="102000" algn="ctr" rotWithShape="0">
              <a:prstClr val="black">
                <a:alpha val="20000"/>
              </a:prstClr>
            </a:outerShdw>
          </a:effectLst>
        </c:spPr>
      </c:pivotFmt>
      <c:pivotFmt>
        <c:idx val="4051"/>
        <c:spPr>
          <a:solidFill>
            <a:schemeClr val="accent6"/>
          </a:solidFill>
          <a:ln>
            <a:noFill/>
          </a:ln>
          <a:effectLst>
            <a:outerShdw blurRad="254000" sx="102000" sy="102000" algn="ctr" rotWithShape="0">
              <a:prstClr val="black">
                <a:alpha val="20000"/>
              </a:prstClr>
            </a:outerShdw>
          </a:effectLst>
        </c:spPr>
      </c:pivotFmt>
      <c:pivotFmt>
        <c:idx val="4052"/>
        <c:spPr>
          <a:solidFill>
            <a:schemeClr val="accent6"/>
          </a:solidFill>
          <a:ln>
            <a:noFill/>
          </a:ln>
          <a:effectLst>
            <a:outerShdw blurRad="254000" sx="102000" sy="102000" algn="ctr" rotWithShape="0">
              <a:prstClr val="black">
                <a:alpha val="20000"/>
              </a:prstClr>
            </a:outerShdw>
          </a:effectLst>
        </c:spPr>
      </c:pivotFmt>
      <c:pivotFmt>
        <c:idx val="4053"/>
        <c:spPr>
          <a:solidFill>
            <a:schemeClr val="accent6"/>
          </a:solidFill>
          <a:ln>
            <a:noFill/>
          </a:ln>
          <a:effectLst>
            <a:outerShdw blurRad="254000" sx="102000" sy="102000" algn="ctr" rotWithShape="0">
              <a:prstClr val="black">
                <a:alpha val="20000"/>
              </a:prstClr>
            </a:outerShdw>
          </a:effectLst>
        </c:spPr>
      </c:pivotFmt>
      <c:pivotFmt>
        <c:idx val="4054"/>
        <c:spPr>
          <a:solidFill>
            <a:schemeClr val="accent6"/>
          </a:solidFill>
          <a:ln>
            <a:noFill/>
          </a:ln>
          <a:effectLst>
            <a:outerShdw blurRad="254000" sx="102000" sy="102000" algn="ctr" rotWithShape="0">
              <a:prstClr val="black">
                <a:alpha val="20000"/>
              </a:prstClr>
            </a:outerShdw>
          </a:effectLst>
        </c:spPr>
      </c:pivotFmt>
      <c:pivotFmt>
        <c:idx val="4055"/>
        <c:spPr>
          <a:solidFill>
            <a:schemeClr val="accent6"/>
          </a:solidFill>
          <a:ln>
            <a:noFill/>
          </a:ln>
          <a:effectLst>
            <a:outerShdw blurRad="254000" sx="102000" sy="102000" algn="ctr" rotWithShape="0">
              <a:prstClr val="black">
                <a:alpha val="20000"/>
              </a:prstClr>
            </a:outerShdw>
          </a:effectLst>
        </c:spPr>
      </c:pivotFmt>
      <c:pivotFmt>
        <c:idx val="4056"/>
        <c:spPr>
          <a:solidFill>
            <a:schemeClr val="accent6"/>
          </a:solidFill>
          <a:ln>
            <a:noFill/>
          </a:ln>
          <a:effectLst>
            <a:outerShdw blurRad="254000" sx="102000" sy="102000" algn="ctr" rotWithShape="0">
              <a:prstClr val="black">
                <a:alpha val="20000"/>
              </a:prstClr>
            </a:outerShdw>
          </a:effectLst>
        </c:spPr>
      </c:pivotFmt>
      <c:pivotFmt>
        <c:idx val="4057"/>
        <c:spPr>
          <a:solidFill>
            <a:schemeClr val="accent6"/>
          </a:solidFill>
          <a:ln>
            <a:noFill/>
          </a:ln>
          <a:effectLst>
            <a:outerShdw blurRad="254000" sx="102000" sy="102000" algn="ctr" rotWithShape="0">
              <a:prstClr val="black">
                <a:alpha val="20000"/>
              </a:prstClr>
            </a:outerShdw>
          </a:effectLst>
        </c:spPr>
      </c:pivotFmt>
      <c:pivotFmt>
        <c:idx val="4058"/>
        <c:spPr>
          <a:solidFill>
            <a:schemeClr val="accent6"/>
          </a:solidFill>
          <a:ln>
            <a:noFill/>
          </a:ln>
          <a:effectLst>
            <a:outerShdw blurRad="254000" sx="102000" sy="102000" algn="ctr" rotWithShape="0">
              <a:prstClr val="black">
                <a:alpha val="20000"/>
              </a:prstClr>
            </a:outerShdw>
          </a:effectLst>
        </c:spPr>
      </c:pivotFmt>
      <c:pivotFmt>
        <c:idx val="4059"/>
        <c:spPr>
          <a:solidFill>
            <a:schemeClr val="accent6"/>
          </a:solidFill>
          <a:ln>
            <a:noFill/>
          </a:ln>
          <a:effectLst>
            <a:outerShdw blurRad="254000" sx="102000" sy="102000" algn="ctr" rotWithShape="0">
              <a:prstClr val="black">
                <a:alpha val="20000"/>
              </a:prstClr>
            </a:outerShdw>
          </a:effectLst>
        </c:spPr>
      </c:pivotFmt>
      <c:pivotFmt>
        <c:idx val="4060"/>
        <c:spPr>
          <a:solidFill>
            <a:schemeClr val="accent6"/>
          </a:solidFill>
          <a:ln>
            <a:noFill/>
          </a:ln>
          <a:effectLst>
            <a:outerShdw blurRad="254000" sx="102000" sy="102000" algn="ctr" rotWithShape="0">
              <a:prstClr val="black">
                <a:alpha val="20000"/>
              </a:prstClr>
            </a:outerShdw>
          </a:effectLst>
        </c:spPr>
      </c:pivotFmt>
      <c:pivotFmt>
        <c:idx val="406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62"/>
        <c:spPr>
          <a:solidFill>
            <a:schemeClr val="accent6"/>
          </a:solidFill>
          <a:ln>
            <a:noFill/>
          </a:ln>
          <a:effectLst>
            <a:outerShdw blurRad="254000" sx="102000" sy="102000" algn="ctr" rotWithShape="0">
              <a:prstClr val="black">
                <a:alpha val="20000"/>
              </a:prstClr>
            </a:outerShdw>
          </a:effectLst>
        </c:spPr>
        <c:marker>
          <c:symbol val="none"/>
        </c:marker>
      </c:pivotFmt>
      <c:pivotFmt>
        <c:idx val="4063"/>
        <c:spPr>
          <a:solidFill>
            <a:schemeClr val="accent6"/>
          </a:solidFill>
          <a:ln>
            <a:noFill/>
          </a:ln>
          <a:effectLst>
            <a:outerShdw blurRad="254000" sx="102000" sy="102000" algn="ctr" rotWithShape="0">
              <a:prstClr val="black">
                <a:alpha val="20000"/>
              </a:prstClr>
            </a:outerShdw>
          </a:effectLst>
        </c:spPr>
        <c:marker>
          <c:symbol val="none"/>
        </c:marker>
      </c:pivotFmt>
      <c:pivotFmt>
        <c:idx val="4064"/>
        <c:spPr>
          <a:solidFill>
            <a:schemeClr val="accent6"/>
          </a:solidFill>
          <a:ln>
            <a:noFill/>
          </a:ln>
          <a:effectLst>
            <a:outerShdw blurRad="254000" sx="102000" sy="102000" algn="ctr" rotWithShape="0">
              <a:prstClr val="black">
                <a:alpha val="20000"/>
              </a:prstClr>
            </a:outerShdw>
          </a:effectLst>
        </c:spPr>
        <c:marker>
          <c:symbol val="none"/>
        </c:marker>
      </c:pivotFmt>
      <c:pivotFmt>
        <c:idx val="4065"/>
        <c:spPr>
          <a:solidFill>
            <a:schemeClr val="accent6"/>
          </a:solidFill>
          <a:ln>
            <a:noFill/>
          </a:ln>
          <a:effectLst>
            <a:outerShdw blurRad="254000" sx="102000" sy="102000" algn="ctr" rotWithShape="0">
              <a:prstClr val="black">
                <a:alpha val="20000"/>
              </a:prstClr>
            </a:outerShdw>
          </a:effectLst>
        </c:spPr>
        <c:marker>
          <c:symbol val="none"/>
        </c:marker>
      </c:pivotFmt>
      <c:pivotFmt>
        <c:idx val="4066"/>
        <c:spPr>
          <a:solidFill>
            <a:schemeClr val="accent6"/>
          </a:solidFill>
          <a:ln>
            <a:noFill/>
          </a:ln>
          <a:effectLst>
            <a:outerShdw blurRad="254000" sx="102000" sy="102000" algn="ctr" rotWithShape="0">
              <a:prstClr val="black">
                <a:alpha val="20000"/>
              </a:prstClr>
            </a:outerShdw>
          </a:effectLst>
        </c:spPr>
        <c:marker>
          <c:symbol val="none"/>
        </c:marker>
      </c:pivotFmt>
      <c:pivotFmt>
        <c:idx val="4067"/>
        <c:spPr>
          <a:solidFill>
            <a:schemeClr val="accent6"/>
          </a:solidFill>
          <a:ln>
            <a:noFill/>
          </a:ln>
          <a:effectLst>
            <a:outerShdw blurRad="254000" sx="102000" sy="102000" algn="ctr" rotWithShape="0">
              <a:prstClr val="black">
                <a:alpha val="20000"/>
              </a:prstClr>
            </a:outerShdw>
          </a:effectLst>
        </c:spPr>
        <c:marker>
          <c:symbol val="none"/>
        </c:marker>
      </c:pivotFmt>
      <c:pivotFmt>
        <c:idx val="4068"/>
        <c:spPr>
          <a:solidFill>
            <a:schemeClr val="accent6"/>
          </a:solidFill>
          <a:ln>
            <a:noFill/>
          </a:ln>
          <a:effectLst>
            <a:outerShdw blurRad="254000" sx="102000" sy="102000" algn="ctr" rotWithShape="0">
              <a:prstClr val="black">
                <a:alpha val="20000"/>
              </a:prstClr>
            </a:outerShdw>
          </a:effectLst>
        </c:spPr>
        <c:marker>
          <c:symbol val="none"/>
        </c:marker>
      </c:pivotFmt>
      <c:pivotFmt>
        <c:idx val="4069"/>
        <c:spPr>
          <a:solidFill>
            <a:schemeClr val="accent6"/>
          </a:solidFill>
          <a:ln>
            <a:noFill/>
          </a:ln>
          <a:effectLst>
            <a:outerShdw blurRad="254000" sx="102000" sy="102000" algn="ctr" rotWithShape="0">
              <a:prstClr val="black">
                <a:alpha val="20000"/>
              </a:prstClr>
            </a:outerShdw>
          </a:effectLst>
        </c:spPr>
        <c:marker>
          <c:symbol val="none"/>
        </c:marker>
      </c:pivotFmt>
      <c:pivotFmt>
        <c:idx val="4070"/>
        <c:spPr>
          <a:solidFill>
            <a:schemeClr val="accent6"/>
          </a:solidFill>
          <a:ln>
            <a:noFill/>
          </a:ln>
          <a:effectLst>
            <a:outerShdw blurRad="254000" sx="102000" sy="102000" algn="ctr" rotWithShape="0">
              <a:prstClr val="black">
                <a:alpha val="20000"/>
              </a:prstClr>
            </a:outerShdw>
          </a:effectLst>
        </c:spPr>
      </c:pivotFmt>
      <c:pivotFmt>
        <c:idx val="4071"/>
        <c:spPr>
          <a:solidFill>
            <a:schemeClr val="accent6"/>
          </a:solidFill>
          <a:ln>
            <a:noFill/>
          </a:ln>
          <a:effectLst>
            <a:outerShdw blurRad="254000" sx="102000" sy="102000" algn="ctr" rotWithShape="0">
              <a:prstClr val="black">
                <a:alpha val="20000"/>
              </a:prstClr>
            </a:outerShdw>
          </a:effectLst>
        </c:spPr>
      </c:pivotFmt>
      <c:pivotFmt>
        <c:idx val="4072"/>
        <c:spPr>
          <a:solidFill>
            <a:schemeClr val="accent6"/>
          </a:solidFill>
          <a:ln>
            <a:noFill/>
          </a:ln>
          <a:effectLst>
            <a:outerShdw blurRad="254000" sx="102000" sy="102000" algn="ctr" rotWithShape="0">
              <a:prstClr val="black">
                <a:alpha val="20000"/>
              </a:prstClr>
            </a:outerShdw>
          </a:effectLst>
        </c:spPr>
      </c:pivotFmt>
      <c:pivotFmt>
        <c:idx val="4073"/>
        <c:spPr>
          <a:solidFill>
            <a:schemeClr val="accent6"/>
          </a:solidFill>
          <a:ln>
            <a:noFill/>
          </a:ln>
          <a:effectLst>
            <a:outerShdw blurRad="254000" sx="102000" sy="102000" algn="ctr" rotWithShape="0">
              <a:prstClr val="black">
                <a:alpha val="20000"/>
              </a:prstClr>
            </a:outerShdw>
          </a:effectLst>
        </c:spPr>
      </c:pivotFmt>
      <c:pivotFmt>
        <c:idx val="4074"/>
        <c:spPr>
          <a:solidFill>
            <a:schemeClr val="accent6"/>
          </a:solidFill>
          <a:ln>
            <a:noFill/>
          </a:ln>
          <a:effectLst>
            <a:outerShdw blurRad="254000" sx="102000" sy="102000" algn="ctr" rotWithShape="0">
              <a:prstClr val="black">
                <a:alpha val="20000"/>
              </a:prstClr>
            </a:outerShdw>
          </a:effectLst>
        </c:spPr>
      </c:pivotFmt>
      <c:pivotFmt>
        <c:idx val="407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76"/>
        <c:spPr>
          <a:solidFill>
            <a:schemeClr val="accent6"/>
          </a:solidFill>
          <a:ln>
            <a:noFill/>
          </a:ln>
          <a:effectLst>
            <a:outerShdw blurRad="254000" sx="102000" sy="102000" algn="ctr" rotWithShape="0">
              <a:prstClr val="black">
                <a:alpha val="20000"/>
              </a:prstClr>
            </a:outerShdw>
          </a:effectLst>
        </c:spPr>
      </c:pivotFmt>
      <c:pivotFmt>
        <c:idx val="4077"/>
        <c:spPr>
          <a:solidFill>
            <a:schemeClr val="accent6"/>
          </a:solidFill>
          <a:ln>
            <a:noFill/>
          </a:ln>
          <a:effectLst>
            <a:outerShdw blurRad="254000" sx="102000" sy="102000" algn="ctr" rotWithShape="0">
              <a:prstClr val="black">
                <a:alpha val="20000"/>
              </a:prstClr>
            </a:outerShdw>
          </a:effectLst>
        </c:spPr>
      </c:pivotFmt>
      <c:pivotFmt>
        <c:idx val="4078"/>
        <c:spPr>
          <a:solidFill>
            <a:schemeClr val="accent6"/>
          </a:solidFill>
          <a:ln>
            <a:noFill/>
          </a:ln>
          <a:effectLst>
            <a:outerShdw blurRad="254000" sx="102000" sy="102000" algn="ctr" rotWithShape="0">
              <a:prstClr val="black">
                <a:alpha val="20000"/>
              </a:prstClr>
            </a:outerShdw>
          </a:effectLst>
        </c:spPr>
      </c:pivotFmt>
      <c:pivotFmt>
        <c:idx val="4079"/>
        <c:spPr>
          <a:solidFill>
            <a:schemeClr val="accent6"/>
          </a:solidFill>
          <a:ln>
            <a:noFill/>
          </a:ln>
          <a:effectLst>
            <a:outerShdw blurRad="254000" sx="102000" sy="102000" algn="ctr" rotWithShape="0">
              <a:prstClr val="black">
                <a:alpha val="20000"/>
              </a:prstClr>
            </a:outerShdw>
          </a:effectLst>
        </c:spPr>
      </c:pivotFmt>
      <c:pivotFmt>
        <c:idx val="4080"/>
        <c:spPr>
          <a:solidFill>
            <a:schemeClr val="accent6"/>
          </a:solidFill>
          <a:ln>
            <a:noFill/>
          </a:ln>
          <a:effectLst>
            <a:outerShdw blurRad="254000" sx="102000" sy="102000" algn="ctr" rotWithShape="0">
              <a:prstClr val="black">
                <a:alpha val="20000"/>
              </a:prstClr>
            </a:outerShdw>
          </a:effectLst>
        </c:spPr>
      </c:pivotFmt>
      <c:pivotFmt>
        <c:idx val="408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82"/>
        <c:spPr>
          <a:solidFill>
            <a:schemeClr val="accent6"/>
          </a:solidFill>
          <a:ln>
            <a:noFill/>
          </a:ln>
          <a:effectLst>
            <a:outerShdw blurRad="254000" sx="102000" sy="102000" algn="ctr" rotWithShape="0">
              <a:prstClr val="black">
                <a:alpha val="20000"/>
              </a:prstClr>
            </a:outerShdw>
          </a:effectLst>
        </c:spPr>
      </c:pivotFmt>
      <c:pivotFmt>
        <c:idx val="4083"/>
        <c:spPr>
          <a:solidFill>
            <a:schemeClr val="accent6"/>
          </a:solidFill>
          <a:ln>
            <a:noFill/>
          </a:ln>
          <a:effectLst>
            <a:outerShdw blurRad="254000" sx="102000" sy="102000" algn="ctr" rotWithShape="0">
              <a:prstClr val="black">
                <a:alpha val="20000"/>
              </a:prstClr>
            </a:outerShdw>
          </a:effectLst>
        </c:spPr>
      </c:pivotFmt>
      <c:pivotFmt>
        <c:idx val="4084"/>
        <c:spPr>
          <a:solidFill>
            <a:schemeClr val="accent6"/>
          </a:solidFill>
          <a:ln>
            <a:noFill/>
          </a:ln>
          <a:effectLst>
            <a:outerShdw blurRad="254000" sx="102000" sy="102000" algn="ctr" rotWithShape="0">
              <a:prstClr val="black">
                <a:alpha val="20000"/>
              </a:prstClr>
            </a:outerShdw>
          </a:effectLst>
        </c:spPr>
      </c:pivotFmt>
      <c:pivotFmt>
        <c:idx val="4085"/>
        <c:spPr>
          <a:solidFill>
            <a:schemeClr val="accent6"/>
          </a:solidFill>
          <a:ln>
            <a:noFill/>
          </a:ln>
          <a:effectLst>
            <a:outerShdw blurRad="254000" sx="102000" sy="102000" algn="ctr" rotWithShape="0">
              <a:prstClr val="black">
                <a:alpha val="20000"/>
              </a:prstClr>
            </a:outerShdw>
          </a:effectLst>
        </c:spPr>
      </c:pivotFmt>
      <c:pivotFmt>
        <c:idx val="4086"/>
        <c:spPr>
          <a:solidFill>
            <a:schemeClr val="accent6"/>
          </a:solidFill>
          <a:ln>
            <a:noFill/>
          </a:ln>
          <a:effectLst>
            <a:outerShdw blurRad="254000" sx="102000" sy="102000" algn="ctr" rotWithShape="0">
              <a:prstClr val="black">
                <a:alpha val="20000"/>
              </a:prstClr>
            </a:outerShdw>
          </a:effectLst>
        </c:spPr>
      </c:pivotFmt>
      <c:pivotFmt>
        <c:idx val="408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88"/>
        <c:spPr>
          <a:solidFill>
            <a:schemeClr val="accent6"/>
          </a:solidFill>
          <a:ln>
            <a:noFill/>
          </a:ln>
          <a:effectLst>
            <a:outerShdw blurRad="254000" sx="102000" sy="102000" algn="ctr" rotWithShape="0">
              <a:prstClr val="black">
                <a:alpha val="20000"/>
              </a:prstClr>
            </a:outerShdw>
          </a:effectLst>
        </c:spPr>
      </c:pivotFmt>
      <c:pivotFmt>
        <c:idx val="4089"/>
        <c:spPr>
          <a:solidFill>
            <a:schemeClr val="accent6"/>
          </a:solidFill>
          <a:ln>
            <a:noFill/>
          </a:ln>
          <a:effectLst>
            <a:outerShdw blurRad="254000" sx="102000" sy="102000" algn="ctr" rotWithShape="0">
              <a:prstClr val="black">
                <a:alpha val="20000"/>
              </a:prstClr>
            </a:outerShdw>
          </a:effectLst>
        </c:spPr>
      </c:pivotFmt>
      <c:pivotFmt>
        <c:idx val="4090"/>
        <c:spPr>
          <a:solidFill>
            <a:schemeClr val="accent6"/>
          </a:solidFill>
          <a:ln>
            <a:noFill/>
          </a:ln>
          <a:effectLst>
            <a:outerShdw blurRad="254000" sx="102000" sy="102000" algn="ctr" rotWithShape="0">
              <a:prstClr val="black">
                <a:alpha val="20000"/>
              </a:prstClr>
            </a:outerShdw>
          </a:effectLst>
        </c:spPr>
      </c:pivotFmt>
      <c:pivotFmt>
        <c:idx val="4091"/>
        <c:spPr>
          <a:solidFill>
            <a:schemeClr val="accent6"/>
          </a:solidFill>
          <a:ln>
            <a:noFill/>
          </a:ln>
          <a:effectLst>
            <a:outerShdw blurRad="254000" sx="102000" sy="102000" algn="ctr" rotWithShape="0">
              <a:prstClr val="black">
                <a:alpha val="20000"/>
              </a:prstClr>
            </a:outerShdw>
          </a:effectLst>
        </c:spPr>
      </c:pivotFmt>
      <c:pivotFmt>
        <c:idx val="4092"/>
        <c:spPr>
          <a:solidFill>
            <a:schemeClr val="accent6"/>
          </a:solidFill>
          <a:ln>
            <a:noFill/>
          </a:ln>
          <a:effectLst>
            <a:outerShdw blurRad="254000" sx="102000" sy="102000" algn="ctr" rotWithShape="0">
              <a:prstClr val="black">
                <a:alpha val="20000"/>
              </a:prstClr>
            </a:outerShdw>
          </a:effectLst>
        </c:spPr>
      </c:pivotFmt>
      <c:pivotFmt>
        <c:idx val="4093"/>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094"/>
        <c:spPr>
          <a:solidFill>
            <a:schemeClr val="accent6"/>
          </a:solidFill>
          <a:ln>
            <a:noFill/>
          </a:ln>
          <a:effectLst>
            <a:outerShdw blurRad="254000" sx="102000" sy="102000" algn="ctr" rotWithShape="0">
              <a:prstClr val="black">
                <a:alpha val="20000"/>
              </a:prstClr>
            </a:outerShdw>
          </a:effectLst>
        </c:spPr>
      </c:pivotFmt>
      <c:pivotFmt>
        <c:idx val="4095"/>
        <c:spPr>
          <a:solidFill>
            <a:schemeClr val="accent6"/>
          </a:solidFill>
          <a:ln>
            <a:noFill/>
          </a:ln>
          <a:effectLst>
            <a:outerShdw blurRad="254000" sx="102000" sy="102000" algn="ctr" rotWithShape="0">
              <a:prstClr val="black">
                <a:alpha val="20000"/>
              </a:prstClr>
            </a:outerShdw>
          </a:effectLst>
        </c:spPr>
      </c:pivotFmt>
      <c:pivotFmt>
        <c:idx val="4096"/>
        <c:spPr>
          <a:solidFill>
            <a:schemeClr val="accent6"/>
          </a:solidFill>
          <a:ln>
            <a:noFill/>
          </a:ln>
          <a:effectLst>
            <a:outerShdw blurRad="254000" sx="102000" sy="102000" algn="ctr" rotWithShape="0">
              <a:prstClr val="black">
                <a:alpha val="20000"/>
              </a:prstClr>
            </a:outerShdw>
          </a:effectLst>
        </c:spPr>
      </c:pivotFmt>
      <c:pivotFmt>
        <c:idx val="4097"/>
        <c:spPr>
          <a:solidFill>
            <a:schemeClr val="accent6"/>
          </a:solidFill>
          <a:ln>
            <a:noFill/>
          </a:ln>
          <a:effectLst>
            <a:outerShdw blurRad="254000" sx="102000" sy="102000" algn="ctr" rotWithShape="0">
              <a:prstClr val="black">
                <a:alpha val="20000"/>
              </a:prstClr>
            </a:outerShdw>
          </a:effectLst>
        </c:spPr>
      </c:pivotFmt>
      <c:pivotFmt>
        <c:idx val="4098"/>
        <c:spPr>
          <a:solidFill>
            <a:schemeClr val="accent6"/>
          </a:solidFill>
          <a:ln>
            <a:noFill/>
          </a:ln>
          <a:effectLst>
            <a:outerShdw blurRad="254000" sx="102000" sy="102000" algn="ctr" rotWithShape="0">
              <a:prstClr val="black">
                <a:alpha val="20000"/>
              </a:prstClr>
            </a:outerShdw>
          </a:effectLst>
        </c:spPr>
      </c:pivotFmt>
      <c:pivotFmt>
        <c:idx val="4099"/>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00"/>
        <c:spPr>
          <a:solidFill>
            <a:schemeClr val="accent6"/>
          </a:solidFill>
          <a:ln>
            <a:noFill/>
          </a:ln>
          <a:effectLst>
            <a:outerShdw blurRad="254000" sx="102000" sy="102000" algn="ctr" rotWithShape="0">
              <a:prstClr val="black">
                <a:alpha val="20000"/>
              </a:prstClr>
            </a:outerShdw>
          </a:effectLst>
        </c:spPr>
      </c:pivotFmt>
      <c:pivotFmt>
        <c:idx val="4101"/>
        <c:spPr>
          <a:solidFill>
            <a:schemeClr val="accent6"/>
          </a:solidFill>
          <a:ln>
            <a:noFill/>
          </a:ln>
          <a:effectLst>
            <a:outerShdw blurRad="254000" sx="102000" sy="102000" algn="ctr" rotWithShape="0">
              <a:prstClr val="black">
                <a:alpha val="20000"/>
              </a:prstClr>
            </a:outerShdw>
          </a:effectLst>
        </c:spPr>
      </c:pivotFmt>
      <c:pivotFmt>
        <c:idx val="4102"/>
        <c:spPr>
          <a:solidFill>
            <a:schemeClr val="accent6"/>
          </a:solidFill>
          <a:ln>
            <a:noFill/>
          </a:ln>
          <a:effectLst>
            <a:outerShdw blurRad="254000" sx="102000" sy="102000" algn="ctr" rotWithShape="0">
              <a:prstClr val="black">
                <a:alpha val="20000"/>
              </a:prstClr>
            </a:outerShdw>
          </a:effectLst>
        </c:spPr>
      </c:pivotFmt>
      <c:pivotFmt>
        <c:idx val="4103"/>
        <c:spPr>
          <a:solidFill>
            <a:schemeClr val="accent6"/>
          </a:solidFill>
          <a:ln>
            <a:noFill/>
          </a:ln>
          <a:effectLst>
            <a:outerShdw blurRad="254000" sx="102000" sy="102000" algn="ctr" rotWithShape="0">
              <a:prstClr val="black">
                <a:alpha val="20000"/>
              </a:prstClr>
            </a:outerShdw>
          </a:effectLst>
        </c:spPr>
      </c:pivotFmt>
      <c:pivotFmt>
        <c:idx val="4104"/>
        <c:spPr>
          <a:solidFill>
            <a:schemeClr val="accent6"/>
          </a:solidFill>
          <a:ln>
            <a:noFill/>
          </a:ln>
          <a:effectLst>
            <a:outerShdw blurRad="254000" sx="102000" sy="102000" algn="ctr" rotWithShape="0">
              <a:prstClr val="black">
                <a:alpha val="20000"/>
              </a:prstClr>
            </a:outerShdw>
          </a:effectLst>
        </c:spPr>
      </c:pivotFmt>
      <c:pivotFmt>
        <c:idx val="4105"/>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06"/>
        <c:spPr>
          <a:solidFill>
            <a:schemeClr val="accent6"/>
          </a:solidFill>
          <a:ln>
            <a:noFill/>
          </a:ln>
          <a:effectLst>
            <a:outerShdw blurRad="254000" sx="102000" sy="102000" algn="ctr" rotWithShape="0">
              <a:prstClr val="black">
                <a:alpha val="20000"/>
              </a:prstClr>
            </a:outerShdw>
          </a:effectLst>
        </c:spPr>
      </c:pivotFmt>
      <c:pivotFmt>
        <c:idx val="4107"/>
        <c:spPr>
          <a:solidFill>
            <a:schemeClr val="accent6"/>
          </a:solidFill>
          <a:ln>
            <a:noFill/>
          </a:ln>
          <a:effectLst>
            <a:outerShdw blurRad="254000" sx="102000" sy="102000" algn="ctr" rotWithShape="0">
              <a:prstClr val="black">
                <a:alpha val="20000"/>
              </a:prstClr>
            </a:outerShdw>
          </a:effectLst>
        </c:spPr>
      </c:pivotFmt>
      <c:pivotFmt>
        <c:idx val="4108"/>
        <c:spPr>
          <a:solidFill>
            <a:schemeClr val="accent6"/>
          </a:solidFill>
          <a:ln>
            <a:noFill/>
          </a:ln>
          <a:effectLst>
            <a:outerShdw blurRad="254000" sx="102000" sy="102000" algn="ctr" rotWithShape="0">
              <a:prstClr val="black">
                <a:alpha val="20000"/>
              </a:prstClr>
            </a:outerShdw>
          </a:effectLst>
        </c:spPr>
      </c:pivotFmt>
      <c:pivotFmt>
        <c:idx val="4109"/>
        <c:spPr>
          <a:solidFill>
            <a:schemeClr val="accent6"/>
          </a:solidFill>
          <a:ln>
            <a:noFill/>
          </a:ln>
          <a:effectLst>
            <a:outerShdw blurRad="254000" sx="102000" sy="102000" algn="ctr" rotWithShape="0">
              <a:prstClr val="black">
                <a:alpha val="20000"/>
              </a:prstClr>
            </a:outerShdw>
          </a:effectLst>
        </c:spPr>
      </c:pivotFmt>
      <c:pivotFmt>
        <c:idx val="4110"/>
        <c:spPr>
          <a:solidFill>
            <a:schemeClr val="accent6"/>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4.3352431224725783E-2"/>
          <c:y val="0.25377164564012361"/>
          <c:w val="0.62506713991489593"/>
          <c:h val="0.74194954641129351"/>
        </c:manualLayout>
      </c:layout>
      <c:pieChart>
        <c:varyColors val="1"/>
        <c:ser>
          <c:idx val="0"/>
          <c:order val="0"/>
          <c:tx>
            <c:strRef>
              <c:f>'COMPANY PROD'!$S$47</c:f>
              <c:strCache>
                <c:ptCount val="1"/>
                <c:pt idx="0">
                  <c:v>C- Abu Dhabi Commerci</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703-44DE-B642-A9D842833789}"/>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E-95DD-4204-9C96-B3A4C72766F9}"/>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F-95DD-4204-9C96-B3A4C72766F9}"/>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C-95DD-4204-9C96-B3A4C72766F9}"/>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703-44DE-B642-A9D842833789}"/>
              </c:ext>
            </c:extLst>
          </c:dPt>
          <c:dPt>
            <c:idx val="5"/>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95DD-4204-9C96-B3A4C72766F9}"/>
              </c:ext>
            </c:extLst>
          </c:dPt>
          <c:dPt>
            <c:idx val="6"/>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8-95DD-4204-9C96-B3A4C72766F9}"/>
              </c:ext>
            </c:extLst>
          </c:dPt>
          <c:dPt>
            <c:idx val="7"/>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4703-44DE-B642-A9D842833789}"/>
              </c:ext>
            </c:extLst>
          </c:dPt>
          <c:dPt>
            <c:idx val="8"/>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4703-44DE-B642-A9D842833789}"/>
              </c:ext>
            </c:extLst>
          </c:dPt>
          <c:dPt>
            <c:idx val="9"/>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0-95DD-4204-9C96-B3A4C72766F9}"/>
              </c:ext>
            </c:extLst>
          </c:dPt>
          <c:dPt>
            <c:idx val="10"/>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1-95DD-4204-9C96-B3A4C72766F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95DD-4204-9C96-B3A4C72766F9}"/>
            </c:ext>
          </c:extLst>
        </c:ser>
        <c:ser>
          <c:idx val="1"/>
          <c:order val="1"/>
          <c:tx>
            <c:strRef>
              <c:f>'COMPANY PROD'!$S$47</c:f>
              <c:strCache>
                <c:ptCount val="1"/>
                <c:pt idx="0">
                  <c:v>C- ACWA POWER</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BC3E-4253-8EB8-3E564A0CE857}"/>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BC3E-4253-8EB8-3E564A0CE857}"/>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BC3E-4253-8EB8-3E564A0CE857}"/>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BC3E-4253-8EB8-3E564A0CE857}"/>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BC3E-4253-8EB8-3E564A0CE85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8</c:v>
                </c:pt>
                <c:pt idx="1">
                  <c:v>0</c:v>
                </c:pt>
                <c:pt idx="2">
                  <c:v>0</c:v>
                </c:pt>
                <c:pt idx="3">
                  <c:v>0</c:v>
                </c:pt>
                <c:pt idx="4">
                  <c:v>0</c:v>
                </c:pt>
              </c:numCache>
            </c:numRef>
          </c:val>
          <c:extLst>
            <c:ext xmlns:c16="http://schemas.microsoft.com/office/drawing/2014/chart" uri="{C3380CC4-5D6E-409C-BE32-E72D297353CC}">
              <c16:uniqueId val="{00000016-56AA-4FCC-9D12-BC8446765716}"/>
            </c:ext>
          </c:extLst>
        </c:ser>
        <c:ser>
          <c:idx val="2"/>
          <c:order val="2"/>
          <c:tx>
            <c:strRef>
              <c:f>'COMPANY PROD'!$S$47</c:f>
              <c:strCache>
                <c:ptCount val="1"/>
                <c:pt idx="0">
                  <c:v>C- UPS Supply Chain S</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BC3E-4253-8EB8-3E564A0CE857}"/>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BC3E-4253-8EB8-3E564A0CE857}"/>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BC3E-4253-8EB8-3E564A0CE857}"/>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BC3E-4253-8EB8-3E564A0CE857}"/>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BC3E-4253-8EB8-3E564A0CE85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17-56AA-4FCC-9D12-BC8446765716}"/>
            </c:ext>
          </c:extLst>
        </c:ser>
        <c:ser>
          <c:idx val="3"/>
          <c:order val="3"/>
          <c:tx>
            <c:strRef>
              <c:f>'COMPANY PROD'!$S$47</c:f>
              <c:strCache>
                <c:ptCount val="1"/>
                <c:pt idx="0">
                  <c:v>M&amp;C / RESV/ OTHERS</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BC3E-4253-8EB8-3E564A0CE857}"/>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BC3E-4253-8EB8-3E564A0CE857}"/>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BC3E-4253-8EB8-3E564A0CE857}"/>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BC3E-4253-8EB8-3E564A0CE857}"/>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BC3E-4253-8EB8-3E564A0CE85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18-56AA-4FCC-9D12-BC8446765716}"/>
            </c:ext>
          </c:extLst>
        </c:ser>
        <c:ser>
          <c:idx val="4"/>
          <c:order val="4"/>
          <c:tx>
            <c:strRef>
              <c:f>'COMPANY PROD'!$S$47</c:f>
              <c:strCache>
                <c:ptCount val="1"/>
                <c:pt idx="0">
                  <c:v>T- Agoda.com Company </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BC3E-4253-8EB8-3E564A0CE857}"/>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BC3E-4253-8EB8-3E564A0CE857}"/>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BC3E-4253-8EB8-3E564A0CE857}"/>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BC3E-4253-8EB8-3E564A0CE857}"/>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BC3E-4253-8EB8-3E564A0CE85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2</c:v>
                </c:pt>
                <c:pt idx="1">
                  <c:v>0</c:v>
                </c:pt>
                <c:pt idx="2">
                  <c:v>0</c:v>
                </c:pt>
                <c:pt idx="3">
                  <c:v>0</c:v>
                </c:pt>
                <c:pt idx="4">
                  <c:v>0</c:v>
                </c:pt>
              </c:numCache>
            </c:numRef>
          </c:val>
          <c:extLst>
            <c:ext xmlns:c16="http://schemas.microsoft.com/office/drawing/2014/chart" uri="{C3380CC4-5D6E-409C-BE32-E72D297353CC}">
              <c16:uniqueId val="{00000019-56AA-4FCC-9D12-BC8446765716}"/>
            </c:ext>
          </c:extLst>
        </c:ser>
        <c:ser>
          <c:idx val="5"/>
          <c:order val="5"/>
          <c:tx>
            <c:strRef>
              <c:f>'COMPANY PROD'!$S$47</c:f>
              <c:strCache>
                <c:ptCount val="1"/>
                <c:pt idx="0">
                  <c:v>T- Almosafer Internat</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2758-4F7B-9050-985A712D1FCD}"/>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2758-4F7B-9050-985A712D1FCD}"/>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2758-4F7B-9050-985A712D1FCD}"/>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5-2758-4F7B-9050-985A712D1FCD}"/>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7-2758-4F7B-9050-985A712D1FC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0</c:v>
                </c:pt>
                <c:pt idx="1">
                  <c:v>5</c:v>
                </c:pt>
                <c:pt idx="2">
                  <c:v>0</c:v>
                </c:pt>
                <c:pt idx="3">
                  <c:v>0</c:v>
                </c:pt>
                <c:pt idx="4">
                  <c:v>0</c:v>
                </c:pt>
              </c:numCache>
            </c:numRef>
          </c:val>
          <c:extLst>
            <c:ext xmlns:c16="http://schemas.microsoft.com/office/drawing/2014/chart" uri="{C3380CC4-5D6E-409C-BE32-E72D297353CC}">
              <c16:uniqueId val="{0000003E-D91A-4C00-823A-6600EDF65E9B}"/>
            </c:ext>
          </c:extLst>
        </c:ser>
        <c:ser>
          <c:idx val="6"/>
          <c:order val="6"/>
          <c:tx>
            <c:strRef>
              <c:f>'COMPANY PROD'!$S$47</c:f>
              <c:strCache>
                <c:ptCount val="1"/>
                <c:pt idx="0">
                  <c:v>T- Booking.com</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9-2758-4F7B-9050-985A712D1FCD}"/>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B-2758-4F7B-9050-985A712D1FCD}"/>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2758-4F7B-9050-985A712D1FCD}"/>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F-2758-4F7B-9050-985A712D1FCD}"/>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1-2758-4F7B-9050-985A712D1FC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5</c:v>
                </c:pt>
                <c:pt idx="1">
                  <c:v>7</c:v>
                </c:pt>
                <c:pt idx="2">
                  <c:v>0</c:v>
                </c:pt>
                <c:pt idx="3">
                  <c:v>0</c:v>
                </c:pt>
                <c:pt idx="4">
                  <c:v>0</c:v>
                </c:pt>
              </c:numCache>
            </c:numRef>
          </c:val>
          <c:extLst>
            <c:ext xmlns:c16="http://schemas.microsoft.com/office/drawing/2014/chart" uri="{C3380CC4-5D6E-409C-BE32-E72D297353CC}">
              <c16:uniqueId val="{0000003F-D91A-4C00-823A-6600EDF65E9B}"/>
            </c:ext>
          </c:extLst>
        </c:ser>
        <c:ser>
          <c:idx val="7"/>
          <c:order val="7"/>
          <c:tx>
            <c:strRef>
              <c:f>'COMPANY PROD'!$S$47</c:f>
              <c:strCache>
                <c:ptCount val="1"/>
                <c:pt idx="0">
                  <c:v>T- Darina Holidays</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3-2758-4F7B-9050-985A712D1FCD}"/>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5-2758-4F7B-9050-985A712D1FCD}"/>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7-2758-4F7B-9050-985A712D1FCD}"/>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9-2758-4F7B-9050-985A712D1FCD}"/>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B-2758-4F7B-9050-985A712D1FC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0</c:v>
                </c:pt>
                <c:pt idx="1">
                  <c:v>0</c:v>
                </c:pt>
                <c:pt idx="2">
                  <c:v>1</c:v>
                </c:pt>
                <c:pt idx="3">
                  <c:v>0</c:v>
                </c:pt>
                <c:pt idx="4">
                  <c:v>0</c:v>
                </c:pt>
              </c:numCache>
            </c:numRef>
          </c:val>
          <c:extLst>
            <c:ext xmlns:c16="http://schemas.microsoft.com/office/drawing/2014/chart" uri="{C3380CC4-5D6E-409C-BE32-E72D297353CC}">
              <c16:uniqueId val="{00000040-D91A-4C00-823A-6600EDF65E9B}"/>
            </c:ext>
          </c:extLst>
        </c:ser>
        <c:ser>
          <c:idx val="8"/>
          <c:order val="8"/>
          <c:tx>
            <c:strRef>
              <c:f>'COMPANY PROD'!$S$47</c:f>
              <c:strCache>
                <c:ptCount val="1"/>
                <c:pt idx="0">
                  <c:v>T- Desert Gate Touris</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D-2758-4F7B-9050-985A712D1FCD}"/>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F-2758-4F7B-9050-985A712D1FCD}"/>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2758-4F7B-9050-985A712D1FCD}"/>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2758-4F7B-9050-985A712D1FCD}"/>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2758-4F7B-9050-985A712D1FC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6</c:v>
                </c:pt>
                <c:pt idx="1">
                  <c:v>1</c:v>
                </c:pt>
                <c:pt idx="2">
                  <c:v>0</c:v>
                </c:pt>
                <c:pt idx="3">
                  <c:v>0</c:v>
                </c:pt>
                <c:pt idx="4">
                  <c:v>0</c:v>
                </c:pt>
              </c:numCache>
            </c:numRef>
          </c:val>
          <c:extLst>
            <c:ext xmlns:c16="http://schemas.microsoft.com/office/drawing/2014/chart" uri="{C3380CC4-5D6E-409C-BE32-E72D297353CC}">
              <c16:uniqueId val="{00000041-D91A-4C00-823A-6600EDF65E9B}"/>
            </c:ext>
          </c:extLst>
        </c:ser>
        <c:ser>
          <c:idx val="9"/>
          <c:order val="9"/>
          <c:tx>
            <c:strRef>
              <c:f>'COMPANY PROD'!$S$47</c:f>
              <c:strCache>
                <c:ptCount val="1"/>
                <c:pt idx="0">
                  <c:v>T- Expedia</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2758-4F7B-9050-985A712D1FCD}"/>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2758-4F7B-9050-985A712D1FCD}"/>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2758-4F7B-9050-985A712D1FCD}"/>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2758-4F7B-9050-985A712D1FCD}"/>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2758-4F7B-9050-985A712D1FC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7</c:v>
                </c:pt>
                <c:pt idx="1">
                  <c:v>0</c:v>
                </c:pt>
                <c:pt idx="2">
                  <c:v>0</c:v>
                </c:pt>
                <c:pt idx="3">
                  <c:v>0</c:v>
                </c:pt>
                <c:pt idx="4">
                  <c:v>0</c:v>
                </c:pt>
              </c:numCache>
            </c:numRef>
          </c:val>
          <c:extLst>
            <c:ext xmlns:c16="http://schemas.microsoft.com/office/drawing/2014/chart" uri="{C3380CC4-5D6E-409C-BE32-E72D297353CC}">
              <c16:uniqueId val="{00000042-D91A-4C00-823A-6600EDF65E9B}"/>
            </c:ext>
          </c:extLst>
        </c:ser>
        <c:ser>
          <c:idx val="10"/>
          <c:order val="10"/>
          <c:tx>
            <c:strRef>
              <c:f>'COMPANY PROD'!$S$47</c:f>
              <c:strCache>
                <c:ptCount val="1"/>
                <c:pt idx="0">
                  <c:v>T- Skymax Holidays c/</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2758-4F7B-9050-985A712D1FCD}"/>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2758-4F7B-9050-985A712D1FCD}"/>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5-2758-4F7B-9050-985A712D1FCD}"/>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7-2758-4F7B-9050-985A712D1FCD}"/>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9-2758-4F7B-9050-985A712D1FC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0</c:v>
                </c:pt>
                <c:pt idx="1">
                  <c:v>3</c:v>
                </c:pt>
                <c:pt idx="2">
                  <c:v>2</c:v>
                </c:pt>
                <c:pt idx="3">
                  <c:v>0</c:v>
                </c:pt>
                <c:pt idx="4">
                  <c:v>0</c:v>
                </c:pt>
              </c:numCache>
            </c:numRef>
          </c:val>
          <c:extLst>
            <c:ext xmlns:c16="http://schemas.microsoft.com/office/drawing/2014/chart" uri="{C3380CC4-5D6E-409C-BE32-E72D297353CC}">
              <c16:uniqueId val="{00000043-D91A-4C00-823A-6600EDF65E9B}"/>
            </c:ext>
          </c:extLst>
        </c:ser>
        <c:ser>
          <c:idx val="11"/>
          <c:order val="11"/>
          <c:tx>
            <c:strRef>
              <c:f>'COMPANY PROD'!$S$47</c:f>
              <c:strCache>
                <c:ptCount val="1"/>
                <c:pt idx="0">
                  <c:v>T- TRIPACTIONS</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B-2758-4F7B-9050-985A712D1FCD}"/>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D-2758-4F7B-9050-985A712D1FCD}"/>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F-2758-4F7B-9050-985A712D1FCD}"/>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1-2758-4F7B-9050-985A712D1FCD}"/>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3-2758-4F7B-9050-985A712D1FC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'COMPANY PROD'!$S$47</c:f>
              <c:strCache>
                <c:ptCount val="5"/>
                <c:pt idx="0">
                  <c:v>AUG 25</c:v>
                </c:pt>
                <c:pt idx="1">
                  <c:v>SEP 25</c:v>
                </c:pt>
                <c:pt idx="2">
                  <c:v>OCT 25</c:v>
                </c:pt>
                <c:pt idx="3">
                  <c:v>NOV 25</c:v>
                </c:pt>
                <c:pt idx="4">
                  <c:v>DEC 25</c:v>
                </c:pt>
              </c:strCache>
            </c:strRef>
          </c:cat>
          <c:val>
            <c:numRef>
              <c:f>'COMPANY PROD'!$S$47</c:f>
              <c:numCache>
                <c:formatCode>General</c:formatCode>
                <c:ptCount val="5"/>
                <c:pt idx="0">
                  <c:v>0</c:v>
                </c:pt>
                <c:pt idx="1">
                  <c:v>3</c:v>
                </c:pt>
                <c:pt idx="2">
                  <c:v>0</c:v>
                </c:pt>
                <c:pt idx="3">
                  <c:v>0</c:v>
                </c:pt>
                <c:pt idx="4">
                  <c:v>0</c:v>
                </c:pt>
              </c:numCache>
            </c:numRef>
          </c:val>
          <c:extLst>
            <c:ext xmlns:c16="http://schemas.microsoft.com/office/drawing/2014/chart" uri="{C3380CC4-5D6E-409C-BE32-E72D297353CC}">
              <c16:uniqueId val="{00000044-D91A-4C00-823A-6600EDF65E9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890550293702473"/>
          <c:y val="0.34184682747432815"/>
          <c:w val="0.15902085480612829"/>
          <c:h val="0.358428370018413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[23-08-2025 Entered On.xlsm]DATA!PivotTable1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59098862642169"/>
          <c:y val="0.27254410906969961"/>
          <c:w val="0.73011264216972882"/>
          <c:h val="0.35027850685331002"/>
        </c:manualLayout>
      </c:layout>
      <c:barChart>
        <c:barDir val="col"/>
        <c:grouping val="clustered"/>
        <c:varyColors val="0"/>
        <c:ser>
          <c:idx val="0"/>
          <c:order val="0"/>
          <c:tx>
            <c:strRef>
              <c:f>DATA!$AE$18</c:f>
              <c:strCache>
                <c:ptCount val="1"/>
                <c:pt idx="0">
                  <c:v>Total</c:v>
                </c:pt>
              </c:strCache>
            </c:strRef>
          </c:tx>
          <c:spPr>
            <a:solidFill>
              <a:schemeClr val="accent1"/>
            </a:solidFill>
            <a:ln>
              <a:noFill/>
            </a:ln>
            <a:effectLst/>
          </c:spPr>
          <c:invertIfNegative val="0"/>
          <c:cat>
            <c:strRef>
              <c:f>DATA!$AD$19:$AD$24</c:f>
              <c:strCache>
                <c:ptCount val="5"/>
                <c:pt idx="0">
                  <c:v>0</c:v>
                </c:pt>
                <c:pt idx="1">
                  <c:v>*INNLINK2WAY*</c:v>
                </c:pt>
                <c:pt idx="2">
                  <c:v>JOY</c:v>
                </c:pt>
                <c:pt idx="3">
                  <c:v>SAMI</c:v>
                </c:pt>
                <c:pt idx="4">
                  <c:v>NITHIN</c:v>
                </c:pt>
              </c:strCache>
            </c:strRef>
          </c:cat>
          <c:val>
            <c:numRef>
              <c:f>DATA!$AE$19:$AE$24</c:f>
              <c:numCache>
                <c:formatCode>General</c:formatCode>
                <c:ptCount val="5"/>
                <c:pt idx="0">
                  <c:v>0</c:v>
                </c:pt>
                <c:pt idx="1">
                  <c:v>11</c:v>
                </c:pt>
                <c:pt idx="2">
                  <c:v>8</c:v>
                </c:pt>
                <c:pt idx="3">
                  <c:v>2</c:v>
                </c:pt>
                <c:pt idx="4">
                  <c:v>2</c:v>
                </c:pt>
              </c:numCache>
            </c:numRef>
          </c:val>
          <c:extLst>
            <c:ext xmlns:c16="http://schemas.microsoft.com/office/drawing/2014/chart" uri="{C3380CC4-5D6E-409C-BE32-E72D297353CC}">
              <c16:uniqueId val="{00000000-C4C9-476C-82BB-8E2AFD54FBC5}"/>
            </c:ext>
          </c:extLst>
        </c:ser>
        <c:dLbls>
          <c:showLegendKey val="0"/>
          <c:showVal val="0"/>
          <c:showCatName val="0"/>
          <c:showSerName val="0"/>
          <c:showPercent val="0"/>
          <c:showBubbleSize val="0"/>
        </c:dLbls>
        <c:gapWidth val="219"/>
        <c:overlap val="-27"/>
        <c:axId val="1085460952"/>
        <c:axId val="1085454472"/>
      </c:barChart>
      <c:catAx>
        <c:axId val="1085460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454472"/>
        <c:crosses val="autoZero"/>
        <c:auto val="1"/>
        <c:lblAlgn val="ctr"/>
        <c:lblOffset val="100"/>
        <c:noMultiLvlLbl val="0"/>
      </c:catAx>
      <c:valAx>
        <c:axId val="1085454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460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ysClr val="windowText" lastClr="000000">
                <a:lumMod val="65000"/>
                <a:lumOff val="35000"/>
              </a:sysClr>
            </a:solidFill>
            <a:latin typeface="Calibri" panose="020F0502020204030204"/>
          </a:endParaRPr>
        </a:p>
      </cx:txPr>
    </cx:title>
    <cx:plotArea>
      <cx:plotAreaRegion>
        <cx:series layoutId="clusteredColumn" uniqueId="{66524F31-6A6E-4577-8C3F-B0C0EEC5FC0A}" formatIdx="0">
          <cx:spPr>
            <a:solidFill>
              <a:schemeClr val="accent1"/>
            </a:solidFill>
          </cx:spPr>
          <cx:dataLabels>
            <cx:spPr>
              <a:noFill/>
            </cx:spPr>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axis>
      <cx:axis id="1">
        <cx:valScaling/>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
        </cx:txData>
      </cx:tx>
      <cx:txPr>
        <a:bodyPr spcFirstLastPara="1" vertOverflow="ellipsis" horzOverflow="overflow" wrap="square" lIns="0" tIns="0" rIns="0" bIns="0" anchor="ctr" anchorCtr="1"/>
        <a:lstStyle/>
        <a:p>
          <a:pPr algn="ctr" rtl="0">
            <a:defRPr/>
          </a:pPr>
          <a:endParaRPr lang="en-US" sz="1400" b="1" i="1" u="none" strike="noStrike" baseline="0">
            <a:solidFill>
              <a:sysClr val="windowText" lastClr="000000">
                <a:lumMod val="65000"/>
                <a:lumOff val="35000"/>
              </a:sysClr>
            </a:solidFill>
            <a:latin typeface="Calibri" panose="020F0502020204030204"/>
          </a:endParaRPr>
        </a:p>
      </cx:txPr>
    </cx:title>
    <cx:plotArea>
      <cx:plotAreaRegion>
        <cx:plotSurface>
          <cx:spPr>
            <a:noFill/>
          </cx:spPr>
        </cx:plotSurface>
        <cx:series layoutId="boxWhisker" uniqueId="{32C2F1D4-6C52-42AF-8A45-B45A9E05433B}" formatIdx="0">
          <cx:spPr>
            <a:ln w="38100">
              <a:solidFill>
                <a:schemeClr val="tx1"/>
              </a:solidFill>
            </a:ln>
          </cx:spPr>
          <cx:dataId val="0"/>
          <cx:layoutPr>
            <cx:visibility meanLine="0" meanMarker="1" nonoutliers="0" outliers="1"/>
            <cx:statistics quartileMethod="exclusive"/>
          </cx:layoutPr>
        </cx:series>
      </cx:plotAreaRegion>
      <cx:axis id="0">
        <cx:catScaling gapWidth="1"/>
        <cx:tickLabels/>
      </cx:axis>
      <cx:axis id="1">
        <cx:valScaling min="150"/>
        <cx:tickLabels/>
        <cx:txPr>
          <a:bodyPr spcFirstLastPara="1" vertOverflow="ellipsis" horzOverflow="overflow" wrap="square" lIns="0" tIns="0" rIns="0" bIns="0" anchor="ctr" anchorCtr="1"/>
          <a:lstStyle/>
          <a:p>
            <a:pPr algn="ctr" rtl="0">
              <a:defRPr b="1" i="1"/>
            </a:pPr>
            <a:endParaRPr lang="en-US" sz="900" b="1" i="1" u="none" strike="noStrike" baseline="0">
              <a:solidFill>
                <a:sysClr val="windowText" lastClr="000000">
                  <a:lumMod val="65000"/>
                  <a:lumOff val="35000"/>
                </a:sysClr>
              </a:solidFill>
              <a:latin typeface="Calibri" panose="020F0502020204030204"/>
            </a:endParaRPr>
          </a:p>
        </cx:txPr>
      </cx:axis>
    </cx:plotArea>
  </cx:chart>
  <cx:spPr>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plotSurface>
          <cx:spPr>
            <a:noFill/>
          </cx:spPr>
        </cx:plotSurface>
        <cx:series layoutId="clusteredColumn" uniqueId="{52D04028-7FC4-420B-AAF8-31BCC5E222F9}" formatIdx="0">
          <cx:dataId val="0"/>
          <cx:layoutPr>
            <cx:binning intervalClosed="r">
              <cx:binSize val="10"/>
            </cx:binning>
          </cx:layoutPr>
        </cx:series>
      </cx:plotAreaRegion>
      <cx:axis id="0">
        <cx:catScaling gapWidth="0"/>
        <cx:tickLabels/>
      </cx:axis>
      <cx:axis id="1">
        <cx:valScaling/>
        <cx:tickLabels/>
      </cx:axis>
    </cx:plotArea>
  </cx:chart>
  <cx:spPr>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ysClr val="windowText" lastClr="000000">
                <a:lumMod val="65000"/>
                <a:lumOff val="35000"/>
              </a:sysClr>
            </a:solidFill>
            <a:latin typeface="Calibri" panose="020F0502020204030204"/>
          </a:endParaRPr>
        </a:p>
      </cx:txPr>
    </cx:title>
    <cx:plotArea>
      <cx:plotAreaRegion>
        <cx:series layoutId="clusteredColumn" uniqueId="{FEB9F715-7580-4318-B4EA-E87FF5BC2F31}" formatIdx="0">
          <cx:dataId val="0"/>
          <cx:layoutPr>
            <cx:binning intervalClosed="r">
              <cx:binSize val="5"/>
            </cx:binning>
          </cx:layoutPr>
        </cx:series>
      </cx:plotAreaRegion>
      <cx:axis id="0">
        <cx:catScaling gapWidth="0"/>
        <cx:tickLabels/>
      </cx:axis>
      <cx:axis id="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69">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4" Type="http://schemas.microsoft.com/office/2014/relationships/chartEx" Target="../charts/chartEx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9</xdr:col>
      <xdr:colOff>130969</xdr:colOff>
      <xdr:row>74</xdr:row>
      <xdr:rowOff>71437</xdr:rowOff>
    </xdr:from>
    <xdr:to>
      <xdr:col>22</xdr:col>
      <xdr:colOff>316255</xdr:colOff>
      <xdr:row>94</xdr:row>
      <xdr:rowOff>83344</xdr:rowOff>
    </xdr:to>
    <xdr:sp macro=""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7727157" y="15073312"/>
          <a:ext cx="10972348" cy="3869532"/>
        </a:xfrm>
        <a:prstGeom prst="roundRect">
          <a:avLst>
            <a:gd name="adj" fmla="val 4505"/>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5</xdr:col>
      <xdr:colOff>36979</xdr:colOff>
      <xdr:row>5</xdr:row>
      <xdr:rowOff>47624</xdr:rowOff>
    </xdr:from>
    <xdr:to>
      <xdr:col>5</xdr:col>
      <xdr:colOff>797719</xdr:colOff>
      <xdr:row>7</xdr:row>
      <xdr:rowOff>135171</xdr:rowOff>
    </xdr:to>
    <xdr:sp macro="" textlink="">
      <xdr:nvSpPr>
        <xdr:cNvPr id="34" name="Rectangle: Rounded Corners 33">
          <a:extLst>
            <a:ext uri="{FF2B5EF4-FFF2-40B4-BE49-F238E27FC236}">
              <a16:creationId xmlns:a16="http://schemas.microsoft.com/office/drawing/2014/main" id="{00000000-0008-0000-0000-000022000000}"/>
            </a:ext>
          </a:extLst>
        </xdr:cNvPr>
        <xdr:cNvSpPr/>
      </xdr:nvSpPr>
      <xdr:spPr>
        <a:xfrm flipH="1">
          <a:off x="4418479" y="1452562"/>
          <a:ext cx="760740" cy="468547"/>
        </a:xfrm>
        <a:prstGeom prst="roundRect">
          <a:avLst>
            <a:gd name="adj" fmla="val 29171"/>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b="1"/>
        </a:p>
      </xdr:txBody>
    </xdr:sp>
    <xdr:clientData/>
  </xdr:twoCellAnchor>
  <xdr:twoCellAnchor>
    <xdr:from>
      <xdr:col>17</xdr:col>
      <xdr:colOff>422027</xdr:colOff>
      <xdr:row>96</xdr:row>
      <xdr:rowOff>134471</xdr:rowOff>
    </xdr:from>
    <xdr:to>
      <xdr:col>21</xdr:col>
      <xdr:colOff>601321</xdr:colOff>
      <xdr:row>120</xdr:row>
      <xdr:rowOff>78442</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14238880" y="18669000"/>
          <a:ext cx="3048000" cy="4515971"/>
        </a:xfrm>
        <a:prstGeom prst="roundRect">
          <a:avLst>
            <a:gd name="adj" fmla="val 4505"/>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2</xdr:col>
      <xdr:colOff>204969</xdr:colOff>
      <xdr:row>5</xdr:row>
      <xdr:rowOff>36171</xdr:rowOff>
    </xdr:from>
    <xdr:to>
      <xdr:col>3</xdr:col>
      <xdr:colOff>108512</xdr:colOff>
      <xdr:row>7</xdr:row>
      <xdr:rowOff>120569</xdr:rowOff>
    </xdr:to>
    <xdr:sp macro=""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1772374" y="1386551"/>
          <a:ext cx="1338322" cy="470221"/>
        </a:xfrm>
        <a:prstGeom prst="roundRect">
          <a:avLst>
            <a:gd name="adj" fmla="val 22152"/>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3</xdr:col>
      <xdr:colOff>265253</xdr:colOff>
      <xdr:row>124</xdr:row>
      <xdr:rowOff>0</xdr:rowOff>
    </xdr:from>
    <xdr:to>
      <xdr:col>21</xdr:col>
      <xdr:colOff>607219</xdr:colOff>
      <xdr:row>157</xdr:row>
      <xdr:rowOff>60285</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3253722" y="24014906"/>
          <a:ext cx="14034153" cy="6382504"/>
        </a:xfrm>
        <a:prstGeom prst="roundRect">
          <a:avLst>
            <a:gd name="adj" fmla="val 4505"/>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4</xdr:col>
      <xdr:colOff>192912</xdr:colOff>
      <xdr:row>96</xdr:row>
      <xdr:rowOff>120569</xdr:rowOff>
    </xdr:from>
    <xdr:to>
      <xdr:col>17</xdr:col>
      <xdr:colOff>235323</xdr:colOff>
      <xdr:row>120</xdr:row>
      <xdr:rowOff>100853</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3946883" y="18655098"/>
          <a:ext cx="10105293" cy="4552284"/>
        </a:xfrm>
        <a:prstGeom prst="roundRect">
          <a:avLst>
            <a:gd name="adj" fmla="val 4505"/>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4</xdr:col>
      <xdr:colOff>141988</xdr:colOff>
      <xdr:row>32</xdr:row>
      <xdr:rowOff>136031</xdr:rowOff>
    </xdr:from>
    <xdr:to>
      <xdr:col>17</xdr:col>
      <xdr:colOff>112059</xdr:colOff>
      <xdr:row>68</xdr:row>
      <xdr:rowOff>142875</xdr:rowOff>
    </xdr:to>
    <xdr:sp macro=""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3895959" y="6736296"/>
          <a:ext cx="10032953" cy="6864844"/>
        </a:xfrm>
        <a:prstGeom prst="roundRect">
          <a:avLst>
            <a:gd name="adj" fmla="val 4505"/>
          </a:avLst>
        </a:prstGeom>
        <a:solidFill>
          <a:schemeClr val="bg1"/>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3</xdr:col>
      <xdr:colOff>217025</xdr:colOff>
      <xdr:row>5</xdr:row>
      <xdr:rowOff>48228</xdr:rowOff>
    </xdr:from>
    <xdr:to>
      <xdr:col>4</xdr:col>
      <xdr:colOff>711360</xdr:colOff>
      <xdr:row>7</xdr:row>
      <xdr:rowOff>132626</xdr:rowOff>
    </xdr:to>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3219209" y="1398608"/>
          <a:ext cx="1253923" cy="470221"/>
        </a:xfrm>
        <a:prstGeom prst="roundRect">
          <a:avLst>
            <a:gd name="adj" fmla="val 22152"/>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17</xdr:col>
      <xdr:colOff>433526</xdr:colOff>
      <xdr:row>5</xdr:row>
      <xdr:rowOff>89648</xdr:rowOff>
    </xdr:from>
    <xdr:to>
      <xdr:col>21</xdr:col>
      <xdr:colOff>615621</xdr:colOff>
      <xdr:row>28</xdr:row>
      <xdr:rowOff>22412</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14250379" y="1445560"/>
          <a:ext cx="3050801" cy="4314264"/>
        </a:xfrm>
        <a:prstGeom prst="roundRect">
          <a:avLst>
            <a:gd name="adj" fmla="val 4505"/>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6</xdr:col>
      <xdr:colOff>110594</xdr:colOff>
      <xdr:row>5</xdr:row>
      <xdr:rowOff>91557</xdr:rowOff>
    </xdr:from>
    <xdr:to>
      <xdr:col>17</xdr:col>
      <xdr:colOff>279383</xdr:colOff>
      <xdr:row>28</xdr:row>
      <xdr:rowOff>14517</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067924" y="1487835"/>
          <a:ext cx="8687169" cy="4404040"/>
        </a:xfrm>
        <a:prstGeom prst="roundRect">
          <a:avLst>
            <a:gd name="adj" fmla="val 4505"/>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6</xdr:col>
      <xdr:colOff>138924</xdr:colOff>
      <xdr:row>6</xdr:row>
      <xdr:rowOff>18401</xdr:rowOff>
    </xdr:from>
    <xdr:to>
      <xdr:col>17</xdr:col>
      <xdr:colOff>257736</xdr:colOff>
      <xdr:row>26</xdr:row>
      <xdr:rowOff>143957</xdr:rowOff>
    </xdr:to>
    <xdr:graphicFrame macro="">
      <xdr:nvGraphicFramePr>
        <xdr:cNvPr id="3" name="Chart 2" descr="Daily Pick Up Per User">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438150</xdr:colOff>
          <xdr:row>0</xdr:row>
          <xdr:rowOff>85725</xdr:rowOff>
        </xdr:from>
        <xdr:to>
          <xdr:col>11</xdr:col>
          <xdr:colOff>923925</xdr:colOff>
          <xdr:row>0</xdr:row>
          <xdr:rowOff>266700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2.  Run Entered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314325</xdr:colOff>
          <xdr:row>0</xdr:row>
          <xdr:rowOff>85725</xdr:rowOff>
        </xdr:from>
        <xdr:to>
          <xdr:col>19</xdr:col>
          <xdr:colOff>495300</xdr:colOff>
          <xdr:row>0</xdr:row>
          <xdr:rowOff>257175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3.  Refresh Charts</a:t>
              </a:r>
            </a:p>
          </xdr:txBody>
        </xdr:sp>
        <xdr:clientData fPrintsWithSheet="0"/>
      </xdr:twoCellAnchor>
    </mc:Choice>
    <mc:Fallback/>
  </mc:AlternateContent>
  <xdr:twoCellAnchor>
    <xdr:from>
      <xdr:col>4</xdr:col>
      <xdr:colOff>268940</xdr:colOff>
      <xdr:row>33</xdr:row>
      <xdr:rowOff>100853</xdr:rowOff>
    </xdr:from>
    <xdr:to>
      <xdr:col>16</xdr:col>
      <xdr:colOff>627530</xdr:colOff>
      <xdr:row>67</xdr:row>
      <xdr:rowOff>95250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547687</xdr:colOff>
      <xdr:row>6</xdr:row>
      <xdr:rowOff>43422</xdr:rowOff>
    </xdr:from>
    <xdr:to>
      <xdr:col>21</xdr:col>
      <xdr:colOff>525276</xdr:colOff>
      <xdr:row>26</xdr:row>
      <xdr:rowOff>112059</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252133</xdr:colOff>
      <xdr:row>98</xdr:row>
      <xdr:rowOff>23812</xdr:rowOff>
    </xdr:from>
    <xdr:to>
      <xdr:col>17</xdr:col>
      <xdr:colOff>78441</xdr:colOff>
      <xdr:row>119</xdr:row>
      <xdr:rowOff>134471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404812</xdr:colOff>
      <xdr:row>124</xdr:row>
      <xdr:rowOff>142875</xdr:rowOff>
    </xdr:from>
    <xdr:to>
      <xdr:col>20</xdr:col>
      <xdr:colOff>428625</xdr:colOff>
      <xdr:row>155</xdr:row>
      <xdr:rowOff>56030</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5</xdr:row>
      <xdr:rowOff>36170</xdr:rowOff>
    </xdr:from>
    <xdr:to>
      <xdr:col>2</xdr:col>
      <xdr:colOff>108513</xdr:colOff>
      <xdr:row>7</xdr:row>
      <xdr:rowOff>132626</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0" y="1386550"/>
          <a:ext cx="1675918" cy="482279"/>
        </a:xfrm>
        <a:prstGeom prst="roundRect">
          <a:avLst>
            <a:gd name="adj" fmla="val 19890"/>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ctr"/>
          <a:r>
            <a:rPr lang="en-US" sz="2000"/>
            <a:t> 213,516.06 </a:t>
          </a:r>
        </a:p>
      </xdr:txBody>
    </xdr:sp>
    <xdr:clientData/>
  </xdr:twoCellAnchor>
  <xdr:twoCellAnchor>
    <xdr:from>
      <xdr:col>3</xdr:col>
      <xdr:colOff>229080</xdr:colOff>
      <xdr:row>5</xdr:row>
      <xdr:rowOff>12058</xdr:rowOff>
    </xdr:from>
    <xdr:to>
      <xdr:col>4</xdr:col>
      <xdr:colOff>725198</xdr:colOff>
      <xdr:row>7</xdr:row>
      <xdr:rowOff>126810</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3062768" y="1416996"/>
          <a:ext cx="1320030" cy="495752"/>
          <a:chOff x="2862462" y="1412793"/>
          <a:chExt cx="1278147" cy="495752"/>
        </a:xfrm>
      </xdr:grpSpPr>
      <xdr:sp macro="" textlink="'DELIMITED DATA'!Y2">
        <xdr:nvSpPr>
          <xdr:cNvPr id="5" name="TextBox 4">
            <a:extLst>
              <a:ext uri="{FF2B5EF4-FFF2-40B4-BE49-F238E27FC236}">
                <a16:creationId xmlns:a16="http://schemas.microsoft.com/office/drawing/2014/main" id="{00000000-0008-0000-0000-000005000000}"/>
              </a:ext>
            </a:extLst>
          </xdr:cNvPr>
          <xdr:cNvSpPr txBox="1"/>
        </xdr:nvSpPr>
        <xdr:spPr>
          <a:xfrm>
            <a:off x="2913529" y="1412793"/>
            <a:ext cx="1227080" cy="34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362AD29-1604-4C39-8A5B-62C1AE3A8F37}" type="TxLink">
              <a:rPr lang="en-US" sz="2000" b="1" i="1" u="none" strike="noStrike">
                <a:solidFill>
                  <a:srgbClr val="000000"/>
                </a:solidFill>
                <a:latin typeface="Calibri"/>
                <a:cs typeface="Calibri"/>
              </a:rPr>
              <a:pPr algn="l"/>
              <a:t>23.08.25</a:t>
            </a:fld>
            <a:endParaRPr lang="en-CA" sz="2000" b="1" i="1"/>
          </a:p>
        </xdr:txBody>
      </xdr:sp>
      <xdr:sp macro="" textlink="">
        <xdr:nvSpPr>
          <xdr:cNvPr id="21" name="Rectangle: Rounded Corners 20">
            <a:extLst>
              <a:ext uri="{FF2B5EF4-FFF2-40B4-BE49-F238E27FC236}">
                <a16:creationId xmlns:a16="http://schemas.microsoft.com/office/drawing/2014/main" id="{00000000-0008-0000-0000-000015000000}"/>
              </a:ext>
            </a:extLst>
          </xdr:cNvPr>
          <xdr:cNvSpPr/>
        </xdr:nvSpPr>
        <xdr:spPr>
          <a:xfrm>
            <a:off x="2862462" y="1687690"/>
            <a:ext cx="1276216" cy="220855"/>
          </a:xfrm>
          <a:prstGeom prst="roundRect">
            <a:avLst>
              <a:gd name="adj" fmla="val 2590"/>
            </a:avLst>
          </a:prstGeom>
          <a:gradFill flip="none" rotWithShape="1">
            <a:gsLst>
              <a:gs pos="19000">
                <a:schemeClr val="bg1">
                  <a:shade val="67500"/>
                  <a:satMod val="115000"/>
                </a:schemeClr>
              </a:gs>
              <a:gs pos="58000">
                <a:schemeClr val="bg1">
                  <a:shade val="100000"/>
                  <a:satMod val="115000"/>
                </a:schemeClr>
              </a:gs>
            </a:gsLst>
            <a:lin ang="13500000" scaled="1"/>
            <a:tileRect/>
          </a:gra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chemeClr val="tx1"/>
                </a:solidFill>
              </a:rPr>
              <a:t>Entered</a:t>
            </a:r>
            <a:r>
              <a:rPr lang="en-CA" sz="1100" b="1" i="1" baseline="0">
                <a:solidFill>
                  <a:schemeClr val="tx1"/>
                </a:solidFill>
              </a:rPr>
              <a:t> On Date </a:t>
            </a:r>
            <a:endParaRPr lang="en-CA" sz="1100" b="1" i="1">
              <a:solidFill>
                <a:schemeClr val="tx1"/>
              </a:solidFill>
            </a:endParaRPr>
          </a:p>
        </xdr:txBody>
      </xdr:sp>
    </xdr:grpSp>
    <xdr:clientData/>
  </xdr:twoCellAnchor>
  <xdr:twoCellAnchor>
    <xdr:from>
      <xdr:col>1</xdr:col>
      <xdr:colOff>301371</xdr:colOff>
      <xdr:row>5</xdr:row>
      <xdr:rowOff>60835</xdr:rowOff>
    </xdr:from>
    <xdr:to>
      <xdr:col>2</xdr:col>
      <xdr:colOff>98051</xdr:colOff>
      <xdr:row>6</xdr:row>
      <xdr:rowOff>124665</xdr:rowOff>
    </xdr:to>
    <xdr:sp macro="" textlink="$AO$17">
      <xdr:nvSpPr>
        <xdr:cNvPr id="23" name="TextBox 22">
          <a:extLst>
            <a:ext uri="{FF2B5EF4-FFF2-40B4-BE49-F238E27FC236}">
              <a16:creationId xmlns:a16="http://schemas.microsoft.com/office/drawing/2014/main" id="{00000000-0008-0000-0000-000017000000}"/>
            </a:ext>
          </a:extLst>
        </xdr:cNvPr>
        <xdr:cNvSpPr txBox="1"/>
      </xdr:nvSpPr>
      <xdr:spPr>
        <a:xfrm>
          <a:off x="420434" y="1465773"/>
          <a:ext cx="1356398" cy="25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2235FA9-99FC-406D-AFB0-751E528FE31B}" type="TxLink">
            <a:rPr lang="en-US" sz="2300" b="1" i="1" u="none" strike="noStrike">
              <a:solidFill>
                <a:srgbClr val="000000"/>
              </a:solidFill>
              <a:latin typeface="Calibri"/>
              <a:cs typeface="Calibri"/>
            </a:rPr>
            <a:pPr algn="r"/>
            <a:t> 18,391 </a:t>
          </a:fld>
          <a:endParaRPr lang="en-CA" sz="2300" b="1" i="1"/>
        </a:p>
      </xdr:txBody>
    </xdr:sp>
    <xdr:clientData/>
  </xdr:twoCellAnchor>
  <xdr:twoCellAnchor>
    <xdr:from>
      <xdr:col>1</xdr:col>
      <xdr:colOff>11207</xdr:colOff>
      <xdr:row>6</xdr:row>
      <xdr:rowOff>96456</xdr:rowOff>
    </xdr:from>
    <xdr:to>
      <xdr:col>2</xdr:col>
      <xdr:colOff>72343</xdr:colOff>
      <xdr:row>7</xdr:row>
      <xdr:rowOff>134471</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11207" y="1687691"/>
          <a:ext cx="1618754" cy="228515"/>
        </a:xfrm>
        <a:prstGeom prst="roundRect">
          <a:avLst>
            <a:gd name="adj" fmla="val 2590"/>
          </a:avLst>
        </a:prstGeom>
        <a:gradFill flip="none" rotWithShape="1">
          <a:gsLst>
            <a:gs pos="19000">
              <a:schemeClr val="bg1">
                <a:shade val="67500"/>
                <a:satMod val="115000"/>
              </a:schemeClr>
            </a:gs>
            <a:gs pos="58000">
              <a:schemeClr val="bg1">
                <a:shade val="100000"/>
                <a:satMod val="115000"/>
              </a:schemeClr>
            </a:gs>
          </a:gsLst>
          <a:lin ang="13500000" scaled="1"/>
          <a:tileRect/>
        </a:gra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050" b="1" i="1">
              <a:solidFill>
                <a:schemeClr val="tx1"/>
              </a:solidFill>
            </a:rPr>
            <a:t>Total Revenue</a:t>
          </a:r>
          <a:r>
            <a:rPr lang="en-CA" sz="1050" b="1" i="1" baseline="0">
              <a:solidFill>
                <a:schemeClr val="tx1"/>
              </a:solidFill>
            </a:rPr>
            <a:t> Entered</a:t>
          </a:r>
          <a:endParaRPr lang="en-CA" sz="1050" b="1" i="1">
            <a:solidFill>
              <a:schemeClr val="tx1"/>
            </a:solidFill>
          </a:endParaRPr>
        </a:p>
      </xdr:txBody>
    </xdr:sp>
    <xdr:clientData/>
  </xdr:twoCellAnchor>
  <xdr:twoCellAnchor>
    <xdr:from>
      <xdr:col>2</xdr:col>
      <xdr:colOff>244810</xdr:colOff>
      <xdr:row>5</xdr:row>
      <xdr:rowOff>60285</xdr:rowOff>
    </xdr:from>
    <xdr:to>
      <xdr:col>2</xdr:col>
      <xdr:colOff>957266</xdr:colOff>
      <xdr:row>6</xdr:row>
      <xdr:rowOff>144685</xdr:rowOff>
    </xdr:to>
    <xdr:sp macro="" textlink="$AO$23">
      <xdr:nvSpPr>
        <xdr:cNvPr id="7" name="TextBox 6">
          <a:extLst>
            <a:ext uri="{FF2B5EF4-FFF2-40B4-BE49-F238E27FC236}">
              <a16:creationId xmlns:a16="http://schemas.microsoft.com/office/drawing/2014/main" id="{00000000-0008-0000-0000-000007000000}"/>
            </a:ext>
          </a:extLst>
        </xdr:cNvPr>
        <xdr:cNvSpPr txBox="1"/>
      </xdr:nvSpPr>
      <xdr:spPr>
        <a:xfrm>
          <a:off x="1923591" y="1465223"/>
          <a:ext cx="712456" cy="274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ED61D59-3F08-4B8E-82EF-4FA774FC8BE6}" type="TxLink">
            <a:rPr lang="en-US" sz="2300" b="1" i="1" u="none" strike="noStrike">
              <a:solidFill>
                <a:srgbClr val="000000"/>
              </a:solidFill>
              <a:latin typeface="Calibri"/>
              <a:cs typeface="Calibri"/>
            </a:rPr>
            <a:pPr algn="ctr"/>
            <a:t>55</a:t>
          </a:fld>
          <a:endParaRPr lang="en-CA" sz="2300" b="1" i="1"/>
        </a:p>
      </xdr:txBody>
    </xdr:sp>
    <xdr:clientData/>
  </xdr:twoCellAnchor>
  <xdr:twoCellAnchor>
    <xdr:from>
      <xdr:col>2</xdr:col>
      <xdr:colOff>190810</xdr:colOff>
      <xdr:row>6</xdr:row>
      <xdr:rowOff>85401</xdr:rowOff>
    </xdr:from>
    <xdr:to>
      <xdr:col>3</xdr:col>
      <xdr:colOff>106411</xdr:colOff>
      <xdr:row>7</xdr:row>
      <xdr:rowOff>121571</xdr:rowOff>
    </xdr:to>
    <xdr:sp macro="" textlink="">
      <xdr:nvSpPr>
        <xdr:cNvPr id="41" name="Rectangle: Rounded Corners 40">
          <a:extLst>
            <a:ext uri="{FF2B5EF4-FFF2-40B4-BE49-F238E27FC236}">
              <a16:creationId xmlns:a16="http://schemas.microsoft.com/office/drawing/2014/main" id="{00000000-0008-0000-0000-000029000000}"/>
            </a:ext>
          </a:extLst>
        </xdr:cNvPr>
        <xdr:cNvSpPr/>
      </xdr:nvSpPr>
      <xdr:spPr>
        <a:xfrm>
          <a:off x="1869591" y="1680839"/>
          <a:ext cx="1070508" cy="226670"/>
        </a:xfrm>
        <a:prstGeom prst="roundRect">
          <a:avLst>
            <a:gd name="adj" fmla="val 2590"/>
          </a:avLst>
        </a:prstGeom>
        <a:gradFill flip="none" rotWithShape="1">
          <a:gsLst>
            <a:gs pos="19000">
              <a:schemeClr val="bg1">
                <a:shade val="67500"/>
                <a:satMod val="115000"/>
              </a:schemeClr>
            </a:gs>
            <a:gs pos="58000">
              <a:schemeClr val="bg1">
                <a:shade val="100000"/>
                <a:satMod val="115000"/>
              </a:schemeClr>
            </a:gs>
          </a:gsLst>
          <a:lin ang="13500000" scaled="1"/>
          <a:tileRect/>
        </a:gra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chemeClr val="tx1"/>
              </a:solidFill>
            </a:rPr>
            <a:t>Total Room Nights</a:t>
          </a:r>
        </a:p>
      </xdr:txBody>
    </xdr:sp>
    <xdr:clientData/>
  </xdr:twoCellAnchor>
  <xdr:twoCellAnchor>
    <xdr:from>
      <xdr:col>1</xdr:col>
      <xdr:colOff>0</xdr:colOff>
      <xdr:row>5</xdr:row>
      <xdr:rowOff>21267</xdr:rowOff>
    </xdr:from>
    <xdr:to>
      <xdr:col>1</xdr:col>
      <xdr:colOff>666750</xdr:colOff>
      <xdr:row>6</xdr:row>
      <xdr:rowOff>107156</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0" y="1426205"/>
          <a:ext cx="666750" cy="276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CA" sz="2000" b="1" i="1"/>
            <a:t>AED</a:t>
          </a:r>
        </a:p>
      </xdr:txBody>
    </xdr:sp>
    <xdr:clientData/>
  </xdr:twoCellAnchor>
  <xdr:twoCellAnchor>
    <xdr:from>
      <xdr:col>17</xdr:col>
      <xdr:colOff>558059</xdr:colOff>
      <xdr:row>97</xdr:row>
      <xdr:rowOff>123265</xdr:rowOff>
    </xdr:from>
    <xdr:to>
      <xdr:col>21</xdr:col>
      <xdr:colOff>425432</xdr:colOff>
      <xdr:row>118</xdr:row>
      <xdr:rowOff>179295</xdr:rowOff>
    </xdr:to>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280148</xdr:colOff>
      <xdr:row>32</xdr:row>
      <xdr:rowOff>113069</xdr:rowOff>
    </xdr:from>
    <xdr:to>
      <xdr:col>21</xdr:col>
      <xdr:colOff>616323</xdr:colOff>
      <xdr:row>68</xdr:row>
      <xdr:rowOff>89647</xdr:rowOff>
    </xdr:to>
    <xdr:sp macro="" textlink="">
      <xdr:nvSpPr>
        <xdr:cNvPr id="32" name="Rectangle: Rounded Corners 31">
          <a:extLst>
            <a:ext uri="{FF2B5EF4-FFF2-40B4-BE49-F238E27FC236}">
              <a16:creationId xmlns:a16="http://schemas.microsoft.com/office/drawing/2014/main" id="{00000000-0008-0000-0000-000020000000}"/>
            </a:ext>
          </a:extLst>
        </xdr:cNvPr>
        <xdr:cNvSpPr/>
      </xdr:nvSpPr>
      <xdr:spPr>
        <a:xfrm>
          <a:off x="14186648" y="6825393"/>
          <a:ext cx="3204881" cy="6834578"/>
        </a:xfrm>
        <a:prstGeom prst="roundRect">
          <a:avLst>
            <a:gd name="adj" fmla="val 6253"/>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17</xdr:col>
      <xdr:colOff>381000</xdr:colOff>
      <xdr:row>33</xdr:row>
      <xdr:rowOff>30082</xdr:rowOff>
    </xdr:from>
    <xdr:to>
      <xdr:col>21</xdr:col>
      <xdr:colOff>437029</xdr:colOff>
      <xdr:row>67</xdr:row>
      <xdr:rowOff>145675</xdr:rowOff>
    </xdr:to>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806823</xdr:colOff>
      <xdr:row>5</xdr:row>
      <xdr:rowOff>89647</xdr:rowOff>
    </xdr:from>
    <xdr:to>
      <xdr:col>3</xdr:col>
      <xdr:colOff>246528</xdr:colOff>
      <xdr:row>6</xdr:row>
      <xdr:rowOff>100853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364441" y="1490382"/>
          <a:ext cx="515469" cy="201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CA" sz="1400" b="1" i="1"/>
            <a:t>RN</a:t>
          </a:r>
        </a:p>
      </xdr:txBody>
    </xdr:sp>
    <xdr:clientData/>
  </xdr:twoCellAnchor>
  <xdr:twoCellAnchor>
    <xdr:from>
      <xdr:col>4</xdr:col>
      <xdr:colOff>633005</xdr:colOff>
      <xdr:row>5</xdr:row>
      <xdr:rowOff>55647</xdr:rowOff>
    </xdr:from>
    <xdr:to>
      <xdr:col>6</xdr:col>
      <xdr:colOff>269696</xdr:colOff>
      <xdr:row>6</xdr:row>
      <xdr:rowOff>156500</xdr:rowOff>
    </xdr:to>
    <xdr:sp macro="" textlink="$AO$20">
      <xdr:nvSpPr>
        <xdr:cNvPr id="33" name="TextBox 32">
          <a:extLst>
            <a:ext uri="{FF2B5EF4-FFF2-40B4-BE49-F238E27FC236}">
              <a16:creationId xmlns:a16="http://schemas.microsoft.com/office/drawing/2014/main" id="{00000000-0008-0000-0000-000021000000}"/>
            </a:ext>
          </a:extLst>
        </xdr:cNvPr>
        <xdr:cNvSpPr txBox="1"/>
      </xdr:nvSpPr>
      <xdr:spPr>
        <a:xfrm>
          <a:off x="4237352" y="1451925"/>
          <a:ext cx="978850" cy="295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71B180-C56D-4B39-AC9E-9A33F611B98B}" type="TxLink">
            <a:rPr lang="en-US" sz="1800" b="1" i="1" u="none" strike="noStrike">
              <a:solidFill>
                <a:srgbClr val="00FF99"/>
              </a:solidFill>
              <a:latin typeface="Calibri"/>
              <a:cs typeface="Calibri"/>
            </a:rPr>
            <a:pPr algn="ctr"/>
            <a:t>1</a:t>
          </a:fld>
          <a:endParaRPr lang="en-CA" sz="1800" b="1" i="1">
            <a:solidFill>
              <a:srgbClr val="00FF99"/>
            </a:solidFill>
          </a:endParaRPr>
        </a:p>
      </xdr:txBody>
    </xdr:sp>
    <xdr:clientData/>
  </xdr:twoCellAnchor>
  <xdr:twoCellAnchor>
    <xdr:from>
      <xdr:col>5</xdr:col>
      <xdr:colOff>22413</xdr:colOff>
      <xdr:row>6</xdr:row>
      <xdr:rowOff>78442</xdr:rowOff>
    </xdr:from>
    <xdr:to>
      <xdr:col>6</xdr:col>
      <xdr:colOff>224118</xdr:colOff>
      <xdr:row>7</xdr:row>
      <xdr:rowOff>67236</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4168589" y="1669677"/>
          <a:ext cx="739588" cy="179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900" b="1" i="1"/>
            <a:t>Checked </a:t>
          </a:r>
        </a:p>
      </xdr:txBody>
    </xdr:sp>
    <xdr:clientData/>
  </xdr:twoCellAnchor>
  <mc:AlternateContent xmlns:mc="http://schemas.openxmlformats.org/markup-compatibility/2006">
    <mc:Choice xmlns:a14="http://schemas.microsoft.com/office/drawing/2010/main" Requires="a14">
      <xdr:twoCellAnchor>
        <xdr:from>
          <xdr:col>2</xdr:col>
          <xdr:colOff>981075</xdr:colOff>
          <xdr:row>0</xdr:row>
          <xdr:rowOff>66675</xdr:rowOff>
        </xdr:from>
        <xdr:to>
          <xdr:col>3</xdr:col>
          <xdr:colOff>800100</xdr:colOff>
          <xdr:row>0</xdr:row>
          <xdr:rowOff>247650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1. </a:t>
              </a:r>
              <a:r>
                <a:rPr lang="en-GB" sz="1100" b="0" i="0" u="none" strike="noStrike" baseline="0">
                  <a:solidFill>
                    <a:srgbClr val="000000"/>
                  </a:solidFill>
                  <a:latin typeface="Calibri"/>
                  <a:cs typeface="Calibri"/>
                </a:rPr>
                <a:t>Clear </a:t>
              </a:r>
            </a:p>
          </xdr:txBody>
        </xdr:sp>
        <xdr:clientData fPrintsWithSheet="0"/>
      </xdr:twoCellAnchor>
    </mc:Choice>
    <mc:Fallback/>
  </mc:AlternateContent>
  <xdr:twoCellAnchor>
    <xdr:from>
      <xdr:col>9</xdr:col>
      <xdr:colOff>309560</xdr:colOff>
      <xdr:row>74</xdr:row>
      <xdr:rowOff>119062</xdr:rowOff>
    </xdr:from>
    <xdr:to>
      <xdr:col>22</xdr:col>
      <xdr:colOff>190498</xdr:colOff>
      <xdr:row>93</xdr:row>
      <xdr:rowOff>35719</xdr:rowOff>
    </xdr:to>
    <xdr:graphicFrame macro="">
      <xdr:nvGraphicFramePr>
        <xdr:cNvPr id="19" name="Chart 18">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0.63671</cdr:x>
      <cdr:y>0.06348</cdr:y>
    </cdr:from>
    <cdr:to>
      <cdr:x>0.97881</cdr:x>
      <cdr:y>0.14285</cdr:y>
    </cdr:to>
    <cdr:sp macro="" textlink="">
      <cdr:nvSpPr>
        <cdr:cNvPr id="3" name="TextBox 2">
          <a:extLst xmlns:a="http://schemas.openxmlformats.org/drawingml/2006/main">
            <a:ext uri="{FF2B5EF4-FFF2-40B4-BE49-F238E27FC236}">
              <a16:creationId xmlns:a16="http://schemas.microsoft.com/office/drawing/2014/main" id="{876ED701-0002-4797-83B1-677FE3204B9D}"/>
            </a:ext>
          </a:extLst>
        </cdr:cNvPr>
        <cdr:cNvSpPr txBox="1"/>
      </cdr:nvSpPr>
      <cdr:spPr>
        <a:xfrm xmlns:a="http://schemas.openxmlformats.org/drawingml/2006/main">
          <a:off x="5940555" y="249775"/>
          <a:ext cx="3191809" cy="312275"/>
        </a:xfrm>
        <a:prstGeom xmlns:a="http://schemas.openxmlformats.org/drawingml/2006/main" prst="rect">
          <a:avLst/>
        </a:prstGeom>
        <a:gradFill xmlns:a="http://schemas.openxmlformats.org/drawingml/2006/main" flip="none" rotWithShape="1">
          <a:gsLst>
            <a:gs pos="57000">
              <a:schemeClr val="accent3">
                <a:lumMod val="5000"/>
                <a:lumOff val="95000"/>
              </a:schemeClr>
            </a:gs>
            <a:gs pos="12000">
              <a:schemeClr val="accent3">
                <a:lumMod val="45000"/>
                <a:lumOff val="55000"/>
              </a:schemeClr>
            </a:gs>
            <a:gs pos="0">
              <a:schemeClr val="accent3">
                <a:lumMod val="45000"/>
                <a:lumOff val="55000"/>
              </a:schemeClr>
            </a:gs>
            <a:gs pos="0">
              <a:schemeClr val="accent3">
                <a:lumMod val="30000"/>
                <a:lumOff val="70000"/>
              </a:schemeClr>
            </a:gs>
          </a:gsLst>
          <a:path path="circle">
            <a:fillToRect l="100000" t="100000"/>
          </a:path>
          <a:tileRect r="-100000" b="-100000"/>
        </a:gradFill>
        <a:ln xmlns:a="http://schemas.openxmlformats.org/drawingml/2006/main" w="6350">
          <a:noFill/>
        </a:ln>
      </cdr:spPr>
      <cdr:txBody>
        <a:bodyPr xmlns:a="http://schemas.openxmlformats.org/drawingml/2006/main" vertOverflow="clip" wrap="square" rtlCol="0"/>
        <a:lstStyle xmlns:a="http://schemas.openxmlformats.org/drawingml/2006/main"/>
        <a:p xmlns:a="http://schemas.openxmlformats.org/drawingml/2006/main">
          <a:pPr algn="ctr"/>
          <a:r>
            <a:rPr lang="en-CA" sz="1200" i="1"/>
            <a:t>Daily Pick up Per User</a:t>
          </a:r>
        </a:p>
      </cdr:txBody>
    </cdr:sp>
  </cdr:relSizeAnchor>
</c:userShapes>
</file>

<file path=xl/drawings/drawing3.xml><?xml version="1.0" encoding="utf-8"?>
<c:userShapes xmlns:c="http://schemas.openxmlformats.org/drawingml/2006/chart">
  <cdr:relSizeAnchor xmlns:cdr="http://schemas.openxmlformats.org/drawingml/2006/chartDrawing">
    <cdr:from>
      <cdr:x>0.79634</cdr:x>
      <cdr:y>0.02598</cdr:y>
    </cdr:from>
    <cdr:to>
      <cdr:x>0.98652</cdr:x>
      <cdr:y>0.06033</cdr:y>
    </cdr:to>
    <cdr:sp macro="" textlink="">
      <cdr:nvSpPr>
        <cdr:cNvPr id="4" name="Rectangle: Rounded Corners 3">
          <a:extLst xmlns:a="http://schemas.openxmlformats.org/drawingml/2006/main">
            <a:ext uri="{FF2B5EF4-FFF2-40B4-BE49-F238E27FC236}">
              <a16:creationId xmlns:a16="http://schemas.microsoft.com/office/drawing/2014/main" id="{E229D9A5-B16D-4AF6-AA5D-0F5F2B60D29F}"/>
            </a:ext>
          </a:extLst>
        </cdr:cNvPr>
        <cdr:cNvSpPr/>
      </cdr:nvSpPr>
      <cdr:spPr>
        <a:xfrm xmlns:a="http://schemas.openxmlformats.org/drawingml/2006/main">
          <a:off x="8910095" y="171370"/>
          <a:ext cx="2127944" cy="226510"/>
        </a:xfrm>
        <a:prstGeom xmlns:a="http://schemas.openxmlformats.org/drawingml/2006/main" prst="roundRect">
          <a:avLst>
            <a:gd name="adj" fmla="val 2590"/>
          </a:avLst>
        </a:prstGeom>
        <a:gradFill xmlns:a="http://schemas.openxmlformats.org/drawingml/2006/main" flip="none" rotWithShape="1">
          <a:gsLst>
            <a:gs pos="19000">
              <a:schemeClr val="bg1">
                <a:shade val="67500"/>
                <a:satMod val="115000"/>
              </a:schemeClr>
            </a:gs>
            <a:gs pos="58000">
              <a:schemeClr val="bg1">
                <a:shade val="100000"/>
                <a:satMod val="115000"/>
              </a:schemeClr>
            </a:gs>
          </a:gsLst>
          <a:lin ang="13500000" scaled="1"/>
          <a:tileRect/>
        </a:gradFill>
        <a:ln xmlns:a="http://schemas.openxmlformats.org/drawingml/2006/main">
          <a:noFill/>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CA" sz="1100" b="1" i="1">
              <a:solidFill>
                <a:schemeClr val="tx1"/>
              </a:solidFill>
              <a:effectLst/>
              <a:latin typeface="+mn-lt"/>
              <a:ea typeface="+mn-ea"/>
              <a:cs typeface="+mn-cs"/>
            </a:rPr>
            <a:t>Daily</a:t>
          </a:r>
          <a:r>
            <a:rPr lang="en-CA" sz="1100" b="1" i="1" baseline="0">
              <a:solidFill>
                <a:schemeClr val="tx1"/>
              </a:solidFill>
              <a:effectLst/>
              <a:latin typeface="+mn-lt"/>
              <a:ea typeface="+mn-ea"/>
              <a:cs typeface="+mn-cs"/>
            </a:rPr>
            <a:t> Pick up Per Company </a:t>
          </a:r>
          <a:endParaRPr lang="en-CA" b="1">
            <a:solidFill>
              <a:schemeClr val="tx1"/>
            </a:solidFill>
            <a:effectLst/>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13</xdr:col>
      <xdr:colOff>530475</xdr:colOff>
      <xdr:row>0</xdr:row>
      <xdr:rowOff>71437</xdr:rowOff>
    </xdr:from>
    <xdr:to>
      <xdr:col>15</xdr:col>
      <xdr:colOff>436714</xdr:colOff>
      <xdr:row>0</xdr:row>
      <xdr:rowOff>550069</xdr:rowOff>
    </xdr:to>
    <xdr:sp macro="" textlink="">
      <xdr:nvSpPr>
        <xdr:cNvPr id="44" name="Rectangle: Rounded Corners 43">
          <a:extLst>
            <a:ext uri="{FF2B5EF4-FFF2-40B4-BE49-F238E27FC236}">
              <a16:creationId xmlns:a16="http://schemas.microsoft.com/office/drawing/2014/main" id="{00000000-0008-0000-0100-00002C000000}"/>
            </a:ext>
          </a:extLst>
        </xdr:cNvPr>
        <xdr:cNvSpPr/>
      </xdr:nvSpPr>
      <xdr:spPr>
        <a:xfrm>
          <a:off x="13758319" y="71437"/>
          <a:ext cx="1251645" cy="478632"/>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84399</xdr:colOff>
      <xdr:row>19</xdr:row>
      <xdr:rowOff>112911</xdr:rowOff>
    </xdr:from>
    <xdr:to>
      <xdr:col>1</xdr:col>
      <xdr:colOff>835193</xdr:colOff>
      <xdr:row>22</xdr:row>
      <xdr:rowOff>103948</xdr:rowOff>
    </xdr:to>
    <xdr:sp macro="" textlink="">
      <xdr:nvSpPr>
        <xdr:cNvPr id="48" name="Rectangle: Rounded Corners 47">
          <a:extLst>
            <a:ext uri="{FF2B5EF4-FFF2-40B4-BE49-F238E27FC236}">
              <a16:creationId xmlns:a16="http://schemas.microsoft.com/office/drawing/2014/main" id="{00000000-0008-0000-0100-000030000000}"/>
            </a:ext>
          </a:extLst>
        </xdr:cNvPr>
        <xdr:cNvSpPr/>
      </xdr:nvSpPr>
      <xdr:spPr>
        <a:xfrm>
          <a:off x="84399" y="4019367"/>
          <a:ext cx="2257914" cy="569771"/>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96144</xdr:colOff>
      <xdr:row>22</xdr:row>
      <xdr:rowOff>161138</xdr:rowOff>
    </xdr:from>
    <xdr:to>
      <xdr:col>1</xdr:col>
      <xdr:colOff>813321</xdr:colOff>
      <xdr:row>25</xdr:row>
      <xdr:rowOff>55635</xdr:rowOff>
    </xdr:to>
    <xdr:sp macro="" textlink="">
      <xdr:nvSpPr>
        <xdr:cNvPr id="49" name="Rectangle: Rounded Corners 48">
          <a:extLst>
            <a:ext uri="{FF2B5EF4-FFF2-40B4-BE49-F238E27FC236}">
              <a16:creationId xmlns:a16="http://schemas.microsoft.com/office/drawing/2014/main" id="{00000000-0008-0000-0100-000031000000}"/>
            </a:ext>
          </a:extLst>
        </xdr:cNvPr>
        <xdr:cNvSpPr/>
      </xdr:nvSpPr>
      <xdr:spPr>
        <a:xfrm>
          <a:off x="96144" y="4646328"/>
          <a:ext cx="2224297" cy="473231"/>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108513</xdr:colOff>
      <xdr:row>17</xdr:row>
      <xdr:rowOff>44823</xdr:rowOff>
    </xdr:from>
    <xdr:to>
      <xdr:col>1</xdr:col>
      <xdr:colOff>825690</xdr:colOff>
      <xdr:row>19</xdr:row>
      <xdr:rowOff>44822</xdr:rowOff>
    </xdr:to>
    <xdr:sp macro="" textlink="">
      <xdr:nvSpPr>
        <xdr:cNvPr id="47" name="Rectangle: Rounded Corners 46">
          <a:extLst>
            <a:ext uri="{FF2B5EF4-FFF2-40B4-BE49-F238E27FC236}">
              <a16:creationId xmlns:a16="http://schemas.microsoft.com/office/drawing/2014/main" id="{00000000-0008-0000-0100-00002F000000}"/>
            </a:ext>
          </a:extLst>
        </xdr:cNvPr>
        <xdr:cNvSpPr/>
      </xdr:nvSpPr>
      <xdr:spPr>
        <a:xfrm>
          <a:off x="108513" y="3565456"/>
          <a:ext cx="2224297" cy="385822"/>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96456</xdr:colOff>
      <xdr:row>13</xdr:row>
      <xdr:rowOff>76739</xdr:rowOff>
    </xdr:from>
    <xdr:to>
      <xdr:col>1</xdr:col>
      <xdr:colOff>813633</xdr:colOff>
      <xdr:row>16</xdr:row>
      <xdr:rowOff>161902</xdr:rowOff>
    </xdr:to>
    <xdr:sp macro="" textlink="">
      <xdr:nvSpPr>
        <xdr:cNvPr id="46" name="Rectangle: Rounded Corners 45">
          <a:extLst>
            <a:ext uri="{FF2B5EF4-FFF2-40B4-BE49-F238E27FC236}">
              <a16:creationId xmlns:a16="http://schemas.microsoft.com/office/drawing/2014/main" id="{00000000-0008-0000-0100-00002E000000}"/>
            </a:ext>
          </a:extLst>
        </xdr:cNvPr>
        <xdr:cNvSpPr/>
      </xdr:nvSpPr>
      <xdr:spPr>
        <a:xfrm>
          <a:off x="96456" y="2825726"/>
          <a:ext cx="2224297" cy="663898"/>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106812</xdr:colOff>
      <xdr:row>9</xdr:row>
      <xdr:rowOff>110969</xdr:rowOff>
    </xdr:from>
    <xdr:to>
      <xdr:col>1</xdr:col>
      <xdr:colOff>823989</xdr:colOff>
      <xdr:row>12</xdr:row>
      <xdr:rowOff>182795</xdr:rowOff>
    </xdr:to>
    <xdr:sp macro="" textlink="">
      <xdr:nvSpPr>
        <xdr:cNvPr id="45" name="Rectangle: Rounded Corners 44">
          <a:extLst>
            <a:ext uri="{FF2B5EF4-FFF2-40B4-BE49-F238E27FC236}">
              <a16:creationId xmlns:a16="http://schemas.microsoft.com/office/drawing/2014/main" id="{00000000-0008-0000-0100-00002D000000}"/>
            </a:ext>
          </a:extLst>
        </xdr:cNvPr>
        <xdr:cNvSpPr/>
      </xdr:nvSpPr>
      <xdr:spPr>
        <a:xfrm>
          <a:off x="106812" y="2071998"/>
          <a:ext cx="2218765" cy="643326"/>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104257</xdr:colOff>
      <xdr:row>6</xdr:row>
      <xdr:rowOff>141194</xdr:rowOff>
    </xdr:from>
    <xdr:to>
      <xdr:col>1</xdr:col>
      <xdr:colOff>821434</xdr:colOff>
      <xdr:row>9</xdr:row>
      <xdr:rowOff>47066</xdr:rowOff>
    </xdr:to>
    <xdr:sp macro="" textlink="">
      <xdr:nvSpPr>
        <xdr:cNvPr id="34" name="Rectangle: Rounded Corners 33">
          <a:extLst>
            <a:ext uri="{FF2B5EF4-FFF2-40B4-BE49-F238E27FC236}">
              <a16:creationId xmlns:a16="http://schemas.microsoft.com/office/drawing/2014/main" id="{00000000-0008-0000-0100-000022000000}"/>
            </a:ext>
          </a:extLst>
        </xdr:cNvPr>
        <xdr:cNvSpPr/>
      </xdr:nvSpPr>
      <xdr:spPr>
        <a:xfrm>
          <a:off x="104257" y="1530723"/>
          <a:ext cx="2218765" cy="477372"/>
        </a:xfrm>
        <a:prstGeom prst="roundRect">
          <a:avLst>
            <a:gd name="adj" fmla="val 18590"/>
          </a:avLst>
        </a:prstGeom>
        <a:solidFill>
          <a:schemeClr val="bg1"/>
        </a:solidFill>
        <a:ln>
          <a:noFill/>
        </a:ln>
        <a:effectLst>
          <a:outerShdw blurRad="50800" dist="38100" dir="8100000" algn="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47093</xdr:colOff>
      <xdr:row>6</xdr:row>
      <xdr:rowOff>156882</xdr:rowOff>
    </xdr:from>
    <xdr:to>
      <xdr:col>15</xdr:col>
      <xdr:colOff>447091</xdr:colOff>
      <xdr:row>25</xdr:row>
      <xdr:rowOff>58316</xdr:rowOff>
    </xdr:to>
    <xdr:sp macro="" textlink="">
      <xdr:nvSpPr>
        <xdr:cNvPr id="33" name="Rectangle: Rounded Corners 32">
          <a:extLst>
            <a:ext uri="{FF2B5EF4-FFF2-40B4-BE49-F238E27FC236}">
              <a16:creationId xmlns:a16="http://schemas.microsoft.com/office/drawing/2014/main" id="{00000000-0008-0000-0100-000021000000}"/>
            </a:ext>
          </a:extLst>
        </xdr:cNvPr>
        <xdr:cNvSpPr/>
      </xdr:nvSpPr>
      <xdr:spPr>
        <a:xfrm>
          <a:off x="6306379" y="1566193"/>
          <a:ext cx="8719794" cy="3594802"/>
        </a:xfrm>
        <a:prstGeom prst="roundRect">
          <a:avLst>
            <a:gd name="adj" fmla="val 450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1</xdr:col>
      <xdr:colOff>942996</xdr:colOff>
      <xdr:row>6</xdr:row>
      <xdr:rowOff>158585</xdr:rowOff>
    </xdr:from>
    <xdr:to>
      <xdr:col>5</xdr:col>
      <xdr:colOff>747529</xdr:colOff>
      <xdr:row>9</xdr:row>
      <xdr:rowOff>64457</xdr:rowOff>
    </xdr:to>
    <xdr:sp macro=""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2444584" y="1548114"/>
          <a:ext cx="3771416" cy="477372"/>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943847</xdr:colOff>
      <xdr:row>9</xdr:row>
      <xdr:rowOff>111167</xdr:rowOff>
    </xdr:from>
    <xdr:to>
      <xdr:col>5</xdr:col>
      <xdr:colOff>738453</xdr:colOff>
      <xdr:row>26</xdr:row>
      <xdr:rowOff>77755</xdr:rowOff>
    </xdr:to>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2450352" y="2103641"/>
          <a:ext cx="3760116" cy="3271180"/>
        </a:xfrm>
        <a:prstGeom prst="roundRect">
          <a:avLst>
            <a:gd name="adj" fmla="val 4505"/>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125135</xdr:colOff>
      <xdr:row>7</xdr:row>
      <xdr:rowOff>50523</xdr:rowOff>
    </xdr:from>
    <xdr:to>
      <xdr:col>15</xdr:col>
      <xdr:colOff>314179</xdr:colOff>
      <xdr:row>24</xdr:row>
      <xdr:rowOff>80912</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145109</xdr:colOff>
      <xdr:row>6</xdr:row>
      <xdr:rowOff>168449</xdr:rowOff>
    </xdr:from>
    <xdr:to>
      <xdr:col>0</xdr:col>
      <xdr:colOff>801659</xdr:colOff>
      <xdr:row>8</xdr:row>
      <xdr:rowOff>137900</xdr:rowOff>
    </xdr:to>
    <xdr:sp macro="" textlink="$D$59">
      <xdr:nvSpPr>
        <xdr:cNvPr id="15" name="TextBox 14">
          <a:extLst>
            <a:ext uri="{FF2B5EF4-FFF2-40B4-BE49-F238E27FC236}">
              <a16:creationId xmlns:a16="http://schemas.microsoft.com/office/drawing/2014/main" id="{00000000-0008-0000-0100-00000F000000}"/>
            </a:ext>
          </a:extLst>
        </xdr:cNvPr>
        <xdr:cNvSpPr txBox="1"/>
      </xdr:nvSpPr>
      <xdr:spPr>
        <a:xfrm>
          <a:off x="145109" y="1557978"/>
          <a:ext cx="656550" cy="350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0DBDBD2-4E19-4603-8E94-CFA0B0A49049}" type="TxLink">
            <a:rPr lang="en-US" sz="2400" b="1" i="1" u="none" strike="noStrike">
              <a:solidFill>
                <a:srgbClr val="000000"/>
              </a:solidFill>
              <a:latin typeface="Calibri"/>
              <a:cs typeface="Calibri"/>
            </a:rPr>
            <a:pPr/>
            <a:t>55</a:t>
          </a:fld>
          <a:endParaRPr lang="en-CA" sz="2400" b="1" i="1"/>
        </a:p>
      </xdr:txBody>
    </xdr:sp>
    <xdr:clientData/>
  </xdr:twoCellAnchor>
  <xdr:twoCellAnchor>
    <xdr:from>
      <xdr:col>1</xdr:col>
      <xdr:colOff>1000728</xdr:colOff>
      <xdr:row>9</xdr:row>
      <xdr:rowOff>144683</xdr:rowOff>
    </xdr:from>
    <xdr:to>
      <xdr:col>5</xdr:col>
      <xdr:colOff>542563</xdr:colOff>
      <xdr:row>25</xdr:row>
      <xdr:rowOff>24114</xdr:rowOff>
    </xdr:to>
    <xdr:graphicFrame macro="">
      <xdr:nvGraphicFramePr>
        <xdr:cNvPr id="16" name="Chart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298434</xdr:colOff>
      <xdr:row>7</xdr:row>
      <xdr:rowOff>7899</xdr:rowOff>
    </xdr:from>
    <xdr:to>
      <xdr:col>3</xdr:col>
      <xdr:colOff>325238</xdr:colOff>
      <xdr:row>8</xdr:row>
      <xdr:rowOff>183053</xdr:rowOff>
    </xdr:to>
    <xdr:sp macro="" textlink="$D$131">
      <xdr:nvSpPr>
        <xdr:cNvPr id="18" name="TextBox 17">
          <a:extLst>
            <a:ext uri="{FF2B5EF4-FFF2-40B4-BE49-F238E27FC236}">
              <a16:creationId xmlns:a16="http://schemas.microsoft.com/office/drawing/2014/main" id="{00000000-0008-0000-0100-000012000000}"/>
            </a:ext>
          </a:extLst>
        </xdr:cNvPr>
        <xdr:cNvSpPr txBox="1"/>
      </xdr:nvSpPr>
      <xdr:spPr>
        <a:xfrm>
          <a:off x="3078179" y="1611598"/>
          <a:ext cx="1212569" cy="369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E442E7-8977-4D93-9C5D-019668A20839}" type="TxLink">
            <a:rPr lang="en-US" sz="2200" b="1" i="1" u="none" strike="noStrike">
              <a:solidFill>
                <a:srgbClr val="000000"/>
              </a:solidFill>
              <a:latin typeface="Calibri"/>
              <a:cs typeface="Calibri"/>
            </a:rPr>
            <a:pPr algn="r"/>
            <a:t> 18,391 </a:t>
          </a:fld>
          <a:endParaRPr lang="en-CA" sz="2200" b="1" i="1"/>
        </a:p>
      </xdr:txBody>
    </xdr:sp>
    <xdr:clientData/>
  </xdr:twoCellAnchor>
  <xdr:twoCellAnchor>
    <xdr:from>
      <xdr:col>0</xdr:col>
      <xdr:colOff>144684</xdr:colOff>
      <xdr:row>9</xdr:row>
      <xdr:rowOff>126667</xdr:rowOff>
    </xdr:from>
    <xdr:to>
      <xdr:col>1</xdr:col>
      <xdr:colOff>167094</xdr:colOff>
      <xdr:row>12</xdr:row>
      <xdr:rowOff>149080</xdr:rowOff>
    </xdr:to>
    <xdr:sp macro="" textlink="$C$30">
      <xdr:nvSpPr>
        <xdr:cNvPr id="20" name="TextBox 19">
          <a:extLst>
            <a:ext uri="{FF2B5EF4-FFF2-40B4-BE49-F238E27FC236}">
              <a16:creationId xmlns:a16="http://schemas.microsoft.com/office/drawing/2014/main" id="{00000000-0008-0000-0100-000014000000}"/>
            </a:ext>
          </a:extLst>
        </xdr:cNvPr>
        <xdr:cNvSpPr txBox="1"/>
      </xdr:nvSpPr>
      <xdr:spPr>
        <a:xfrm>
          <a:off x="144684" y="2104009"/>
          <a:ext cx="1529530" cy="601147"/>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9F0968-7317-4B76-90ED-B2E7C853EA66}" type="TxLink">
            <a:rPr lang="en-US" sz="3200" b="1" i="1" u="none" strike="noStrike">
              <a:solidFill>
                <a:srgbClr val="FFC000"/>
              </a:solidFill>
              <a:latin typeface="Calibri"/>
              <a:cs typeface="Calibri"/>
            </a:rPr>
            <a:pPr/>
            <a:t> 334.39 </a:t>
          </a:fld>
          <a:endParaRPr lang="en-CA" sz="3200" b="1" i="1">
            <a:solidFill>
              <a:srgbClr val="FFC000"/>
            </a:solidFill>
          </a:endParaRPr>
        </a:p>
      </xdr:txBody>
    </xdr:sp>
    <xdr:clientData/>
  </xdr:twoCellAnchor>
  <xdr:twoCellAnchor>
    <xdr:from>
      <xdr:col>0</xdr:col>
      <xdr:colOff>740651</xdr:colOff>
      <xdr:row>13</xdr:row>
      <xdr:rowOff>145677</xdr:rowOff>
    </xdr:from>
    <xdr:to>
      <xdr:col>1</xdr:col>
      <xdr:colOff>778390</xdr:colOff>
      <xdr:row>15</xdr:row>
      <xdr:rowOff>100852</xdr:rowOff>
    </xdr:to>
    <xdr:sp macro="" textlink="$V$33">
      <xdr:nvSpPr>
        <xdr:cNvPr id="23" name="TextBox 22">
          <a:extLst>
            <a:ext uri="{FF2B5EF4-FFF2-40B4-BE49-F238E27FC236}">
              <a16:creationId xmlns:a16="http://schemas.microsoft.com/office/drawing/2014/main" id="{00000000-0008-0000-0100-000017000000}"/>
            </a:ext>
          </a:extLst>
        </xdr:cNvPr>
        <xdr:cNvSpPr txBox="1"/>
      </xdr:nvSpPr>
      <xdr:spPr>
        <a:xfrm>
          <a:off x="740651" y="2868706"/>
          <a:ext cx="1539327" cy="336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149AC5-FD7E-4F79-9B30-99DD1A6C7749}" type="TxLink">
            <a:rPr lang="en-US" sz="2800" b="1" i="1" u="none" strike="noStrike">
              <a:solidFill>
                <a:srgbClr val="000000"/>
              </a:solidFill>
              <a:latin typeface="Calibri"/>
              <a:cs typeface="Calibri"/>
            </a:rPr>
            <a:pPr algn="ctr"/>
            <a:t> 18,391 </a:t>
          </a:fld>
          <a:endParaRPr lang="en-CA" sz="2800" b="1" i="1"/>
        </a:p>
      </xdr:txBody>
    </xdr:sp>
    <xdr:clientData/>
  </xdr:twoCellAnchor>
  <xdr:twoCellAnchor>
    <xdr:from>
      <xdr:col>0</xdr:col>
      <xdr:colOff>124123</xdr:colOff>
      <xdr:row>19</xdr:row>
      <xdr:rowOff>144216</xdr:rowOff>
    </xdr:from>
    <xdr:to>
      <xdr:col>0</xdr:col>
      <xdr:colOff>969658</xdr:colOff>
      <xdr:row>22</xdr:row>
      <xdr:rowOff>9262</xdr:rowOff>
    </xdr:to>
    <xdr:sp macro="" textlink="$V$41">
      <xdr:nvSpPr>
        <xdr:cNvPr id="24" name="TextBox 23">
          <a:extLst>
            <a:ext uri="{FF2B5EF4-FFF2-40B4-BE49-F238E27FC236}">
              <a16:creationId xmlns:a16="http://schemas.microsoft.com/office/drawing/2014/main" id="{00000000-0008-0000-0100-000018000000}"/>
            </a:ext>
          </a:extLst>
        </xdr:cNvPr>
        <xdr:cNvSpPr txBox="1"/>
      </xdr:nvSpPr>
      <xdr:spPr>
        <a:xfrm>
          <a:off x="124123" y="4010245"/>
          <a:ext cx="845535" cy="436546"/>
        </a:xfrm>
        <a:prstGeom prst="rect">
          <a:avLst/>
        </a:prstGeom>
        <a:solidFill>
          <a:schemeClr val="lt1"/>
        </a:solid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ACC01A-F950-42B3-9C4D-CC2EF42ACEF5}" type="TxLink">
            <a:rPr lang="en-US" sz="2800" b="1" i="1" u="none" strike="noStrike">
              <a:solidFill>
                <a:srgbClr val="000000"/>
              </a:solidFill>
              <a:latin typeface="Calibri"/>
              <a:cs typeface="Calibri"/>
            </a:rPr>
            <a:pPr algn="ctr"/>
            <a:t>55</a:t>
          </a:fld>
          <a:endParaRPr lang="en-CA" sz="2800" b="1" i="1"/>
        </a:p>
      </xdr:txBody>
    </xdr:sp>
    <xdr:clientData/>
  </xdr:twoCellAnchor>
  <xdr:twoCellAnchor>
    <xdr:from>
      <xdr:col>0</xdr:col>
      <xdr:colOff>131498</xdr:colOff>
      <xdr:row>23</xdr:row>
      <xdr:rowOff>22299</xdr:rowOff>
    </xdr:from>
    <xdr:to>
      <xdr:col>0</xdr:col>
      <xdr:colOff>927116</xdr:colOff>
      <xdr:row>25</xdr:row>
      <xdr:rowOff>22299</xdr:rowOff>
    </xdr:to>
    <xdr:sp macro="" textlink="$X$168">
      <xdr:nvSpPr>
        <xdr:cNvPr id="25" name="TextBox 24">
          <a:extLst>
            <a:ext uri="{FF2B5EF4-FFF2-40B4-BE49-F238E27FC236}">
              <a16:creationId xmlns:a16="http://schemas.microsoft.com/office/drawing/2014/main" id="{00000000-0008-0000-0100-000019000000}"/>
            </a:ext>
          </a:extLst>
        </xdr:cNvPr>
        <xdr:cNvSpPr txBox="1"/>
      </xdr:nvSpPr>
      <xdr:spPr>
        <a:xfrm>
          <a:off x="131498" y="4736202"/>
          <a:ext cx="795618" cy="388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925F980-9436-4BA6-80CC-646CFC023E7A}" type="TxLink">
            <a:rPr lang="en-US" sz="2000" b="1" i="0" u="none" strike="noStrike">
              <a:solidFill>
                <a:schemeClr val="accent1"/>
              </a:solidFill>
              <a:latin typeface="Calibri"/>
              <a:cs typeface="Calibri"/>
            </a:rPr>
            <a:pPr/>
            <a:t>34%</a:t>
          </a:fld>
          <a:endParaRPr lang="en-CA" sz="2000" b="1">
            <a:solidFill>
              <a:schemeClr val="accent1"/>
            </a:solidFill>
          </a:endParaRPr>
        </a:p>
      </xdr:txBody>
    </xdr:sp>
    <xdr:clientData/>
  </xdr:twoCellAnchor>
  <xdr:twoCellAnchor>
    <xdr:from>
      <xdr:col>0</xdr:col>
      <xdr:colOff>161688</xdr:colOff>
      <xdr:row>17</xdr:row>
      <xdr:rowOff>55781</xdr:rowOff>
    </xdr:from>
    <xdr:to>
      <xdr:col>0</xdr:col>
      <xdr:colOff>956873</xdr:colOff>
      <xdr:row>18</xdr:row>
      <xdr:rowOff>165429</xdr:rowOff>
    </xdr:to>
    <xdr:sp macro="" textlink="$W$72">
      <xdr:nvSpPr>
        <xdr:cNvPr id="26" name="TextBox 25">
          <a:extLst>
            <a:ext uri="{FF2B5EF4-FFF2-40B4-BE49-F238E27FC236}">
              <a16:creationId xmlns:a16="http://schemas.microsoft.com/office/drawing/2014/main" id="{00000000-0008-0000-0100-00001A000000}"/>
            </a:ext>
          </a:extLst>
        </xdr:cNvPr>
        <xdr:cNvSpPr txBox="1"/>
      </xdr:nvSpPr>
      <xdr:spPr>
        <a:xfrm>
          <a:off x="161688" y="3746719"/>
          <a:ext cx="795185" cy="300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9741D60-CD31-439C-B23B-8EF9E6D05ADA}" type="TxLink">
            <a:rPr lang="en-US" sz="2000" b="1" i="0" u="none" strike="noStrike">
              <a:solidFill>
                <a:schemeClr val="accent1"/>
              </a:solidFill>
              <a:latin typeface="Calibri"/>
              <a:cs typeface="Calibri"/>
            </a:rPr>
            <a:pPr/>
            <a:t>37%</a:t>
          </a:fld>
          <a:endParaRPr lang="en-CA" sz="2000" b="1">
            <a:solidFill>
              <a:schemeClr val="accent1"/>
            </a:solidFill>
          </a:endParaRPr>
        </a:p>
      </xdr:txBody>
    </xdr:sp>
    <xdr:clientData/>
  </xdr:twoCellAnchor>
  <xdr:twoCellAnchor>
    <xdr:from>
      <xdr:col>3</xdr:col>
      <xdr:colOff>262424</xdr:colOff>
      <xdr:row>7</xdr:row>
      <xdr:rowOff>166612</xdr:rowOff>
    </xdr:from>
    <xdr:to>
      <xdr:col>5</xdr:col>
      <xdr:colOff>699796</xdr:colOff>
      <xdr:row>9</xdr:row>
      <xdr:rowOff>52144</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4227934" y="1974418"/>
          <a:ext cx="1943877" cy="274308"/>
        </a:xfrm>
        <a:prstGeom prst="rect">
          <a:avLst/>
        </a:prstGeom>
        <a:gradFill flip="none" rotWithShape="1">
          <a:gsLst>
            <a:gs pos="0">
              <a:schemeClr val="lt1">
                <a:shade val="30000"/>
                <a:satMod val="115000"/>
              </a:schemeClr>
            </a:gs>
            <a:gs pos="0">
              <a:schemeClr val="lt1">
                <a:shade val="67500"/>
                <a:satMod val="115000"/>
              </a:schemeClr>
            </a:gs>
            <a:gs pos="47000">
              <a:schemeClr val="lt1">
                <a:shade val="100000"/>
                <a:satMod val="115000"/>
              </a:schemeClr>
            </a:gs>
          </a:gsLst>
          <a:path path="circle">
            <a:fillToRect l="100000" b="100000"/>
          </a:path>
          <a:tileRect t="-100000" r="-100000"/>
        </a:grad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i="1"/>
            <a:t>Revenue</a:t>
          </a:r>
          <a:r>
            <a:rPr lang="en-CA" sz="1100" b="1" i="1" baseline="0"/>
            <a:t> Entered by Company</a:t>
          </a:r>
          <a:endParaRPr lang="en-CA" sz="1100" b="1" i="1"/>
        </a:p>
      </xdr:txBody>
    </xdr:sp>
    <xdr:clientData/>
  </xdr:twoCellAnchor>
  <xdr:twoCellAnchor>
    <xdr:from>
      <xdr:col>0</xdr:col>
      <xdr:colOff>861173</xdr:colOff>
      <xdr:row>7</xdr:row>
      <xdr:rowOff>157809</xdr:rowOff>
    </xdr:from>
    <xdr:to>
      <xdr:col>1</xdr:col>
      <xdr:colOff>775600</xdr:colOff>
      <xdr:row>8</xdr:row>
      <xdr:rowOff>189574</xdr:rowOff>
    </xdr:to>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861173" y="1737838"/>
          <a:ext cx="1416015" cy="222265"/>
        </a:xfrm>
        <a:prstGeom prst="rect">
          <a:avLst/>
        </a:prstGeom>
        <a:gradFill flip="none" rotWithShape="1">
          <a:gsLst>
            <a:gs pos="0">
              <a:schemeClr val="lt1">
                <a:shade val="30000"/>
                <a:satMod val="115000"/>
              </a:schemeClr>
            </a:gs>
            <a:gs pos="0">
              <a:schemeClr val="lt1">
                <a:shade val="67500"/>
                <a:satMod val="115000"/>
              </a:schemeClr>
            </a:gs>
            <a:gs pos="54000">
              <a:schemeClr val="lt1">
                <a:shade val="100000"/>
                <a:satMod val="115000"/>
              </a:schemeClr>
            </a:gs>
          </a:gsLst>
          <a:path path="circle">
            <a:fillToRect l="100000" t="100000"/>
          </a:path>
          <a:tileRect r="-100000" b="-100000"/>
        </a:grad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CA" sz="1050" b="1" i="1"/>
            <a:t>Room Nights Entered</a:t>
          </a:r>
          <a:endParaRPr lang="en-CA" sz="1050" b="1"/>
        </a:p>
      </xdr:txBody>
    </xdr:sp>
    <xdr:clientData/>
  </xdr:twoCellAnchor>
  <xdr:twoCellAnchor>
    <xdr:from>
      <xdr:col>0</xdr:col>
      <xdr:colOff>1466695</xdr:colOff>
      <xdr:row>9</xdr:row>
      <xdr:rowOff>168090</xdr:rowOff>
    </xdr:from>
    <xdr:to>
      <xdr:col>1</xdr:col>
      <xdr:colOff>852358</xdr:colOff>
      <xdr:row>12</xdr:row>
      <xdr:rowOff>33620</xdr:rowOff>
    </xdr:to>
    <xdr:sp macro="" textlink="">
      <xdr:nvSpPr>
        <xdr:cNvPr id="51" name="TextBox 50">
          <a:extLst>
            <a:ext uri="{FF2B5EF4-FFF2-40B4-BE49-F238E27FC236}">
              <a16:creationId xmlns:a16="http://schemas.microsoft.com/office/drawing/2014/main" id="{00000000-0008-0000-0100-000033000000}"/>
            </a:ext>
          </a:extLst>
        </xdr:cNvPr>
        <xdr:cNvSpPr txBox="1"/>
      </xdr:nvSpPr>
      <xdr:spPr>
        <a:xfrm>
          <a:off x="1466695" y="2129119"/>
          <a:ext cx="887251" cy="437030"/>
        </a:xfrm>
        <a:prstGeom prst="rect">
          <a:avLst/>
        </a:prstGeom>
        <a:gradFill flip="none" rotWithShape="1">
          <a:gsLst>
            <a:gs pos="49000">
              <a:schemeClr val="accent3">
                <a:lumMod val="5000"/>
                <a:lumOff val="95000"/>
              </a:schemeClr>
            </a:gs>
            <a:gs pos="40000">
              <a:srgbClr val="F0F0F0"/>
            </a:gs>
            <a:gs pos="0">
              <a:srgbClr val="F0F0F0"/>
            </a:gs>
          </a:gsLst>
          <a:path path="circle">
            <a:fillToRect l="100000" t="100000"/>
          </a:path>
          <a:tileRect r="-100000" b="-100000"/>
        </a:grad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900" b="1" i="1">
              <a:solidFill>
                <a:schemeClr val="tx1"/>
              </a:solidFill>
            </a:rPr>
            <a:t>ADR</a:t>
          </a:r>
        </a:p>
      </xdr:txBody>
    </xdr:sp>
    <xdr:clientData/>
  </xdr:twoCellAnchor>
  <xdr:twoCellAnchor>
    <xdr:from>
      <xdr:col>0</xdr:col>
      <xdr:colOff>611702</xdr:colOff>
      <xdr:row>15</xdr:row>
      <xdr:rowOff>148681</xdr:rowOff>
    </xdr:from>
    <xdr:to>
      <xdr:col>1</xdr:col>
      <xdr:colOff>717035</xdr:colOff>
      <xdr:row>16</xdr:row>
      <xdr:rowOff>171893</xdr:rowOff>
    </xdr:to>
    <xdr:sp macro="" textlink="">
      <xdr:nvSpPr>
        <xdr:cNvPr id="54" name="Rectangle: Rounded Corners 53">
          <a:extLst>
            <a:ext uri="{FF2B5EF4-FFF2-40B4-BE49-F238E27FC236}">
              <a16:creationId xmlns:a16="http://schemas.microsoft.com/office/drawing/2014/main" id="{00000000-0008-0000-0100-000036000000}"/>
            </a:ext>
          </a:extLst>
        </xdr:cNvPr>
        <xdr:cNvSpPr/>
      </xdr:nvSpPr>
      <xdr:spPr>
        <a:xfrm>
          <a:off x="611702" y="3114694"/>
          <a:ext cx="1612453" cy="216123"/>
        </a:xfrm>
        <a:prstGeom prst="roundRect">
          <a:avLst>
            <a:gd name="adj" fmla="val 2590"/>
          </a:avLst>
        </a:prstGeom>
        <a:gradFill flip="none" rotWithShape="1">
          <a:gsLst>
            <a:gs pos="19000">
              <a:schemeClr val="bg1">
                <a:shade val="67500"/>
                <a:satMod val="115000"/>
              </a:schemeClr>
            </a:gs>
            <a:gs pos="58000">
              <a:schemeClr val="bg1">
                <a:shade val="100000"/>
                <a:satMod val="115000"/>
              </a:schemeClr>
            </a:gs>
          </a:gsLst>
          <a:lin ang="13500000" scaled="1"/>
          <a:tileRect/>
        </a:gra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chemeClr val="tx1"/>
              </a:solidFill>
            </a:rPr>
            <a:t>Total Revenue Entered</a:t>
          </a:r>
        </a:p>
      </xdr:txBody>
    </xdr:sp>
    <xdr:clientData/>
  </xdr:twoCellAnchor>
  <xdr:twoCellAnchor>
    <xdr:from>
      <xdr:col>0</xdr:col>
      <xdr:colOff>939452</xdr:colOff>
      <xdr:row>17</xdr:row>
      <xdr:rowOff>172344</xdr:rowOff>
    </xdr:from>
    <xdr:to>
      <xdr:col>1</xdr:col>
      <xdr:colOff>804981</xdr:colOff>
      <xdr:row>19</xdr:row>
      <xdr:rowOff>13051</xdr:rowOff>
    </xdr:to>
    <xdr:sp macro="" textlink="">
      <xdr:nvSpPr>
        <xdr:cNvPr id="56" name="TextBox 55">
          <a:extLst>
            <a:ext uri="{FF2B5EF4-FFF2-40B4-BE49-F238E27FC236}">
              <a16:creationId xmlns:a16="http://schemas.microsoft.com/office/drawing/2014/main" id="{00000000-0008-0000-0100-000038000000}"/>
            </a:ext>
          </a:extLst>
        </xdr:cNvPr>
        <xdr:cNvSpPr txBox="1"/>
      </xdr:nvSpPr>
      <xdr:spPr>
        <a:xfrm>
          <a:off x="939452" y="3657373"/>
          <a:ext cx="1367117" cy="221707"/>
        </a:xfrm>
        <a:prstGeom prst="rect">
          <a:avLst/>
        </a:prstGeom>
        <a:gradFill flip="none" rotWithShape="1">
          <a:gsLst>
            <a:gs pos="45000">
              <a:srgbClr val="FFFFFF"/>
            </a:gs>
            <a:gs pos="0">
              <a:schemeClr val="accent1">
                <a:lumMod val="20000"/>
                <a:lumOff val="80000"/>
              </a:schemeClr>
            </a:gs>
          </a:gsLst>
          <a:path path="circle">
            <a:fillToRect l="100000" t="100000"/>
          </a:path>
          <a:tileRect r="-100000" b="-100000"/>
        </a:gradFill>
        <a:ln w="9525" cmpd="sng">
          <a:noFill/>
        </a:ln>
        <a:effectLst>
          <a:reflection blurRad="6350" stA="52000" endA="300" endPos="35000" dir="5400000" sy="-100000" algn="bl" rotWithShape="0"/>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i="1">
              <a:solidFill>
                <a:schemeClr val="accent1"/>
              </a:solidFill>
            </a:rPr>
            <a:t>% Share of Revenue </a:t>
          </a:r>
        </a:p>
      </xdr:txBody>
    </xdr:sp>
    <xdr:clientData/>
  </xdr:twoCellAnchor>
  <xdr:twoCellAnchor>
    <xdr:from>
      <xdr:col>0</xdr:col>
      <xdr:colOff>777551</xdr:colOff>
      <xdr:row>23</xdr:row>
      <xdr:rowOff>137875</xdr:rowOff>
    </xdr:from>
    <xdr:to>
      <xdr:col>1</xdr:col>
      <xdr:colOff>797321</xdr:colOff>
      <xdr:row>24</xdr:row>
      <xdr:rowOff>184668</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777551" y="5055885"/>
          <a:ext cx="1526275" cy="241181"/>
        </a:xfrm>
        <a:prstGeom prst="rect">
          <a:avLst/>
        </a:prstGeom>
        <a:gradFill flip="none" rotWithShape="1">
          <a:gsLst>
            <a:gs pos="41000">
              <a:srgbClr val="FFFFFF"/>
            </a:gs>
            <a:gs pos="0">
              <a:srgbClr val="B4C6E7"/>
            </a:gs>
          </a:gsLst>
          <a:path path="circle">
            <a:fillToRect l="100000" t="100000"/>
          </a:path>
          <a:tileRect r="-100000" b="-100000"/>
        </a:gradFill>
        <a:ln w="9525" cmpd="sng">
          <a:solidFill>
            <a:schemeClr val="bg1"/>
          </a:solid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b="1" i="1">
              <a:solidFill>
                <a:schemeClr val="accent1"/>
              </a:solidFill>
              <a:effectLst/>
              <a:latin typeface="+mn-lt"/>
              <a:ea typeface="+mn-ea"/>
              <a:cs typeface="+mn-cs"/>
            </a:rPr>
            <a:t>% Share of Room</a:t>
          </a:r>
          <a:r>
            <a:rPr lang="en-CA" sz="1000" b="1" i="1" baseline="0">
              <a:solidFill>
                <a:schemeClr val="accent1"/>
              </a:solidFill>
              <a:effectLst/>
              <a:latin typeface="+mn-lt"/>
              <a:ea typeface="+mn-ea"/>
              <a:cs typeface="+mn-cs"/>
            </a:rPr>
            <a:t> Nights</a:t>
          </a:r>
          <a:r>
            <a:rPr lang="en-CA" sz="1000" b="1" i="1">
              <a:solidFill>
                <a:schemeClr val="accent1"/>
              </a:solidFill>
              <a:effectLst/>
              <a:latin typeface="+mn-lt"/>
              <a:ea typeface="+mn-ea"/>
              <a:cs typeface="+mn-cs"/>
            </a:rPr>
            <a:t> </a:t>
          </a:r>
          <a:endParaRPr lang="en-CA" sz="1000">
            <a:solidFill>
              <a:schemeClr val="accent1"/>
            </a:solidFill>
            <a:effectLst/>
          </a:endParaRPr>
        </a:p>
        <a:p>
          <a:endParaRPr lang="en-CA" sz="1100"/>
        </a:p>
      </xdr:txBody>
    </xdr:sp>
    <xdr:clientData/>
  </xdr:twoCellAnchor>
  <xdr:twoCellAnchor>
    <xdr:from>
      <xdr:col>0</xdr:col>
      <xdr:colOff>936048</xdr:colOff>
      <xdr:row>21</xdr:row>
      <xdr:rowOff>40570</xdr:rowOff>
    </xdr:from>
    <xdr:to>
      <xdr:col>1</xdr:col>
      <xdr:colOff>801578</xdr:colOff>
      <xdr:row>22</xdr:row>
      <xdr:rowOff>85393</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936048" y="4287599"/>
          <a:ext cx="1367118" cy="235323"/>
        </a:xfrm>
        <a:prstGeom prst="rect">
          <a:avLst/>
        </a:prstGeom>
        <a:gradFill flip="none" rotWithShape="1">
          <a:gsLst>
            <a:gs pos="38000">
              <a:srgbClr val="FFFFFF"/>
            </a:gs>
            <a:gs pos="0">
              <a:schemeClr val="tx1">
                <a:lumMod val="50000"/>
                <a:lumOff val="50000"/>
              </a:schemeClr>
            </a:gs>
          </a:gsLst>
          <a:path path="circle">
            <a:fillToRect l="100000" b="100000"/>
          </a:path>
          <a:tileRect t="-100000" r="-100000"/>
        </a:grad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i="1"/>
            <a:t>Total</a:t>
          </a:r>
          <a:r>
            <a:rPr lang="en-CA" sz="1100" b="1" i="1" baseline="0"/>
            <a:t> </a:t>
          </a:r>
          <a:r>
            <a:rPr lang="en-CA" sz="1100" b="1" i="1"/>
            <a:t>Room Nights</a:t>
          </a:r>
        </a:p>
      </xdr:txBody>
    </xdr:sp>
    <xdr:clientData/>
  </xdr:twoCellAnchor>
  <xdr:twoCellAnchor>
    <xdr:from>
      <xdr:col>0</xdr:col>
      <xdr:colOff>112060</xdr:colOff>
      <xdr:row>13</xdr:row>
      <xdr:rowOff>136856</xdr:rowOff>
    </xdr:from>
    <xdr:to>
      <xdr:col>0</xdr:col>
      <xdr:colOff>959385</xdr:colOff>
      <xdr:row>15</xdr:row>
      <xdr:rowOff>112868</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112060" y="2859885"/>
          <a:ext cx="847325" cy="357012"/>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800" b="1" i="1"/>
            <a:t>AED</a:t>
          </a:r>
        </a:p>
      </xdr:txBody>
    </xdr:sp>
    <xdr:clientData/>
  </xdr:twoCellAnchor>
  <xdr:twoCellAnchor>
    <xdr:from>
      <xdr:col>0</xdr:col>
      <xdr:colOff>860126</xdr:colOff>
      <xdr:row>19</xdr:row>
      <xdr:rowOff>168256</xdr:rowOff>
    </xdr:from>
    <xdr:to>
      <xdr:col>0</xdr:col>
      <xdr:colOff>1438860</xdr:colOff>
      <xdr:row>21</xdr:row>
      <xdr:rowOff>54285</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860126" y="4034285"/>
          <a:ext cx="578734" cy="267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400" b="1" i="1"/>
            <a:t>RN</a:t>
          </a:r>
        </a:p>
      </xdr:txBody>
    </xdr:sp>
    <xdr:clientData/>
  </xdr:twoCellAnchor>
  <xdr:twoCellAnchor>
    <xdr:from>
      <xdr:col>1</xdr:col>
      <xdr:colOff>1098886</xdr:colOff>
      <xdr:row>7</xdr:row>
      <xdr:rowOff>48988</xdr:rowOff>
    </xdr:from>
    <xdr:to>
      <xdr:col>2</xdr:col>
      <xdr:colOff>447810</xdr:colOff>
      <xdr:row>8</xdr:row>
      <xdr:rowOff>155114</xdr:rowOff>
    </xdr:to>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2600474" y="1629017"/>
          <a:ext cx="626395" cy="296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CA" sz="2000" b="1" i="1"/>
            <a:t>AED</a:t>
          </a:r>
        </a:p>
      </xdr:txBody>
    </xdr:sp>
    <xdr:clientData/>
  </xdr:twoCellAnchor>
  <xdr:twoCellAnchor>
    <xdr:from>
      <xdr:col>0</xdr:col>
      <xdr:colOff>847010</xdr:colOff>
      <xdr:row>6</xdr:row>
      <xdr:rowOff>158157</xdr:rowOff>
    </xdr:from>
    <xdr:to>
      <xdr:col>0</xdr:col>
      <xdr:colOff>1271374</xdr:colOff>
      <xdr:row>8</xdr:row>
      <xdr:rowOff>18014</xdr:rowOff>
    </xdr:to>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847010" y="1547686"/>
          <a:ext cx="424364" cy="2408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CA" sz="1400" b="1" i="1"/>
            <a:t>RN</a:t>
          </a:r>
        </a:p>
      </xdr:txBody>
    </xdr:sp>
    <xdr:clientData/>
  </xdr:twoCellAnchor>
  <mc:AlternateContent xmlns:mc="http://schemas.openxmlformats.org/markup-compatibility/2006">
    <mc:Choice xmlns:a14="http://schemas.microsoft.com/office/drawing/2010/main" Requires="a14">
      <xdr:twoCellAnchor>
        <xdr:from>
          <xdr:col>13</xdr:col>
          <xdr:colOff>133350</xdr:colOff>
          <xdr:row>25</xdr:row>
          <xdr:rowOff>133350</xdr:rowOff>
        </xdr:from>
        <xdr:to>
          <xdr:col>15</xdr:col>
          <xdr:colOff>390525</xdr:colOff>
          <xdr:row>26</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 Refresh Charts</a:t>
              </a:r>
            </a:p>
          </xdr:txBody>
        </xdr:sp>
        <xdr:clientData fPrintsWithSheet="0"/>
      </xdr:twoCellAnchor>
    </mc:Choice>
    <mc:Fallback/>
  </mc:AlternateContent>
  <xdr:twoCellAnchor>
    <xdr:from>
      <xdr:col>4</xdr:col>
      <xdr:colOff>495689</xdr:colOff>
      <xdr:row>0</xdr:row>
      <xdr:rowOff>106915</xdr:rowOff>
    </xdr:from>
    <xdr:to>
      <xdr:col>9</xdr:col>
      <xdr:colOff>631760</xdr:colOff>
      <xdr:row>0</xdr:row>
      <xdr:rowOff>476250</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222470" y="106915"/>
          <a:ext cx="3969884" cy="369335"/>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554006</xdr:colOff>
      <xdr:row>0</xdr:row>
      <xdr:rowOff>153627</xdr:rowOff>
    </xdr:from>
    <xdr:to>
      <xdr:col>9</xdr:col>
      <xdr:colOff>505409</xdr:colOff>
      <xdr:row>0</xdr:row>
      <xdr:rowOff>406029</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5280787" y="153627"/>
          <a:ext cx="3785216" cy="25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2200" b="1" i="1" u="none" strike="noStrike">
              <a:solidFill>
                <a:srgbClr val="000000"/>
              </a:solidFill>
              <a:latin typeface="+mn-lt"/>
              <a:cs typeface="Calibri"/>
            </a:rPr>
            <a:t> Dynamic Company Dashboard  </a:t>
          </a:r>
        </a:p>
      </xdr:txBody>
    </xdr:sp>
    <xdr:clientData/>
  </xdr:twoCellAnchor>
  <xdr:twoCellAnchor>
    <xdr:from>
      <xdr:col>0</xdr:col>
      <xdr:colOff>106913</xdr:colOff>
      <xdr:row>1</xdr:row>
      <xdr:rowOff>243</xdr:rowOff>
    </xdr:from>
    <xdr:to>
      <xdr:col>15</xdr:col>
      <xdr:colOff>452194</xdr:colOff>
      <xdr:row>6</xdr:row>
      <xdr:rowOff>82583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06913" y="641723"/>
          <a:ext cx="14924363" cy="1054278"/>
          <a:chOff x="142875" y="631031"/>
          <a:chExt cx="14918531" cy="1036298"/>
        </a:xfrm>
      </xdr:grpSpPr>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142875" y="631031"/>
            <a:ext cx="14918531" cy="1036298"/>
          </a:xfrm>
          <a:prstGeom prst="roundRect">
            <a:avLst>
              <a:gd name="adj" fmla="val 18012"/>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mc:AlternateContent xmlns:mc="http://schemas.openxmlformats.org/markup-compatibility/2006" xmlns:a14="http://schemas.microsoft.com/office/drawing/2010/main">
        <mc:Choice Requires="a14">
          <xdr:graphicFrame macro="">
            <xdr:nvGraphicFramePr>
              <xdr:cNvPr id="40" name="COMPANY  1">
                <a:extLst>
                  <a:ext uri="{FF2B5EF4-FFF2-40B4-BE49-F238E27FC236}">
                    <a16:creationId xmlns:a16="http://schemas.microsoft.com/office/drawing/2014/main" id="{00000000-0008-0000-0100-000028000000}"/>
                  </a:ext>
                </a:extLst>
              </xdr:cNvPr>
              <xdr:cNvGraphicFramePr/>
            </xdr:nvGraphicFramePr>
            <xdr:xfrm>
              <a:off x="239362" y="699575"/>
              <a:ext cx="14632782" cy="862497"/>
            </xdr:xfrm>
            <a:graphic>
              <a:graphicData uri="http://schemas.microsoft.com/office/drawing/2010/slicer">
                <sle:slicer xmlns:sle="http://schemas.microsoft.com/office/drawing/2010/slicer" name="COMPANY  1"/>
              </a:graphicData>
            </a:graphic>
          </xdr:graphicFrame>
        </mc:Choice>
        <mc:Fallback xmlns="">
          <xdr:sp macro="" textlink="">
            <xdr:nvSpPr>
              <xdr:cNvPr id="0" name=""/>
              <xdr:cNvSpPr>
                <a:spLocks noTextEdit="1"/>
              </xdr:cNvSpPr>
            </xdr:nvSpPr>
            <xdr:spPr>
              <a:xfrm>
                <a:off x="203438" y="711456"/>
                <a:ext cx="14638502" cy="87746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13</xdr:col>
      <xdr:colOff>535771</xdr:colOff>
      <xdr:row>0</xdr:row>
      <xdr:rowOff>11906</xdr:rowOff>
    </xdr:from>
    <xdr:to>
      <xdr:col>15</xdr:col>
      <xdr:colOff>452427</xdr:colOff>
      <xdr:row>0</xdr:row>
      <xdr:rowOff>511968</xdr:rowOff>
    </xdr:to>
    <xdr:grpSp>
      <xdr:nvGrpSpPr>
        <xdr:cNvPr id="41" name="Group 40">
          <a:extLst>
            <a:ext uri="{FF2B5EF4-FFF2-40B4-BE49-F238E27FC236}">
              <a16:creationId xmlns:a16="http://schemas.microsoft.com/office/drawing/2014/main" id="{00000000-0008-0000-0100-000029000000}"/>
            </a:ext>
          </a:extLst>
        </xdr:cNvPr>
        <xdr:cNvGrpSpPr/>
      </xdr:nvGrpSpPr>
      <xdr:grpSpPr>
        <a:xfrm>
          <a:off x="13773577" y="11906"/>
          <a:ext cx="1257932" cy="500062"/>
          <a:chOff x="2898181" y="1412793"/>
          <a:chExt cx="1262062" cy="452438"/>
        </a:xfrm>
      </xdr:grpSpPr>
      <xdr:sp macro="" textlink="'DELIMITED DATA'!Y2">
        <xdr:nvSpPr>
          <xdr:cNvPr id="42" name="TextBox 41">
            <a:extLst>
              <a:ext uri="{FF2B5EF4-FFF2-40B4-BE49-F238E27FC236}">
                <a16:creationId xmlns:a16="http://schemas.microsoft.com/office/drawing/2014/main" id="{00000000-0008-0000-0100-00002A000000}"/>
              </a:ext>
            </a:extLst>
          </xdr:cNvPr>
          <xdr:cNvSpPr txBox="1"/>
        </xdr:nvSpPr>
        <xdr:spPr>
          <a:xfrm>
            <a:off x="3040742" y="1412793"/>
            <a:ext cx="1115527" cy="34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28FF1FE-F4BA-4477-931C-B7E317B8B0C8}" type="TxLink">
              <a:rPr lang="en-US" sz="1600" b="1" i="1" u="none" strike="noStrike">
                <a:solidFill>
                  <a:srgbClr val="000000"/>
                </a:solidFill>
                <a:latin typeface="Calibri"/>
                <a:cs typeface="Calibri"/>
              </a:rPr>
              <a:pPr algn="l"/>
              <a:t>23.08.25</a:t>
            </a:fld>
            <a:endParaRPr lang="en-CA" sz="1600" b="1" i="1"/>
          </a:p>
        </xdr:txBody>
      </xdr:sp>
      <xdr:sp macro="" textlink="">
        <xdr:nvSpPr>
          <xdr:cNvPr id="43" name="Rectangle: Rounded Corners 42">
            <a:extLst>
              <a:ext uri="{FF2B5EF4-FFF2-40B4-BE49-F238E27FC236}">
                <a16:creationId xmlns:a16="http://schemas.microsoft.com/office/drawing/2014/main" id="{00000000-0008-0000-0100-00002B000000}"/>
              </a:ext>
            </a:extLst>
          </xdr:cNvPr>
          <xdr:cNvSpPr/>
        </xdr:nvSpPr>
        <xdr:spPr>
          <a:xfrm>
            <a:off x="2898181" y="1687691"/>
            <a:ext cx="1262062" cy="177540"/>
          </a:xfrm>
          <a:prstGeom prst="roundRect">
            <a:avLst>
              <a:gd name="adj" fmla="val 2590"/>
            </a:avLst>
          </a:prstGeom>
          <a:gradFill flip="none" rotWithShape="1">
            <a:gsLst>
              <a:gs pos="19000">
                <a:schemeClr val="bg1">
                  <a:shade val="67500"/>
                  <a:satMod val="115000"/>
                </a:schemeClr>
              </a:gs>
              <a:gs pos="58000">
                <a:schemeClr val="bg1">
                  <a:shade val="100000"/>
                  <a:satMod val="115000"/>
                </a:schemeClr>
              </a:gs>
            </a:gsLst>
            <a:lin ang="13500000" scaled="1"/>
            <a:tileRect/>
          </a:gradFill>
          <a:ln>
            <a:noFill/>
          </a:ln>
          <a:effectLst>
            <a:softEdge rad="3175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chemeClr val="tx1"/>
                </a:solidFill>
              </a:rPr>
              <a:t>Entered</a:t>
            </a:r>
            <a:r>
              <a:rPr lang="en-CA" sz="1100" b="1" i="1" baseline="0">
                <a:solidFill>
                  <a:schemeClr val="tx1"/>
                </a:solidFill>
              </a:rPr>
              <a:t> On Date </a:t>
            </a:r>
            <a:endParaRPr lang="en-CA" sz="1100" b="1" i="1">
              <a:solidFill>
                <a:schemeClr val="tx1"/>
              </a:solidFill>
            </a:endParaRPr>
          </a:p>
        </xdr:txBody>
      </xdr:sp>
    </xdr:grpSp>
    <xdr:clientData/>
  </xdr:twoCellAnchor>
</xdr:wsDr>
</file>

<file path=xl/drawings/drawing5.xml><?xml version="1.0" encoding="utf-8"?>
<c:userShapes xmlns:c="http://schemas.openxmlformats.org/drawingml/2006/chart">
  <cdr:relSizeAnchor xmlns:cdr="http://schemas.openxmlformats.org/drawingml/2006/chartDrawing">
    <cdr:from>
      <cdr:x>0.26552</cdr:x>
      <cdr:y>0</cdr:y>
    </cdr:from>
    <cdr:to>
      <cdr:x>1</cdr:x>
      <cdr:y>0.09851</cdr:y>
    </cdr:to>
    <cdr:sp macro="" textlink="'COMPANY PROD'!$S$47">
      <cdr:nvSpPr>
        <cdr:cNvPr id="2" name="TextBox 19">
          <a:extLst xmlns:a="http://schemas.openxmlformats.org/drawingml/2006/main">
            <a:ext uri="{FF2B5EF4-FFF2-40B4-BE49-F238E27FC236}">
              <a16:creationId xmlns:a16="http://schemas.microsoft.com/office/drawing/2014/main" id="{00000000-0008-0000-0100-000014000000}"/>
            </a:ext>
          </a:extLst>
        </cdr:cNvPr>
        <cdr:cNvSpPr txBox="1"/>
      </cdr:nvSpPr>
      <cdr:spPr>
        <a:xfrm xmlns:a="http://schemas.openxmlformats.org/drawingml/2006/main">
          <a:off x="2259267" y="0"/>
          <a:ext cx="6249573" cy="328533"/>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a:softEdge rad="31750"/>
        </a:effectLst>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B24E9A92-2D8B-4100-B5D3-ED09784D7D4B}" type="TxLink">
            <a:rPr lang="en-US" sz="2000" b="1" i="1" u="none" strike="noStrike">
              <a:solidFill>
                <a:srgbClr val="FFC000"/>
              </a:solidFill>
              <a:latin typeface="Calibri"/>
              <a:cs typeface="Calibri"/>
            </a:rPr>
            <a:pPr/>
            <a:t>M&amp;C / RESV/ OTHERS</a:t>
          </a:fld>
          <a:endParaRPr lang="en-CA" sz="2000" b="1" i="1">
            <a:solidFill>
              <a:srgbClr val="FFC000"/>
            </a:solidFil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962025</xdr:colOff>
          <xdr:row>0</xdr:row>
          <xdr:rowOff>28575</xdr:rowOff>
        </xdr:from>
        <xdr:to>
          <xdr:col>16</xdr:col>
          <xdr:colOff>2076450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1" u="none" strike="noStrike" baseline="0">
                  <a:solidFill>
                    <a:srgbClr val="000000"/>
                  </a:solidFill>
                  <a:latin typeface="Calibri"/>
                  <a:cs typeface="Calibri"/>
                </a:rPr>
                <a:t>Search(Ctrl + Q)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323850</xdr:colOff>
          <xdr:row>0</xdr:row>
          <xdr:rowOff>19050</xdr:rowOff>
        </xdr:from>
        <xdr:to>
          <xdr:col>12</xdr:col>
          <xdr:colOff>76200</xdr:colOff>
          <xdr:row>1</xdr:row>
          <xdr:rowOff>9525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1. </a:t>
              </a:r>
              <a:r>
                <a:rPr lang="en-GB" sz="1100" b="0" i="0" u="none" strike="noStrike" baseline="0">
                  <a:solidFill>
                    <a:srgbClr val="000000"/>
                  </a:solidFill>
                  <a:latin typeface="Calibri"/>
                  <a:cs typeface="Calibri"/>
                </a:rPr>
                <a:t>Clear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14</xdr:col>
      <xdr:colOff>561975</xdr:colOff>
      <xdr:row>1</xdr:row>
      <xdr:rowOff>142875</xdr:rowOff>
    </xdr:from>
    <xdr:to>
      <xdr:col>17</xdr:col>
      <xdr:colOff>152400</xdr:colOff>
      <xdr:row>2</xdr:row>
      <xdr:rowOff>104775</xdr:rowOff>
    </xdr:to>
    <xdr:sp macro="" textlink="">
      <xdr:nvSpPr>
        <xdr:cNvPr id="23" name="Rectangle: Rounded Corners 22">
          <a:extLst>
            <a:ext uri="{FF2B5EF4-FFF2-40B4-BE49-F238E27FC236}">
              <a16:creationId xmlns:a16="http://schemas.microsoft.com/office/drawing/2014/main" id="{F7BE769A-1F87-4855-82E2-701898472627}"/>
            </a:ext>
          </a:extLst>
        </xdr:cNvPr>
        <xdr:cNvSpPr/>
      </xdr:nvSpPr>
      <xdr:spPr>
        <a:xfrm>
          <a:off x="8972550" y="209550"/>
          <a:ext cx="1419225" cy="161925"/>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9</xdr:col>
      <xdr:colOff>95251</xdr:colOff>
      <xdr:row>1</xdr:row>
      <xdr:rowOff>161927</xdr:rowOff>
    </xdr:from>
    <xdr:to>
      <xdr:col>12</xdr:col>
      <xdr:colOff>57150</xdr:colOff>
      <xdr:row>2</xdr:row>
      <xdr:rowOff>114300</xdr:rowOff>
    </xdr:to>
    <xdr:sp macro="" textlink="">
      <xdr:nvSpPr>
        <xdr:cNvPr id="21" name="Rectangle: Rounded Corners 20">
          <a:extLst>
            <a:ext uri="{FF2B5EF4-FFF2-40B4-BE49-F238E27FC236}">
              <a16:creationId xmlns:a16="http://schemas.microsoft.com/office/drawing/2014/main" id="{50644EB4-064F-441C-9FE8-8AE64BAA4405}"/>
            </a:ext>
          </a:extLst>
        </xdr:cNvPr>
        <xdr:cNvSpPr/>
      </xdr:nvSpPr>
      <xdr:spPr>
        <a:xfrm>
          <a:off x="5781676" y="228602"/>
          <a:ext cx="1466849" cy="152398"/>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0</xdr:colOff>
      <xdr:row>18</xdr:row>
      <xdr:rowOff>47624</xdr:rowOff>
    </xdr:from>
    <xdr:to>
      <xdr:col>9</xdr:col>
      <xdr:colOff>0</xdr:colOff>
      <xdr:row>28</xdr:row>
      <xdr:rowOff>161925</xdr:rowOff>
    </xdr:to>
    <xdr:sp macro="" textlink="">
      <xdr:nvSpPr>
        <xdr:cNvPr id="13" name="Rectangle: Rounded Corners 12">
          <a:extLst>
            <a:ext uri="{FF2B5EF4-FFF2-40B4-BE49-F238E27FC236}">
              <a16:creationId xmlns:a16="http://schemas.microsoft.com/office/drawing/2014/main" id="{8226AFCE-7C70-4EA4-940E-8E9C76259E6E}"/>
            </a:ext>
          </a:extLst>
        </xdr:cNvPr>
        <xdr:cNvSpPr/>
      </xdr:nvSpPr>
      <xdr:spPr>
        <a:xfrm>
          <a:off x="114300" y="3514724"/>
          <a:ext cx="5572125" cy="2019301"/>
        </a:xfrm>
        <a:prstGeom prst="roundRect">
          <a:avLst>
            <a:gd name="adj" fmla="val 540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17</xdr:col>
      <xdr:colOff>219075</xdr:colOff>
      <xdr:row>1</xdr:row>
      <xdr:rowOff>19050</xdr:rowOff>
    </xdr:from>
    <xdr:to>
      <xdr:col>24</xdr:col>
      <xdr:colOff>152398</xdr:colOff>
      <xdr:row>12</xdr:row>
      <xdr:rowOff>133350</xdr:rowOff>
    </xdr:to>
    <xdr:sp macro="" textlink="">
      <xdr:nvSpPr>
        <xdr:cNvPr id="9" name="Rectangle: Rounded Corners 8">
          <a:extLst>
            <a:ext uri="{FF2B5EF4-FFF2-40B4-BE49-F238E27FC236}">
              <a16:creationId xmlns:a16="http://schemas.microsoft.com/office/drawing/2014/main" id="{A749CC4A-4FE0-44A4-97E4-D5B1B0DFACC4}"/>
            </a:ext>
          </a:extLst>
        </xdr:cNvPr>
        <xdr:cNvSpPr/>
      </xdr:nvSpPr>
      <xdr:spPr>
        <a:xfrm>
          <a:off x="10458450" y="85725"/>
          <a:ext cx="4200523" cy="2314575"/>
        </a:xfrm>
        <a:prstGeom prst="roundRect">
          <a:avLst>
            <a:gd name="adj" fmla="val 450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9</xdr:col>
      <xdr:colOff>85725</xdr:colOff>
      <xdr:row>13</xdr:row>
      <xdr:rowOff>9525</xdr:rowOff>
    </xdr:from>
    <xdr:to>
      <xdr:col>24</xdr:col>
      <xdr:colOff>152400</xdr:colOff>
      <xdr:row>28</xdr:row>
      <xdr:rowOff>152400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5772150" y="2476500"/>
          <a:ext cx="8886825" cy="3048000"/>
        </a:xfrm>
        <a:prstGeom prst="roundRect">
          <a:avLst>
            <a:gd name="adj" fmla="val 4505"/>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1</xdr:row>
          <xdr:rowOff>0</xdr:rowOff>
        </xdr:from>
        <xdr:to>
          <xdr:col>6</xdr:col>
          <xdr:colOff>304800</xdr:colOff>
          <xdr:row>1</xdr:row>
          <xdr:rowOff>152400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1" u="none" strike="noStrike" baseline="0">
                  <a:solidFill>
                    <a:srgbClr val="000000"/>
                  </a:solidFill>
                  <a:latin typeface="Calibri"/>
                  <a:cs typeface="Calibri"/>
                </a:rPr>
                <a:t>Generates Summer Stats</a:t>
              </a:r>
            </a:p>
          </xdr:txBody>
        </xdr:sp>
        <xdr:clientData fPrintsWithSheet="0"/>
      </xdr:twoCellAnchor>
    </mc:Choice>
    <mc:Fallback/>
  </mc:AlternateContent>
  <xdr:twoCellAnchor>
    <xdr:from>
      <xdr:col>9</xdr:col>
      <xdr:colOff>161925</xdr:colOff>
      <xdr:row>13</xdr:row>
      <xdr:rowOff>114300</xdr:rowOff>
    </xdr:from>
    <xdr:to>
      <xdr:col>24</xdr:col>
      <xdr:colOff>19051</xdr:colOff>
      <xdr:row>28</xdr:row>
      <xdr:rowOff>85725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848350" y="2581275"/>
              <a:ext cx="8677276" cy="28765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95250</xdr:colOff>
      <xdr:row>0</xdr:row>
      <xdr:rowOff>53243</xdr:rowOff>
    </xdr:from>
    <xdr:to>
      <xdr:col>14</xdr:col>
      <xdr:colOff>542925</xdr:colOff>
      <xdr:row>2</xdr:row>
      <xdr:rowOff>114300</xdr:rowOff>
    </xdr:to>
    <xdr:sp macro="" textlink="">
      <xdr:nvSpPr>
        <xdr:cNvPr id="3" name="Rectangle: Rounded Corners 2">
          <a:extLst>
            <a:ext uri="{FF2B5EF4-FFF2-40B4-BE49-F238E27FC236}">
              <a16:creationId xmlns:a16="http://schemas.microsoft.com/office/drawing/2014/main" id="{00000000-0008-0000-0400-000003000000}"/>
            </a:ext>
          </a:extLst>
        </xdr:cNvPr>
        <xdr:cNvSpPr/>
      </xdr:nvSpPr>
      <xdr:spPr>
        <a:xfrm>
          <a:off x="7286625" y="53243"/>
          <a:ext cx="1666875" cy="327757"/>
        </a:xfrm>
        <a:prstGeom prst="roundRect">
          <a:avLst>
            <a:gd name="adj" fmla="val 18590"/>
          </a:avLst>
        </a:prstGeom>
        <a:solidFill>
          <a:schemeClr val="bg1"/>
        </a:solidFill>
        <a:ln>
          <a:noFill/>
        </a:ln>
        <a:effectLst>
          <a:outerShdw blurRad="63500" sx="102000" sy="102000" algn="ctr"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11</xdr:col>
      <xdr:colOff>285750</xdr:colOff>
      <xdr:row>0</xdr:row>
      <xdr:rowOff>57150</xdr:rowOff>
    </xdr:from>
    <xdr:to>
      <xdr:col>15</xdr:col>
      <xdr:colOff>387256</xdr:colOff>
      <xdr:row>2</xdr:row>
      <xdr:rowOff>114055</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6867525" y="57150"/>
          <a:ext cx="2539906" cy="323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200" b="1" i="1" u="none" strike="noStrike">
              <a:solidFill>
                <a:srgbClr val="000000"/>
              </a:solidFill>
              <a:latin typeface="+mn-lt"/>
              <a:cs typeface="Calibri"/>
            </a:rPr>
            <a:t>Data Analysis</a:t>
          </a:r>
          <a:r>
            <a:rPr lang="en-US" sz="2200" b="1" i="1" u="none" strike="noStrike" baseline="0">
              <a:solidFill>
                <a:srgbClr val="000000"/>
              </a:solidFill>
              <a:latin typeface="+mn-lt"/>
              <a:cs typeface="Calibri"/>
            </a:rPr>
            <a:t> </a:t>
          </a:r>
          <a:endParaRPr lang="en-US" sz="2000" b="1" i="1" u="none" strike="noStrike">
            <a:solidFill>
              <a:srgbClr val="000000"/>
            </a:solidFill>
            <a:latin typeface="+mn-lt"/>
            <a:cs typeface="Calibri"/>
          </a:endParaRPr>
        </a:p>
      </xdr:txBody>
    </xdr:sp>
    <xdr:clientData/>
  </xdr:twoCellAnchor>
  <xdr:twoCellAnchor>
    <xdr:from>
      <xdr:col>14</xdr:col>
      <xdr:colOff>502871</xdr:colOff>
      <xdr:row>12</xdr:row>
      <xdr:rowOff>197584</xdr:rowOff>
    </xdr:from>
    <xdr:to>
      <xdr:col>20</xdr:col>
      <xdr:colOff>361950</xdr:colOff>
      <xdr:row>15</xdr:row>
      <xdr:rowOff>19050</xdr:rowOff>
    </xdr:to>
    <xdr:sp macro="" textlink="">
      <xdr:nvSpPr>
        <xdr:cNvPr id="6" name="TextBox 19">
          <a:extLst>
            <a:ext uri="{FF2B5EF4-FFF2-40B4-BE49-F238E27FC236}">
              <a16:creationId xmlns:a16="http://schemas.microsoft.com/office/drawing/2014/main" id="{00000000-0008-0000-0400-000006000000}"/>
            </a:ext>
          </a:extLst>
        </xdr:cNvPr>
        <xdr:cNvSpPr txBox="1"/>
      </xdr:nvSpPr>
      <xdr:spPr>
        <a:xfrm>
          <a:off x="8913446" y="2464534"/>
          <a:ext cx="3516679" cy="421541"/>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2400" b="1" i="1">
              <a:solidFill>
                <a:srgbClr val="FFC000"/>
              </a:solidFill>
            </a:rPr>
            <a:t>Histogram</a:t>
          </a:r>
          <a:r>
            <a:rPr lang="en-CA" sz="2400" b="1" i="1" baseline="0">
              <a:solidFill>
                <a:srgbClr val="FFC000"/>
              </a:solidFill>
            </a:rPr>
            <a:t> ADR Frequency</a:t>
          </a:r>
          <a:endParaRPr lang="en-CA" sz="2400" b="1" i="1">
            <a:solidFill>
              <a:srgbClr val="FFC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1</xdr:row>
          <xdr:rowOff>0</xdr:rowOff>
        </xdr:from>
        <xdr:to>
          <xdr:col>9</xdr:col>
          <xdr:colOff>0</xdr:colOff>
          <xdr:row>1</xdr:row>
          <xdr:rowOff>161925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1" u="none" strike="noStrike" baseline="0">
                  <a:solidFill>
                    <a:srgbClr val="000000"/>
                  </a:solidFill>
                  <a:latin typeface="Calibri"/>
                  <a:cs typeface="Calibri"/>
                </a:rPr>
                <a:t>Generate Winter Stats</a:t>
              </a:r>
            </a:p>
          </xdr:txBody>
        </xdr:sp>
        <xdr:clientData fPrintsWithSheet="0"/>
      </xdr:twoCellAnchor>
    </mc:Choice>
    <mc:Fallback/>
  </mc:AlternateContent>
  <xdr:twoCellAnchor>
    <xdr:from>
      <xdr:col>17</xdr:col>
      <xdr:colOff>295275</xdr:colOff>
      <xdr:row>1</xdr:row>
      <xdr:rowOff>123825</xdr:rowOff>
    </xdr:from>
    <xdr:to>
      <xdr:col>23</xdr:col>
      <xdr:colOff>514350</xdr:colOff>
      <xdr:row>12</xdr:row>
      <xdr:rowOff>66675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9F8357E6-6386-4260-BB00-5C113765174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534650" y="190500"/>
              <a:ext cx="3876675" cy="214312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47625</xdr:colOff>
      <xdr:row>18</xdr:row>
      <xdr:rowOff>85725</xdr:rowOff>
    </xdr:from>
    <xdr:to>
      <xdr:col>8</xdr:col>
      <xdr:colOff>742950</xdr:colOff>
      <xdr:row>28</xdr:row>
      <xdr:rowOff>47625</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5C041389-9D7F-4C97-9E7B-B07DFCBE7E7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61925" y="3552825"/>
              <a:ext cx="5448300" cy="18669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228599</xdr:colOff>
      <xdr:row>18</xdr:row>
      <xdr:rowOff>66675</xdr:rowOff>
    </xdr:from>
    <xdr:to>
      <xdr:col>7</xdr:col>
      <xdr:colOff>66674</xdr:colOff>
      <xdr:row>19</xdr:row>
      <xdr:rowOff>133350</xdr:rowOff>
    </xdr:to>
    <xdr:sp macro="" textlink="">
      <xdr:nvSpPr>
        <xdr:cNvPr id="14" name="TextBox 19">
          <a:extLst>
            <a:ext uri="{FF2B5EF4-FFF2-40B4-BE49-F238E27FC236}">
              <a16:creationId xmlns:a16="http://schemas.microsoft.com/office/drawing/2014/main" id="{0E59E5F4-309E-41B0-95F4-2BB68FB7F81E}"/>
            </a:ext>
          </a:extLst>
        </xdr:cNvPr>
        <xdr:cNvSpPr txBox="1"/>
      </xdr:nvSpPr>
      <xdr:spPr>
        <a:xfrm>
          <a:off x="1762124" y="3533775"/>
          <a:ext cx="2562225" cy="257175"/>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600" b="1" i="1">
              <a:solidFill>
                <a:srgbClr val="FFC000"/>
              </a:solidFill>
            </a:rPr>
            <a:t>Booking</a:t>
          </a:r>
          <a:r>
            <a:rPr lang="en-CA" sz="1600" b="1" i="1" baseline="0">
              <a:solidFill>
                <a:srgbClr val="FFC000"/>
              </a:solidFill>
            </a:rPr>
            <a:t> Lead TIme by days</a:t>
          </a:r>
          <a:endParaRPr lang="en-CA" sz="1600" b="1" i="1">
            <a:solidFill>
              <a:srgbClr val="FFC000"/>
            </a:solidFill>
          </a:endParaRPr>
        </a:p>
      </xdr:txBody>
    </xdr:sp>
    <xdr:clientData/>
  </xdr:twoCellAnchor>
  <xdr:twoCellAnchor>
    <xdr:from>
      <xdr:col>19</xdr:col>
      <xdr:colOff>104775</xdr:colOff>
      <xdr:row>0</xdr:row>
      <xdr:rowOff>28575</xdr:rowOff>
    </xdr:from>
    <xdr:to>
      <xdr:col>22</xdr:col>
      <xdr:colOff>295275</xdr:colOff>
      <xdr:row>2</xdr:row>
      <xdr:rowOff>0</xdr:rowOff>
    </xdr:to>
    <xdr:sp macro="" textlink="">
      <xdr:nvSpPr>
        <xdr:cNvPr id="15" name="TextBox 19">
          <a:extLst>
            <a:ext uri="{FF2B5EF4-FFF2-40B4-BE49-F238E27FC236}">
              <a16:creationId xmlns:a16="http://schemas.microsoft.com/office/drawing/2014/main" id="{E0814D60-B619-42F6-979C-7DFAC1F7013F}"/>
            </a:ext>
          </a:extLst>
        </xdr:cNvPr>
        <xdr:cNvSpPr txBox="1"/>
      </xdr:nvSpPr>
      <xdr:spPr>
        <a:xfrm>
          <a:off x="11630025" y="28575"/>
          <a:ext cx="2019300" cy="238125"/>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400" b="1" i="1">
              <a:solidFill>
                <a:srgbClr val="FFC000"/>
              </a:solidFill>
            </a:rPr>
            <a:t>Boxplot</a:t>
          </a:r>
          <a:r>
            <a:rPr lang="en-CA" sz="1400" b="1" i="1" baseline="0">
              <a:solidFill>
                <a:srgbClr val="FFC000"/>
              </a:solidFill>
            </a:rPr>
            <a:t> </a:t>
          </a:r>
          <a:r>
            <a:rPr lang="en-CA" sz="1400" b="1" i="1">
              <a:solidFill>
                <a:srgbClr val="FFC000"/>
              </a:solidFill>
            </a:rPr>
            <a:t>ADR Analysis</a:t>
          </a:r>
        </a:p>
      </xdr:txBody>
    </xdr:sp>
    <xdr:clientData/>
  </xdr:twoCellAnchor>
  <xdr:twoCellAnchor>
    <xdr:from>
      <xdr:col>9</xdr:col>
      <xdr:colOff>95251</xdr:colOff>
      <xdr:row>2</xdr:row>
      <xdr:rowOff>133349</xdr:rowOff>
    </xdr:from>
    <xdr:to>
      <xdr:col>17</xdr:col>
      <xdr:colOff>152401</xdr:colOff>
      <xdr:row>12</xdr:row>
      <xdr:rowOff>152400</xdr:rowOff>
    </xdr:to>
    <xdr:sp macro="" textlink="">
      <xdr:nvSpPr>
        <xdr:cNvPr id="17" name="Rectangle: Rounded Corners 16">
          <a:extLst>
            <a:ext uri="{FF2B5EF4-FFF2-40B4-BE49-F238E27FC236}">
              <a16:creationId xmlns:a16="http://schemas.microsoft.com/office/drawing/2014/main" id="{760E726A-AF9C-45FE-838E-9B8469B54304}"/>
            </a:ext>
          </a:extLst>
        </xdr:cNvPr>
        <xdr:cNvSpPr/>
      </xdr:nvSpPr>
      <xdr:spPr>
        <a:xfrm>
          <a:off x="5781676" y="400049"/>
          <a:ext cx="4610100" cy="2019301"/>
        </a:xfrm>
        <a:prstGeom prst="roundRect">
          <a:avLst>
            <a:gd name="adj" fmla="val 540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CA" sz="1100"/>
        </a:p>
      </xdr:txBody>
    </xdr:sp>
    <xdr:clientData/>
  </xdr:twoCellAnchor>
  <xdr:twoCellAnchor>
    <xdr:from>
      <xdr:col>9</xdr:col>
      <xdr:colOff>190500</xdr:colOff>
      <xdr:row>2</xdr:row>
      <xdr:rowOff>190500</xdr:rowOff>
    </xdr:from>
    <xdr:to>
      <xdr:col>17</xdr:col>
      <xdr:colOff>0</xdr:colOff>
      <xdr:row>12</xdr:row>
      <xdr:rowOff>95250</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2CA0B375-5CA5-4A9D-8ED3-C71121A79E4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5876925" y="457200"/>
              <a:ext cx="4362450" cy="19050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209550</xdr:colOff>
      <xdr:row>2</xdr:row>
      <xdr:rowOff>104775</xdr:rowOff>
    </xdr:from>
    <xdr:to>
      <xdr:col>15</xdr:col>
      <xdr:colOff>400050</xdr:colOff>
      <xdr:row>3</xdr:row>
      <xdr:rowOff>142875</xdr:rowOff>
    </xdr:to>
    <xdr:sp macro="" textlink="">
      <xdr:nvSpPr>
        <xdr:cNvPr id="18" name="TextBox 19">
          <a:extLst>
            <a:ext uri="{FF2B5EF4-FFF2-40B4-BE49-F238E27FC236}">
              <a16:creationId xmlns:a16="http://schemas.microsoft.com/office/drawing/2014/main" id="{F8C1F7C2-CD4F-402D-94D6-6BC4FE4AAF2D}"/>
            </a:ext>
          </a:extLst>
        </xdr:cNvPr>
        <xdr:cNvSpPr txBox="1"/>
      </xdr:nvSpPr>
      <xdr:spPr>
        <a:xfrm>
          <a:off x="7400925" y="371475"/>
          <a:ext cx="2019300" cy="238125"/>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400" b="1" i="1">
              <a:solidFill>
                <a:srgbClr val="FFC000"/>
              </a:solidFill>
            </a:rPr>
            <a:t>No of Nights Analysis</a:t>
          </a:r>
        </a:p>
      </xdr:txBody>
    </xdr:sp>
    <xdr:clientData/>
  </xdr:twoCellAnchor>
  <xdr:twoCellAnchor>
    <xdr:from>
      <xdr:col>9</xdr:col>
      <xdr:colOff>76200</xdr:colOff>
      <xdr:row>1</xdr:row>
      <xdr:rowOff>85726</xdr:rowOff>
    </xdr:from>
    <xdr:to>
      <xdr:col>12</xdr:col>
      <xdr:colOff>161926</xdr:colOff>
      <xdr:row>2</xdr:row>
      <xdr:rowOff>123825</xdr:rowOff>
    </xdr:to>
    <xdr:sp macro="" textlink="">
      <xdr:nvSpPr>
        <xdr:cNvPr id="19" name="TextBox 19">
          <a:extLst>
            <a:ext uri="{FF2B5EF4-FFF2-40B4-BE49-F238E27FC236}">
              <a16:creationId xmlns:a16="http://schemas.microsoft.com/office/drawing/2014/main" id="{084FCA60-B2B5-44D7-89BB-FE2784762FF4}"/>
            </a:ext>
          </a:extLst>
        </xdr:cNvPr>
        <xdr:cNvSpPr txBox="1"/>
      </xdr:nvSpPr>
      <xdr:spPr>
        <a:xfrm>
          <a:off x="5762625" y="152401"/>
          <a:ext cx="1590676" cy="238124"/>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200" b="1" i="1">
              <a:solidFill>
                <a:srgbClr val="FFC000"/>
              </a:solidFill>
            </a:rPr>
            <a:t>May</a:t>
          </a:r>
          <a:r>
            <a:rPr lang="en-CA" sz="1200" b="1" i="1" baseline="0">
              <a:solidFill>
                <a:srgbClr val="FFC000"/>
              </a:solidFill>
            </a:rPr>
            <a:t> to Sep - Summer</a:t>
          </a:r>
          <a:endParaRPr lang="en-CA" sz="1200" b="1" i="1">
            <a:solidFill>
              <a:srgbClr val="FFC000"/>
            </a:solidFill>
          </a:endParaRPr>
        </a:p>
      </xdr:txBody>
    </xdr:sp>
    <xdr:clientData/>
  </xdr:twoCellAnchor>
  <xdr:twoCellAnchor>
    <xdr:from>
      <xdr:col>14</xdr:col>
      <xdr:colOff>504825</xdr:colOff>
      <xdr:row>1</xdr:row>
      <xdr:rowOff>85725</xdr:rowOff>
    </xdr:from>
    <xdr:to>
      <xdr:col>18</xdr:col>
      <xdr:colOff>85725</xdr:colOff>
      <xdr:row>2</xdr:row>
      <xdr:rowOff>123825</xdr:rowOff>
    </xdr:to>
    <xdr:sp macro="" textlink="">
      <xdr:nvSpPr>
        <xdr:cNvPr id="20" name="TextBox 19">
          <a:extLst>
            <a:ext uri="{FF2B5EF4-FFF2-40B4-BE49-F238E27FC236}">
              <a16:creationId xmlns:a16="http://schemas.microsoft.com/office/drawing/2014/main" id="{AFC12247-B1D8-46A0-B2CD-D3FE4CEC6897}"/>
            </a:ext>
          </a:extLst>
        </xdr:cNvPr>
        <xdr:cNvSpPr txBox="1"/>
      </xdr:nvSpPr>
      <xdr:spPr>
        <a:xfrm>
          <a:off x="8915400" y="152400"/>
          <a:ext cx="2019300" cy="238125"/>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200" b="1" i="1" baseline="0">
              <a:solidFill>
                <a:srgbClr val="FFC000"/>
              </a:solidFill>
            </a:rPr>
            <a:t>Oct to Mar - Winter</a:t>
          </a:r>
          <a:endParaRPr lang="en-CA" sz="1200" b="1" i="1">
            <a:solidFill>
              <a:srgbClr val="FFC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19050</xdr:colOff>
      <xdr:row>16</xdr:row>
      <xdr:rowOff>119062</xdr:rowOff>
    </xdr:from>
    <xdr:to>
      <xdr:col>27</xdr:col>
      <xdr:colOff>323850</xdr:colOff>
      <xdr:row>31</xdr:row>
      <xdr:rowOff>4762</xdr:rowOff>
    </xdr:to>
    <xdr:graphicFrame macro="">
      <xdr:nvGraphicFramePr>
        <xdr:cNvPr id="2" name="Chart 1">
          <a:extLst>
            <a:ext uri="{FF2B5EF4-FFF2-40B4-BE49-F238E27FC236}">
              <a16:creationId xmlns:a16="http://schemas.microsoft.com/office/drawing/2014/main" id="{6CA9D47C-B716-49CB-6494-7115ECC5E9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servations" refreshedDate="45892.596554976852" createdVersion="7" refreshedVersion="8" minRefreshableVersion="3" recordCount="199" xr:uid="{00000000-000A-0000-FFFF-FFFF12000000}">
  <cacheSource type="worksheet">
    <worksheetSource name="Table1"/>
  </cacheSource>
  <cacheFields count="25">
    <cacheField name="COMPANY " numFmtId="0">
      <sharedItems containsMixedTypes="1" containsNumber="1" minValue="0" maxValue="336.74" count="14">
        <s v="T- Agoda.com Company "/>
        <s v="M&amp;C / RESV/ OTHERS"/>
        <s v="C- UPS Supply Chain S"/>
        <s v="T- Booking.com"/>
        <s v="T- Expedia"/>
        <s v="C- ACWA POWER"/>
        <s v="C- Abu Dhabi Commerci"/>
        <s v="T- Desert Gate Touris"/>
        <s v="T- TRIPACTIONS"/>
        <s v="T- Almosafer Internat"/>
        <s v="T- Skymax Holidays c/"/>
        <s v="T- Darina Holidays"/>
        <n v="0" u="1"/>
        <n v="336.74" u="1"/>
      </sharedItems>
    </cacheField>
    <cacheField name="ENTERED ON " numFmtId="0">
      <sharedItems containsSemiMixedTypes="0" containsString="0" containsNumber="1" containsInteger="1" minValue="0" maxValue="1"/>
    </cacheField>
    <cacheField name="ENTERED ON BY " numFmtId="0">
      <sharedItems containsMixedTypes="1" containsNumber="1" containsInteger="1" minValue="0" maxValue="0" count="5">
        <s v="*INNLINK2WAY*"/>
        <s v="NITHIN"/>
        <s v="SAMI"/>
        <s v="JOY"/>
        <n v="0"/>
      </sharedItems>
    </cacheField>
    <cacheField name="ROOM TYPE" numFmtId="0">
      <sharedItems containsMixedTypes="1" containsNumber="1" containsInteger="1" minValue="0" maxValue="6" count="12">
        <s v="1BA"/>
        <s v="PM"/>
        <s v="BS"/>
        <s v="FS"/>
        <s v="SK"/>
        <n v="0"/>
        <n v="1" u="1"/>
        <n v="5" u="1"/>
        <n v="2" u="1"/>
        <n v="6" u="1"/>
        <n v="3" u="1"/>
        <n v="4" u="1"/>
      </sharedItems>
    </cacheField>
    <cacheField name="ERROR" numFmtId="0">
      <sharedItems containsSemiMixedTypes="0" containsString="0" containsNumber="1" containsInteger="1" minValue="0" maxValue="0"/>
    </cacheField>
    <cacheField name="CHECK" numFmtId="0">
      <sharedItems containsSemiMixedTypes="0" containsString="0" containsNumber="1" containsInteger="1" minValue="0" maxValue="1"/>
    </cacheField>
    <cacheField name="Amount" numFmtId="0">
      <sharedItems containsSemiMixedTypes="0" containsString="0" containsNumber="1" minValue="0" maxValue="2200"/>
    </cacheField>
    <cacheField name="Share Rev " numFmtId="10">
      <sharedItems containsSemiMixedTypes="0" containsString="0" containsNumber="1" minValue="0" maxValue="4.4034473708777125E-2"/>
    </cacheField>
    <cacheField name="Share RN" numFmtId="10">
      <sharedItems containsSemiMixedTypes="0" containsString="0" containsNumber="1" minValue="0" maxValue="4.2944785276073622E-2"/>
    </cacheField>
    <cacheField name="ADR " numFmtId="0">
      <sharedItems containsSemiMixedTypes="0" containsString="0" containsNumber="1" minValue="0" maxValue="637.56000000000006"/>
    </cacheField>
    <cacheField name="Check in " numFmtId="14">
      <sharedItems containsSemiMixedTypes="0" containsNonDate="0" containsDate="1" containsString="0" minDate="1899-12-30T00:00:00" maxDate="2026-09-07T00:00:00" count="331">
        <d v="2025-08-23T00:00:00"/>
        <d v="2025-08-24T00:00:00"/>
        <d v="2025-08-25T00:00:00"/>
        <d v="2025-08-26T00:00:00"/>
        <d v="2025-08-28T00:00:00"/>
        <d v="2025-09-01T00:00:00"/>
        <d v="2025-09-07T00:00:00"/>
        <d v="2025-09-24T00:00:00"/>
        <d v="2025-09-28T00:00:00"/>
        <d v="2025-10-01T00:00:00"/>
        <d v="2026-01-28T00:00:00"/>
        <d v="1899-12-30T00:00:00"/>
        <d v="2025-08-21T00:00:00" u="1"/>
        <d v="2025-08-22T00:00:00" u="1"/>
        <d v="2025-08-27T00:00:00" u="1"/>
        <d v="2025-09-02T00:00:00" u="1"/>
        <d v="2025-09-03T00:00:00" u="1"/>
        <d v="2025-09-09T00:00:00" u="1"/>
        <d v="2025-09-15T00:00:00" u="1"/>
        <d v="2025-09-17T00:00:00" u="1"/>
        <d v="2025-12-24T00:00:00" u="1"/>
        <d v="2026-01-03T00:00:00" u="1"/>
        <d v="2026-03-06T00:00:00" u="1"/>
        <d v="2025-08-29T00:00:00" u="1"/>
        <d v="2025-08-30T00:00:00" u="1"/>
        <d v="2025-09-06T00:00:00" u="1"/>
        <d v="2025-09-08T00:00:00" u="1"/>
        <d v="2025-09-10T00:00:00" u="1"/>
        <d v="2025-09-12T00:00:00" u="1"/>
        <d v="2025-09-13T00:00:00" u="1"/>
        <d v="2025-12-26T00:00:00" u="1"/>
        <d v="2025-09-16T00:00:00" u="1"/>
        <d v="2025-09-25T00:00:00" u="1"/>
        <d v="2025-11-03T00:00:00" u="1"/>
        <d v="2025-08-19T00:00:00" u="1"/>
        <d v="2025-08-20T00:00:00" u="1"/>
        <d v="2025-09-04T00:00:00" u="1"/>
        <d v="2025-09-05T00:00:00" u="1"/>
        <d v="2025-09-18T00:00:00" u="1"/>
        <d v="2025-10-21T00:00:00" u="1"/>
        <d v="2025-10-10T00:00:00" u="1"/>
        <d v="2025-11-05T00:00:00" u="1"/>
        <d v="2025-08-18T00:00:00" u="1"/>
        <d v="2025-09-20T00:00:00" u="1"/>
        <d v="2025-12-21T00:00:00" u="1"/>
        <d v="2025-11-07T00:00:00" u="1"/>
        <d v="2025-08-31T00:00:00" u="1"/>
        <d v="2025-10-25T00:00:00" u="1"/>
        <d v="2025-10-30T00:00:00" u="1"/>
        <d v="2025-11-09T00:00:00" u="1"/>
        <d v="2025-08-17T00:00:00" u="1"/>
        <d v="2025-09-23T00:00:00" u="1"/>
        <d v="2025-09-30T00:00:00" u="1"/>
        <d v="2025-12-28T00:00:00" u="1"/>
        <d v="2025-08-16T00:00:00" u="1"/>
        <d v="2025-12-22T00:00:00" u="1"/>
        <d v="2025-12-30T00:00:00" u="1"/>
        <d v="2025-08-15T00:00:00" u="1"/>
        <d v="2025-09-21T00:00:00" u="1"/>
        <d v="2025-10-04T00:00:00" u="1"/>
        <d v="2025-12-27T00:00:00" u="1"/>
        <d v="2025-08-14T00:00:00" u="1"/>
        <d v="2025-09-14T00:00:00" u="1"/>
        <d v="2025-10-08T00:00:00" u="1"/>
        <d v="2025-11-06T00:00:00" u="1"/>
        <d v="2025-09-19T00:00:00" u="1"/>
        <d v="2025-10-12T00:00:00" u="1"/>
        <d v="2025-11-17T00:00:00" u="1"/>
        <d v="2026-04-01T00:00:00" u="1"/>
        <d v="2025-08-12T00:00:00" u="1"/>
        <d v="2025-08-13T00:00:00" u="1"/>
        <d v="2025-09-22T00:00:00" u="1"/>
        <d v="2025-09-29T00:00:00" u="1"/>
        <d v="2025-12-10T00:00:00" u="1"/>
        <d v="2025-08-10T00:00:00" u="1"/>
        <d v="2025-08-11T00:00:00" u="1"/>
        <d v="2025-08-09T00:00:00" u="1"/>
        <d v="2025-09-27T00:00:00" u="1"/>
        <d v="2025-08-07T00:00:00" u="1"/>
        <d v="2025-08-08T00:00:00" u="1"/>
        <d v="2025-10-02T00:00:00" u="1"/>
        <d v="2025-10-05T00:00:00" u="1"/>
        <d v="2025-10-31T00:00:00" u="1"/>
        <d v="2025-11-01T00:00:00" u="1"/>
        <d v="2025-11-02T00:00:00" u="1"/>
        <d v="2025-11-25T00:00:00" u="1"/>
        <d v="2025-12-05T00:00:00" u="1"/>
        <d v="2025-08-06T00:00:00" u="1"/>
        <d v="2025-10-17T00:00:00" u="1"/>
        <d v="2026-01-26T00:00:00" u="1"/>
        <d v="2026-03-30T00:00:00" u="1"/>
        <d v="2026-04-04T00:00:00" u="1"/>
        <d v="2025-08-04T00:00:00" u="1"/>
        <d v="2025-08-05T00:00:00" u="1"/>
        <d v="2025-10-26T00:00:00" u="1"/>
        <d v="2026-02-16T00:00:00" u="1"/>
        <d v="2025-08-03T00:00:00" u="1"/>
        <d v="2025-08-02T00:00:00" u="1"/>
        <d v="2025-11-13T00:00:00" u="1"/>
        <d v="2026-01-11T00:00:00" u="1"/>
        <d v="2025-07-31T00:00:00" u="1"/>
        <d v="2025-08-01T00:00:00" u="1"/>
        <d v="2025-07-28T00:00:00" u="1"/>
        <d v="2025-10-16T00:00:00" u="1"/>
        <d v="2025-11-29T00:00:00" u="1"/>
        <d v="2025-07-30T00:00:00" u="1"/>
        <d v="2025-07-27T00:00:00" u="1"/>
        <d v="2025-10-27T00:00:00" u="1"/>
        <d v="2025-12-25T00:00:00" u="1"/>
        <d v="2026-01-01T00:00:00" u="1"/>
        <d v="2026-01-12T00:00:00" u="1"/>
        <d v="2026-01-14T00:00:00" u="1"/>
        <d v="2025-07-09T00:00:00" u="1"/>
        <d v="2025-07-29T00:00:00" u="1"/>
        <d v="2025-07-10T00:00:00" u="1"/>
        <d v="2025-10-11T00:00:00" u="1"/>
        <d v="2026-03-16T00:00:00" u="1"/>
        <d v="2026-09-06T00:00:00" u="1"/>
        <d v="2025-07-12T00:00:00" u="1"/>
        <d v="2025-07-13T00:00:00" u="1"/>
        <d v="2025-07-14T00:00:00" u="1"/>
        <d v="2025-07-15T00:00:00" u="1"/>
        <d v="2025-07-16T00:00:00" u="1"/>
        <d v="2025-07-18T00:00:00" u="1"/>
        <d v="2025-07-21T00:00:00" u="1"/>
        <d v="2025-07-23T00:00:00" u="1"/>
        <d v="2025-07-20T00:00:00" u="1"/>
        <d v="2025-07-22T00:00:00" u="1"/>
        <d v="2025-10-09T00:00:00" u="1"/>
        <d v="2025-10-18T00:00:00" u="1"/>
        <d v="2025-10-29T00:00:00" u="1"/>
        <d v="2025-11-14T00:00:00" u="1"/>
        <d v="2025-11-19T00:00:00" u="1"/>
        <d v="2025-12-16T00:00:00" u="1"/>
        <d v="2025-07-26T00:00:00" u="1"/>
        <d v="2025-07-17T00:00:00" u="1"/>
        <d v="2025-07-24T00:00:00" u="1"/>
        <d v="2025-07-25T00:00:00" u="1"/>
        <d v="2025-12-20T00:00:00" u="1"/>
        <d v="2025-12-23T00:00:00" u="1"/>
        <d v="2025-12-04T00:00:00" u="1"/>
        <d v="2026-01-09T00:00:00" u="1"/>
        <d v="2025-12-08T00:00:00" u="1"/>
        <d v="2026-01-07T00:00:00" u="1"/>
        <d v="1900-01-03T00:00:00" u="1"/>
        <d v="2026-02-17T00:00:00" u="1"/>
        <d v="2025-12-18T00:00:00" u="1"/>
        <d v="2026-01-25T00:00:00" u="1"/>
        <d v="2026-03-05T00:00:00" u="1"/>
        <d v="2025-07-19T00:00:00" u="1"/>
        <d v="2025-05-31T00:00:00" u="1"/>
        <d v="2025-12-19T00:00:00" u="1"/>
        <d v="2025-11-26T00:00:00" u="1"/>
        <d v="2025-09-11T00:00:00" u="1"/>
        <d v="2025-10-24T00:00:00" u="1"/>
        <d v="2026-04-18T00:00:00" u="1"/>
        <d v="2026-02-19T00:00:00" u="1"/>
        <d v="2026-04-23T00:00:00" u="1"/>
        <d v="2025-06-01T00:00:00" u="1"/>
        <d v="2025-06-06T00:00:00" u="1"/>
        <d v="2025-06-08T00:00:00" u="1"/>
        <d v="2025-06-09T00:00:00" u="1"/>
        <d v="2025-06-11T00:00:00" u="1"/>
        <d v="2025-06-15T00:00:00" u="1"/>
        <d v="2026-01-02T00:00:00" u="1"/>
        <d v="2025-06-02T00:00:00" u="1"/>
        <d v="2025-06-03T00:00:00" u="1"/>
        <d v="2025-06-05T00:00:00" u="1"/>
        <d v="2025-06-07T00:00:00" u="1"/>
        <d v="2025-06-10T00:00:00" u="1"/>
        <d v="2025-06-14T00:00:00" u="1"/>
        <d v="2025-06-16T00:00:00" u="1"/>
        <d v="2025-07-03T00:00:00" u="1"/>
        <d v="2025-05-29T00:00:00" u="1"/>
        <d v="2025-05-30T00:00:00" u="1"/>
        <d v="2025-05-28T00:00:00" u="1"/>
        <d v="2025-06-13T00:00:00" u="1"/>
        <d v="2025-06-17T00:00:00" u="1"/>
        <d v="2025-06-23T00:00:00" u="1"/>
        <d v="2025-06-04T00:00:00" u="1"/>
        <d v="2025-07-01T00:00:00" u="1"/>
        <d v="2025-06-18T00:00:00" u="1"/>
        <d v="2025-06-26T00:00:00" u="1"/>
        <d v="2025-06-28T00:00:00" u="1"/>
        <d v="2025-05-27T00:00:00" u="1"/>
        <d v="2025-06-12T00:00:00" u="1"/>
        <d v="2025-06-22T00:00:00" u="1"/>
        <d v="2025-07-04T00:00:00" u="1"/>
        <d v="2025-10-22T00:00:00" u="1"/>
        <d v="2025-07-05T00:00:00" u="1"/>
        <d v="2026-01-22T00:00:00" u="1"/>
        <d v="2026-03-29T00:00:00" u="1"/>
        <d v="2025-06-19T00:00:00" u="1"/>
        <d v="2025-06-29T00:00:00" u="1"/>
        <d v="2025-12-17T00:00:00" u="1"/>
        <d v="2025-06-20T00:00:00" u="1"/>
        <d v="2025-06-24T00:00:00" u="1"/>
        <d v="2025-06-27T00:00:00" u="1"/>
        <d v="2025-06-30T00:00:00" u="1"/>
        <d v="2025-07-11T00:00:00" u="1"/>
        <d v="2025-05-26T00:00:00" u="1"/>
        <d v="2026-03-14T00:00:00" u="1"/>
        <d v="2026-01-30T00:00:00" u="1"/>
        <d v="2025-05-24T00:00:00" u="1"/>
        <d v="2026-02-01T00:00:00" u="1"/>
        <d v="2025-05-25T00:00:00" u="1"/>
        <d v="2026-05-08T00:00:00" u="1"/>
        <d v="2025-05-22T00:00:00" u="1"/>
        <d v="2025-05-23T00:00:00" u="1"/>
        <d v="2025-07-07T00:00:00" u="1"/>
        <d v="2025-07-08T00:00:00" u="1"/>
        <d v="2025-10-23T00:00:00" u="1"/>
        <d v="2025-12-01T00:00:00" u="1"/>
        <d v="2025-05-21T00:00:00" u="1"/>
        <d v="2025-04-09T00:00:00" u="1"/>
        <d v="2026-02-20T00:00:00" u="1"/>
        <d v="2025-04-16T00:00:00" u="1"/>
        <d v="2026-03-21T00:00:00" u="1"/>
        <d v="2025-03-06T00:00:00" u="1"/>
        <d v="2025-03-07T00:00:00" u="1"/>
        <d v="2025-03-08T00:00:00" u="1"/>
        <d v="2025-03-10T00:00:00" u="1"/>
        <d v="2025-03-11T00:00:00" u="1"/>
        <d v="2025-03-12T00:00:00" u="1"/>
        <d v="2025-03-13T00:00:00" u="1"/>
        <d v="2025-03-14T00:00:00" u="1"/>
        <d v="2025-03-15T00:00:00" u="1"/>
        <d v="2025-03-16T00:00:00" u="1"/>
        <d v="2025-03-17T00:00:00" u="1"/>
        <d v="2025-03-18T00:00:00" u="1"/>
        <d v="2025-03-19T00:00:00" u="1"/>
        <d v="2025-03-21T00:00:00" u="1"/>
        <d v="2025-03-23T00:00:00" u="1"/>
        <d v="2025-03-30T00:00:00" u="1"/>
        <d v="2025-03-31T00:00:00" u="1"/>
        <d v="2025-04-02T00:00:00" u="1"/>
        <d v="2025-04-06T00:00:00" u="1"/>
        <d v="2025-04-07T00:00:00" u="1"/>
        <d v="2025-04-10T00:00:00" u="1"/>
        <d v="2025-04-12T00:00:00" u="1"/>
        <d v="2025-04-13T00:00:00" u="1"/>
        <d v="2025-04-15T00:00:00" u="1"/>
        <d v="2025-04-24T00:00:00" u="1"/>
        <d v="2025-04-26T00:00:00" u="1"/>
        <d v="2025-04-28T00:00:00" u="1"/>
        <d v="2025-04-29T00:00:00" u="1"/>
        <d v="2025-04-30T00:00:00" u="1"/>
        <d v="2025-05-10T00:00:00" u="1"/>
        <d v="2025-05-20T00:00:00" u="1"/>
        <d v="2025-12-12T00:00:00" u="1"/>
        <d v="2025-04-21T00:00:00" u="1"/>
        <d v="2025-04-14T00:00:00" u="1"/>
        <d v="2026-03-09T00:00:00" u="1"/>
        <d v="2025-03-28T00:00:00" u="1"/>
        <d v="2025-05-19T00:00:00" u="1"/>
        <d v="2025-03-02T00:00:00" u="1"/>
        <d v="2026-03-28T00:00:00" u="1"/>
        <d v="2025-05-12T00:00:00" u="1"/>
        <d v="2025-11-04T00:00:00" u="1"/>
        <d v="2026-01-04T00:00:00" u="1"/>
        <d v="2025-05-05T00:00:00" u="1"/>
        <d v="2025-02-28T00:00:00" u="1"/>
        <d v="2025-04-19T00:00:00" u="1"/>
        <d v="2025-12-02T00:00:00" u="1"/>
        <d v="2026-03-07T00:00:00" u="1"/>
        <d v="2025-05-17T00:00:00" u="1"/>
        <d v="2025-04-05T00:00:00" u="1"/>
        <d v="2025-12-14T00:00:00" u="1"/>
        <d v="2025-05-03T00:00:00" u="1"/>
        <d v="2025-04-17T00:00:00" u="1"/>
        <d v="2025-11-21T00:00:00" u="1"/>
        <d v="2025-03-05T00:00:00" u="1"/>
        <d v="2025-05-15T00:00:00" u="1"/>
        <d v="2025-10-28T00:00:00" u="1"/>
        <d v="2025-04-03T00:00:00" u="1"/>
        <d v="2025-05-08T00:00:00" u="1"/>
        <d v="2026-04-03T00:00:00" u="1"/>
        <d v="2025-04-22T00:00:00" u="1"/>
        <d v="2025-12-31T00:00:00" u="1"/>
        <d v="2025-05-01T00:00:00" u="1"/>
        <d v="2025-10-14T00:00:00" u="1"/>
        <d v="2026-05-01T00:00:00" u="1"/>
        <d v="2025-03-29T00:00:00" u="1"/>
        <d v="2025-06-25T00:00:00" u="1"/>
        <d v="2025-10-07T00:00:00" u="1"/>
        <d v="2025-04-08T00:00:00" u="1"/>
        <d v="2025-11-12T00:00:00" u="1"/>
        <d v="2026-03-03T00:00:00" u="1"/>
        <d v="2025-05-13T00:00:00" u="1"/>
        <d v="2025-04-27T00:00:00" u="1"/>
        <d v="2025-04-01T00:00:00" u="1"/>
        <d v="2025-05-06T00:00:00" u="1"/>
        <d v="2025-04-20T00:00:00" u="1"/>
        <d v="2026-01-24T00:00:00" u="1"/>
        <d v="2026-03-15T00:00:00" u="1"/>
        <d v="2025-12-29T00:00:00" u="1"/>
        <d v="2025-03-27T00:00:00" u="1"/>
        <d v="2025-05-18T00:00:00" u="1"/>
        <d v="2025-03-01T00:00:00" u="1"/>
        <d v="2026-03-27T00:00:00" u="1"/>
        <d v="2026-03-01T00:00:00" u="1"/>
        <d v="2025-05-11T00:00:00" u="1"/>
        <d v="2025-07-02T00:00:00" u="1"/>
        <d v="2025-12-15T00:00:00" u="1"/>
        <d v="2025-04-25T00:00:00" u="1"/>
        <d v="2025-05-04T00:00:00" u="1"/>
        <d v="2025-02-27T00:00:00" u="1"/>
        <d v="2025-04-18T00:00:00" u="1"/>
        <d v="2026-02-27T00:00:00" u="1"/>
        <d v="2025-04-11T00:00:00" u="1"/>
        <d v="2025-11-15T00:00:00" u="1"/>
        <d v="2026-01-15T00:00:00" u="1"/>
        <d v="2025-05-16T00:00:00" u="1"/>
        <d v="2025-04-04T00:00:00" u="1"/>
        <d v="2025-11-08T00:00:00" u="1"/>
        <d v="2025-05-09T00:00:00" u="1"/>
        <d v="2025-12-13T00:00:00" u="1"/>
        <d v="2025-04-23T00:00:00" u="1"/>
        <d v="2026-03-18T00:00:00" u="1"/>
        <d v="2025-05-02T00:00:00" u="1"/>
        <d v="2025-10-15T00:00:00" u="1"/>
        <d v="2025-11-20T00:00:00" u="1"/>
        <d v="2026-01-20T00:00:00" u="1"/>
        <d v="2025-03-04T00:00:00" u="1"/>
        <d v="2026-03-04T00:00:00" u="1"/>
        <d v="2025-05-14T00:00:00" u="1"/>
        <d v="2026-04-09T00:00:00" u="1"/>
        <d v="2026-03-23T00:00:00" u="1"/>
        <d v="2025-05-07T00:00:00" u="1"/>
        <d v="2025-10-20T00:00:00" u="1"/>
        <d v="2026-04-02T00:00:00" u="1"/>
      </sharedItems>
    </cacheField>
    <cacheField name="Check out " numFmtId="14">
      <sharedItems containsSemiMixedTypes="0" containsNonDate="0" containsDate="1" containsString="0" minDate="1899-12-30T00:00:00" maxDate="2026-02-01T00:00:00"/>
    </cacheField>
    <cacheField name="NIGHTS" numFmtId="0">
      <sharedItems containsSemiMixedTypes="0" containsString="0" containsNumber="1" containsInteger="1" minValue="0" maxValue="7"/>
    </cacheField>
    <cacheField name="JAN" numFmtId="0">
      <sharedItems containsNonDate="0" containsString="0" containsBlank="1"/>
    </cacheField>
    <cacheField name="FEB" numFmtId="0">
      <sharedItems containsSemiMixedTypes="0" containsString="0" containsNumber="1" containsInteger="1" minValue="0" maxValue="0"/>
    </cacheField>
    <cacheField name="MAR" numFmtId="0">
      <sharedItems containsSemiMixedTypes="0" containsString="0" containsNumber="1" containsInteger="1" minValue="0" maxValue="0"/>
    </cacheField>
    <cacheField name="APR" numFmtId="0">
      <sharedItems containsSemiMixedTypes="0" containsString="0" containsNumber="1" containsInteger="1" minValue="0" maxValue="0"/>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0"/>
    </cacheField>
    <cacheField name="JUL" numFmtId="0">
      <sharedItems containsSemiMixedTypes="0" containsString="0" containsNumber="1" containsInteger="1" minValue="0" maxValue="0"/>
    </cacheField>
    <cacheField name="AUG" numFmtId="0">
      <sharedItems containsSemiMixedTypes="0" containsString="0" containsNumber="1" containsInteger="1" minValue="0" maxValue="6"/>
    </cacheField>
    <cacheField name="SEP" numFmtId="0">
      <sharedItems containsSemiMixedTypes="0" containsString="0" containsNumber="1" containsInteger="1" minValue="0" maxValue="7"/>
    </cacheField>
    <cacheField name="OCT" numFmtId="0">
      <sharedItems containsSemiMixedTypes="0" containsString="0" containsNumber="1" containsInteger="1" minValue="0" maxValue="2"/>
    </cacheField>
    <cacheField name="NOV" numFmtId="0">
      <sharedItems containsSemiMixedTypes="0" containsString="0" containsNumber="1" containsInteger="1" minValue="0" maxValue="0"/>
    </cacheField>
    <cacheField name="DE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0183676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
  <r>
    <x v="0"/>
    <n v="1"/>
    <x v="0"/>
    <x v="0"/>
    <n v="0"/>
    <n v="1"/>
    <n v="341.077"/>
    <n v="6.8268846314402621E-3"/>
    <n v="6.1349693251533744E-3"/>
    <n v="341.077"/>
    <x v="0"/>
    <d v="2025-08-24T00:00:00"/>
    <n v="1"/>
    <m/>
    <n v="0"/>
    <n v="0"/>
    <n v="0"/>
    <n v="0"/>
    <n v="0"/>
    <n v="0"/>
    <n v="1"/>
    <n v="0"/>
    <n v="0"/>
    <n v="0"/>
    <n v="0"/>
  </r>
  <r>
    <x v="1"/>
    <n v="1"/>
    <x v="1"/>
    <x v="1"/>
    <n v="0"/>
    <n v="0"/>
    <n v="0"/>
    <n v="0"/>
    <n v="0"/>
    <n v="0"/>
    <x v="0"/>
    <d v="2025-08-23T00:00:00"/>
    <n v="0"/>
    <m/>
    <n v="0"/>
    <n v="0"/>
    <n v="0"/>
    <n v="0"/>
    <n v="0"/>
    <n v="0"/>
    <n v="0"/>
    <n v="0"/>
    <n v="0"/>
    <n v="0"/>
    <n v="0"/>
  </r>
  <r>
    <x v="2"/>
    <n v="1"/>
    <x v="2"/>
    <x v="2"/>
    <n v="0"/>
    <n v="0"/>
    <n v="467.50000000000006"/>
    <n v="9.3573256631151406E-3"/>
    <n v="6.1349693251533744E-3"/>
    <n v="467.50000000000006"/>
    <x v="0"/>
    <d v="2025-08-24T00:00:00"/>
    <n v="1"/>
    <m/>
    <n v="0"/>
    <n v="0"/>
    <n v="0"/>
    <n v="0"/>
    <n v="0"/>
    <n v="0"/>
    <n v="1"/>
    <n v="0"/>
    <n v="0"/>
    <n v="0"/>
    <n v="0"/>
  </r>
  <r>
    <x v="1"/>
    <n v="1"/>
    <x v="1"/>
    <x v="1"/>
    <n v="0"/>
    <n v="0"/>
    <n v="0"/>
    <n v="0"/>
    <n v="0"/>
    <n v="0"/>
    <x v="0"/>
    <d v="2025-08-23T00:00:00"/>
    <n v="0"/>
    <m/>
    <n v="0"/>
    <n v="0"/>
    <n v="0"/>
    <n v="0"/>
    <n v="0"/>
    <n v="0"/>
    <n v="0"/>
    <n v="0"/>
    <n v="0"/>
    <n v="0"/>
    <n v="0"/>
  </r>
  <r>
    <x v="0"/>
    <n v="1"/>
    <x v="0"/>
    <x v="3"/>
    <n v="0"/>
    <n v="0"/>
    <n v="186.04300000000001"/>
    <n v="3.7237752691827381E-3"/>
    <n v="6.1349693251533744E-3"/>
    <n v="186.04300000000001"/>
    <x v="0"/>
    <d v="2025-08-24T00:00:00"/>
    <n v="1"/>
    <m/>
    <n v="0"/>
    <n v="0"/>
    <n v="0"/>
    <n v="0"/>
    <n v="0"/>
    <n v="0"/>
    <n v="1"/>
    <n v="0"/>
    <n v="0"/>
    <n v="0"/>
    <n v="0"/>
  </r>
  <r>
    <x v="3"/>
    <n v="1"/>
    <x v="0"/>
    <x v="0"/>
    <n v="0"/>
    <n v="0"/>
    <n v="0"/>
    <n v="0"/>
    <n v="0"/>
    <n v="0"/>
    <x v="0"/>
    <d v="2025-08-23T00:00:00"/>
    <n v="0"/>
    <m/>
    <n v="0"/>
    <n v="0"/>
    <n v="0"/>
    <n v="0"/>
    <n v="0"/>
    <n v="0"/>
    <n v="0"/>
    <n v="0"/>
    <n v="0"/>
    <n v="0"/>
    <n v="0"/>
  </r>
  <r>
    <x v="3"/>
    <n v="1"/>
    <x v="0"/>
    <x v="0"/>
    <n v="0"/>
    <n v="0"/>
    <n v="0"/>
    <n v="0"/>
    <n v="0"/>
    <n v="0"/>
    <x v="0"/>
    <d v="2025-08-23T00:00:00"/>
    <n v="0"/>
    <m/>
    <n v="0"/>
    <n v="0"/>
    <n v="0"/>
    <n v="0"/>
    <n v="0"/>
    <n v="0"/>
    <n v="0"/>
    <n v="0"/>
    <n v="0"/>
    <n v="0"/>
    <n v="0"/>
  </r>
  <r>
    <x v="4"/>
    <n v="1"/>
    <x v="0"/>
    <x v="4"/>
    <n v="0"/>
    <n v="0"/>
    <n v="594"/>
    <n v="1.1889307901369824E-2"/>
    <n v="1.2269938650306749E-2"/>
    <n v="297"/>
    <x v="1"/>
    <d v="2025-08-26T00:00:00"/>
    <n v="2"/>
    <m/>
    <n v="0"/>
    <n v="0"/>
    <n v="0"/>
    <n v="0"/>
    <n v="0"/>
    <n v="0"/>
    <n v="2"/>
    <n v="0"/>
    <n v="0"/>
    <n v="0"/>
    <n v="0"/>
  </r>
  <r>
    <x v="5"/>
    <n v="1"/>
    <x v="3"/>
    <x v="2"/>
    <n v="0"/>
    <n v="0"/>
    <n v="2200"/>
    <n v="4.4034473708777125E-2"/>
    <n v="2.4539877300613498E-2"/>
    <n v="550"/>
    <x v="1"/>
    <d v="2025-08-28T00:00:00"/>
    <n v="4"/>
    <m/>
    <n v="0"/>
    <n v="0"/>
    <n v="0"/>
    <n v="0"/>
    <n v="0"/>
    <n v="0"/>
    <n v="4"/>
    <n v="0"/>
    <n v="0"/>
    <n v="0"/>
    <n v="0"/>
  </r>
  <r>
    <x v="3"/>
    <n v="1"/>
    <x v="0"/>
    <x v="4"/>
    <n v="0"/>
    <n v="0"/>
    <n v="554.40000000000009"/>
    <n v="1.1096687374611837E-2"/>
    <n v="1.2269938650306749E-2"/>
    <n v="277.20000000000005"/>
    <x v="1"/>
    <d v="2025-08-26T00:00:00"/>
    <n v="2"/>
    <m/>
    <n v="0"/>
    <n v="0"/>
    <n v="0"/>
    <n v="0"/>
    <n v="0"/>
    <n v="0"/>
    <n v="2"/>
    <n v="0"/>
    <n v="0"/>
    <n v="0"/>
    <n v="0"/>
  </r>
  <r>
    <x v="6"/>
    <n v="1"/>
    <x v="2"/>
    <x v="2"/>
    <n v="0"/>
    <n v="0"/>
    <n v="605"/>
    <n v="1.210948026991371E-2"/>
    <n v="6.1349693251533744E-3"/>
    <n v="605"/>
    <x v="1"/>
    <d v="2025-08-25T00:00:00"/>
    <n v="1"/>
    <m/>
    <n v="0"/>
    <n v="0"/>
    <n v="0"/>
    <n v="0"/>
    <n v="0"/>
    <n v="0"/>
    <n v="1"/>
    <n v="0"/>
    <n v="0"/>
    <n v="0"/>
    <n v="0"/>
  </r>
  <r>
    <x v="4"/>
    <n v="1"/>
    <x v="0"/>
    <x v="4"/>
    <n v="0"/>
    <n v="0"/>
    <n v="1320"/>
    <n v="2.6420684225266278E-2"/>
    <n v="3.0674846625766871E-2"/>
    <n v="264"/>
    <x v="1"/>
    <d v="2025-08-29T00:00:00"/>
    <n v="5"/>
    <m/>
    <n v="0"/>
    <n v="0"/>
    <n v="0"/>
    <n v="0"/>
    <n v="0"/>
    <n v="0"/>
    <n v="5"/>
    <n v="0"/>
    <n v="0"/>
    <n v="0"/>
    <n v="0"/>
  </r>
  <r>
    <x v="5"/>
    <n v="1"/>
    <x v="3"/>
    <x v="2"/>
    <n v="0"/>
    <n v="0"/>
    <n v="2200"/>
    <n v="4.4034473708777125E-2"/>
    <n v="2.4539877300613498E-2"/>
    <n v="550"/>
    <x v="2"/>
    <d v="2025-08-29T00:00:00"/>
    <n v="4"/>
    <m/>
    <n v="0"/>
    <n v="0"/>
    <n v="0"/>
    <n v="0"/>
    <n v="0"/>
    <n v="0"/>
    <n v="4"/>
    <n v="0"/>
    <n v="0"/>
    <n v="0"/>
    <n v="0"/>
  </r>
  <r>
    <x v="7"/>
    <n v="1"/>
    <x v="3"/>
    <x v="4"/>
    <n v="0"/>
    <n v="0"/>
    <n v="1753.5980000000002"/>
    <n v="3.5099438648529165E-2"/>
    <n v="4.2944785276073622E-2"/>
    <n v="250.51400000000004"/>
    <x v="3"/>
    <d v="2025-09-02T00:00:00"/>
    <n v="7"/>
    <m/>
    <n v="0"/>
    <n v="0"/>
    <n v="0"/>
    <n v="0"/>
    <n v="0"/>
    <n v="0"/>
    <n v="6"/>
    <n v="1"/>
    <n v="0"/>
    <n v="0"/>
    <n v="0"/>
  </r>
  <r>
    <x v="3"/>
    <n v="1"/>
    <x v="0"/>
    <x v="4"/>
    <n v="0"/>
    <n v="0"/>
    <n v="277.20000000000005"/>
    <n v="5.5483436873059186E-3"/>
    <n v="6.1349693251533744E-3"/>
    <n v="277.20000000000005"/>
    <x v="4"/>
    <d v="2025-08-29T00:00:00"/>
    <n v="1"/>
    <m/>
    <n v="0"/>
    <n v="0"/>
    <n v="0"/>
    <n v="0"/>
    <n v="0"/>
    <n v="0"/>
    <n v="1"/>
    <n v="0"/>
    <n v="0"/>
    <n v="0"/>
    <n v="0"/>
  </r>
  <r>
    <x v="3"/>
    <n v="1"/>
    <x v="0"/>
    <x v="4"/>
    <n v="0"/>
    <n v="0"/>
    <n v="475.20000000000005"/>
    <n v="9.5114463210958598E-3"/>
    <n v="1.2269938650306749E-2"/>
    <n v="237.60000000000002"/>
    <x v="4"/>
    <d v="2025-08-30T00:00:00"/>
    <n v="2"/>
    <m/>
    <n v="0"/>
    <n v="0"/>
    <n v="0"/>
    <n v="0"/>
    <n v="0"/>
    <n v="0"/>
    <n v="2"/>
    <n v="0"/>
    <n v="0"/>
    <n v="0"/>
    <n v="0"/>
  </r>
  <r>
    <x v="3"/>
    <n v="1"/>
    <x v="0"/>
    <x v="4"/>
    <n v="0"/>
    <n v="0"/>
    <n v="1865.16"/>
    <n v="3.7332426810301252E-2"/>
    <n v="4.2944785276073622E-2"/>
    <n v="266.45142857142861"/>
    <x v="5"/>
    <d v="2025-09-08T00:00:00"/>
    <n v="7"/>
    <m/>
    <n v="0"/>
    <n v="0"/>
    <n v="0"/>
    <n v="0"/>
    <n v="0"/>
    <n v="0"/>
    <n v="0"/>
    <n v="7"/>
    <n v="0"/>
    <n v="0"/>
    <n v="0"/>
  </r>
  <r>
    <x v="8"/>
    <n v="1"/>
    <x v="0"/>
    <x v="4"/>
    <n v="0"/>
    <n v="0"/>
    <n v="963.6"/>
    <n v="1.9287099484444382E-2"/>
    <n v="1.8404907975460124E-2"/>
    <n v="321.2"/>
    <x v="6"/>
    <d v="2025-09-10T00:00:00"/>
    <n v="3"/>
    <m/>
    <n v="0"/>
    <n v="0"/>
    <n v="0"/>
    <n v="0"/>
    <n v="0"/>
    <n v="0"/>
    <n v="0"/>
    <n v="3"/>
    <n v="0"/>
    <n v="0"/>
    <n v="0"/>
  </r>
  <r>
    <x v="9"/>
    <n v="1"/>
    <x v="3"/>
    <x v="4"/>
    <n v="0"/>
    <n v="0"/>
    <n v="538.79100000000005"/>
    <n v="1.0784262783648064E-2"/>
    <n v="1.8404907975460124E-2"/>
    <n v="179.59700000000001"/>
    <x v="7"/>
    <d v="2025-09-27T00:00:00"/>
    <n v="3"/>
    <m/>
    <n v="0"/>
    <n v="0"/>
    <n v="0"/>
    <n v="0"/>
    <n v="0"/>
    <n v="0"/>
    <n v="0"/>
    <n v="3"/>
    <n v="0"/>
    <n v="0"/>
    <n v="0"/>
  </r>
  <r>
    <x v="9"/>
    <n v="1"/>
    <x v="3"/>
    <x v="4"/>
    <n v="0"/>
    <n v="0"/>
    <n v="359.19400000000007"/>
    <n v="7.1895085224320428E-3"/>
    <n v="1.2269938650306749E-2"/>
    <n v="179.59700000000004"/>
    <x v="7"/>
    <d v="2025-09-26T00:00:00"/>
    <n v="2"/>
    <m/>
    <n v="0"/>
    <n v="0"/>
    <n v="0"/>
    <n v="0"/>
    <n v="0"/>
    <n v="0"/>
    <n v="0"/>
    <n v="2"/>
    <n v="0"/>
    <n v="0"/>
    <n v="0"/>
  </r>
  <r>
    <x v="10"/>
    <n v="1"/>
    <x v="3"/>
    <x v="4"/>
    <n v="0"/>
    <n v="0"/>
    <n v="1364.9349999999999"/>
    <n v="2.7320088350768049E-2"/>
    <n v="3.0674846625766871E-2"/>
    <n v="272.98699999999997"/>
    <x v="8"/>
    <d v="2025-10-03T00:00:00"/>
    <n v="5"/>
    <m/>
    <n v="0"/>
    <n v="0"/>
    <n v="0"/>
    <n v="0"/>
    <n v="0"/>
    <n v="0"/>
    <n v="0"/>
    <n v="3"/>
    <n v="2"/>
    <n v="0"/>
    <n v="0"/>
  </r>
  <r>
    <x v="11"/>
    <n v="1"/>
    <x v="3"/>
    <x v="4"/>
    <n v="0"/>
    <n v="0"/>
    <n v="413.072"/>
    <n v="8.2679127835599935E-3"/>
    <n v="6.1349693251533744E-3"/>
    <n v="413.072"/>
    <x v="9"/>
    <d v="2025-10-02T00:00:00"/>
    <n v="1"/>
    <m/>
    <n v="0"/>
    <n v="0"/>
    <n v="0"/>
    <n v="0"/>
    <n v="0"/>
    <n v="0"/>
    <n v="0"/>
    <n v="0"/>
    <n v="1"/>
    <n v="0"/>
    <n v="0"/>
  </r>
  <r>
    <x v="7"/>
    <n v="1"/>
    <x v="3"/>
    <x v="4"/>
    <n v="0"/>
    <n v="0"/>
    <n v="1912.68"/>
    <n v="3.8283571442410839E-2"/>
    <n v="1.8404907975460124E-2"/>
    <n v="637.56000000000006"/>
    <x v="10"/>
    <d v="2026-01-31T00:00:00"/>
    <n v="3"/>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r>
    <x v="1"/>
    <n v="0"/>
    <x v="4"/>
    <x v="5"/>
    <n v="0"/>
    <n v="0"/>
    <n v="0"/>
    <n v="0"/>
    <n v="0"/>
    <n v="0"/>
    <x v="11"/>
    <d v="1899-12-30T00:00:00"/>
    <n v="0"/>
    <m/>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1" cacheId="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Rooms">
  <location ref="B100:D107" firstHeaderRow="0" firstDataRow="1" firstDataCol="1"/>
  <pivotFields count="25">
    <pivotField showAll="0"/>
    <pivotField dataField="1" showAll="0"/>
    <pivotField showAll="0"/>
    <pivotField axis="axisRow" showAll="0">
      <items count="13">
        <item x="5"/>
        <item m="1" x="6"/>
        <item m="1" x="8"/>
        <item m="1" x="7"/>
        <item m="1" x="11"/>
        <item m="1" x="10"/>
        <item m="1" x="9"/>
        <item x="4"/>
        <item x="0"/>
        <item x="1"/>
        <item x="2"/>
        <item x="3"/>
        <item t="default"/>
      </items>
    </pivotField>
    <pivotField showAll="0"/>
    <pivotField showAll="0"/>
    <pivotField showAll="0"/>
    <pivotField numFmtId="10" showAll="0"/>
    <pivotField numFmtId="10" showAll="0"/>
    <pivotField showAll="0"/>
    <pivotField numFmtId="14" showAll="0"/>
    <pivotField numFmtId="14"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7">
    <i>
      <x/>
    </i>
    <i>
      <x v="7"/>
    </i>
    <i>
      <x v="8"/>
    </i>
    <i>
      <x v="9"/>
    </i>
    <i>
      <x v="10"/>
    </i>
    <i>
      <x v="11"/>
    </i>
    <i t="grand">
      <x/>
    </i>
  </rowItems>
  <colFields count="1">
    <field x="-2"/>
  </colFields>
  <colItems count="2">
    <i>
      <x/>
    </i>
    <i i="1">
      <x v="1"/>
    </i>
  </colItems>
  <dataFields count="2">
    <dataField name="Room Nights" fld="12" baseField="0" baseItem="0"/>
    <dataField name="Entered No" fld="1" baseField="0" baseItem="0"/>
  </dataFields>
  <formats count="35">
    <format dxfId="165">
      <pivotArea type="all" dataOnly="0" outline="0" fieldPosition="0"/>
    </format>
    <format dxfId="164">
      <pivotArea dataOnly="0" labelOnly="1" outline="0" fieldPosition="0">
        <references count="1">
          <reference field="4294967294" count="1">
            <x v="0"/>
          </reference>
        </references>
      </pivotArea>
    </format>
    <format dxfId="163">
      <pivotArea type="all" dataOnly="0" outline="0" fieldPosition="0"/>
    </format>
    <format dxfId="162">
      <pivotArea dataOnly="0" labelOnly="1" outline="0" fieldPosition="0">
        <references count="1">
          <reference field="4294967294" count="1">
            <x v="0"/>
          </reference>
        </references>
      </pivotArea>
    </format>
    <format dxfId="161">
      <pivotArea dataOnly="0" labelOnly="1" outline="0" fieldPosition="0">
        <references count="1">
          <reference field="4294967294" count="1">
            <x v="0"/>
          </reference>
        </references>
      </pivotArea>
    </format>
    <format dxfId="160">
      <pivotArea outline="0" collapsedLevelsAreSubtotals="1" fieldPosition="0">
        <references count="1">
          <reference field="4294967294" count="1" selected="0">
            <x v="0"/>
          </reference>
        </references>
      </pivotArea>
    </format>
    <format dxfId="159">
      <pivotArea type="all" dataOnly="0" outline="0" fieldPosition="0"/>
    </format>
    <format dxfId="158">
      <pivotArea outline="0" collapsedLevelsAreSubtotals="1" fieldPosition="0"/>
    </format>
    <format dxfId="157">
      <pivotArea dataOnly="0" labelOnly="1" grandRow="1" outline="0" fieldPosition="0"/>
    </format>
    <format dxfId="156">
      <pivotArea dataOnly="0" labelOnly="1" outline="0" fieldPosition="0">
        <references count="1">
          <reference field="4294967294" count="1">
            <x v="0"/>
          </reference>
        </references>
      </pivotArea>
    </format>
    <format dxfId="155">
      <pivotArea type="all" dataOnly="0" outline="0" fieldPosition="0"/>
    </format>
    <format dxfId="154">
      <pivotArea type="all" dataOnly="0" outline="0" fieldPosition="0"/>
    </format>
    <format dxfId="153">
      <pivotArea outline="0" collapsedLevelsAreSubtotals="1" fieldPosition="0"/>
    </format>
    <format dxfId="152">
      <pivotArea dataOnly="0" labelOnly="1" outline="0" fieldPosition="0">
        <references count="1">
          <reference field="4294967294" count="1">
            <x v="0"/>
          </reference>
        </references>
      </pivotArea>
    </format>
    <format dxfId="151">
      <pivotArea dataOnly="0" labelOnly="1" grandRow="1" outline="0" fieldPosition="0"/>
    </format>
    <format dxfId="150">
      <pivotArea dataOnly="0" grandRow="1" axis="axisRow" fieldPosition="0"/>
    </format>
    <format dxfId="149">
      <pivotArea type="all" dataOnly="0" outline="0" fieldPosition="0"/>
    </format>
    <format dxfId="148">
      <pivotArea outline="0" collapsedLevelsAreSubtotals="1" fieldPosition="0"/>
    </format>
    <format dxfId="147">
      <pivotArea field="3" type="button" dataOnly="0" labelOnly="1" outline="0" axis="axisRow" fieldPosition="0"/>
    </format>
    <format dxfId="146">
      <pivotArea dataOnly="0" labelOnly="1" fieldPosition="0">
        <references count="1">
          <reference field="3" count="0"/>
        </references>
      </pivotArea>
    </format>
    <format dxfId="145">
      <pivotArea dataOnly="0" labelOnly="1" grandRow="1" outline="0" fieldPosition="0"/>
    </format>
    <format dxfId="144">
      <pivotArea dataOnly="0" labelOnly="1" outline="0" fieldPosition="0">
        <references count="1">
          <reference field="4294967294" count="2">
            <x v="0"/>
            <x v="1"/>
          </reference>
        </references>
      </pivotArea>
    </format>
    <format dxfId="143">
      <pivotArea type="all" dataOnly="0" outline="0" fieldPosition="0"/>
    </format>
    <format dxfId="142">
      <pivotArea outline="0" collapsedLevelsAreSubtotals="1" fieldPosition="0"/>
    </format>
    <format dxfId="141">
      <pivotArea dataOnly="0" labelOnly="1" fieldPosition="0">
        <references count="1">
          <reference field="3" count="0"/>
        </references>
      </pivotArea>
    </format>
    <format dxfId="140">
      <pivotArea field="3" type="button" dataOnly="0" labelOnly="1" outline="0" axis="axisRow" fieldPosition="0"/>
    </format>
    <format dxfId="139">
      <pivotArea dataOnly="0" labelOnly="1" outline="0" fieldPosition="0">
        <references count="1">
          <reference field="4294967294" count="2">
            <x v="0"/>
            <x v="1"/>
          </reference>
        </references>
      </pivotArea>
    </format>
    <format dxfId="138">
      <pivotArea grandRow="1" outline="0" collapsedLevelsAreSubtotals="1" fieldPosition="0"/>
    </format>
    <format dxfId="137">
      <pivotArea dataOnly="0" labelOnly="1" grandRow="1" outline="0" fieldPosition="0"/>
    </format>
    <format dxfId="136">
      <pivotArea type="all" dataOnly="0" outline="0" fieldPosition="0"/>
    </format>
    <format dxfId="135">
      <pivotArea outline="0" collapsedLevelsAreSubtotals="1" fieldPosition="0"/>
    </format>
    <format dxfId="134">
      <pivotArea field="3" type="button" dataOnly="0" labelOnly="1" outline="0" axis="axisRow" fieldPosition="0"/>
    </format>
    <format dxfId="133">
      <pivotArea dataOnly="0" labelOnly="1" fieldPosition="0">
        <references count="1">
          <reference field="3" count="0"/>
        </references>
      </pivotArea>
    </format>
    <format dxfId="132">
      <pivotArea dataOnly="0" labelOnly="1" grandRow="1" outline="0" fieldPosition="0"/>
    </format>
    <format dxfId="131">
      <pivotArea dataOnly="0" labelOnly="1" outline="0" fieldPosition="0">
        <references count="1">
          <reference field="4294967294" count="2">
            <x v="0"/>
            <x v="1"/>
          </reference>
        </references>
      </pivotArea>
    </format>
  </formats>
  <chartFormats count="16">
    <chartFormat chart="0" format="1" series="1">
      <pivotArea type="data" outline="0" fieldPosition="0">
        <references count="1">
          <reference field="4294967294" count="1" selected="0">
            <x v="0"/>
          </reference>
        </references>
      </pivotArea>
    </chartFormat>
    <chartFormat chart="2" format="66" series="1">
      <pivotArea type="data" outline="0" fieldPosition="0">
        <references count="1">
          <reference field="4294967294" count="1" selected="0">
            <x v="0"/>
          </reference>
        </references>
      </pivotArea>
    </chartFormat>
    <chartFormat chart="2" format="108"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1"/>
          </reference>
        </references>
      </pivotArea>
    </chartFormat>
    <chartFormat chart="2" format="131">
      <pivotArea type="data" outline="0" fieldPosition="0">
        <references count="2">
          <reference field="4294967294" count="1" selected="0">
            <x v="0"/>
          </reference>
          <reference field="3" count="1" selected="0">
            <x v="0"/>
          </reference>
        </references>
      </pivotArea>
    </chartFormat>
    <chartFormat chart="2" format="132">
      <pivotArea type="data" outline="0" fieldPosition="0">
        <references count="2">
          <reference field="4294967294" count="1" selected="0">
            <x v="1"/>
          </reference>
          <reference field="3" count="1" selected="0">
            <x v="0"/>
          </reference>
        </references>
      </pivotArea>
    </chartFormat>
    <chartFormat chart="2" format="133">
      <pivotArea type="data" outline="0" fieldPosition="0">
        <references count="2">
          <reference field="4294967294" count="1" selected="0">
            <x v="0"/>
          </reference>
          <reference field="3" count="1" selected="0">
            <x v="7"/>
          </reference>
        </references>
      </pivotArea>
    </chartFormat>
    <chartFormat chart="2" format="144">
      <pivotArea type="data" outline="0" fieldPosition="0">
        <references count="2">
          <reference field="4294967294" count="1" selected="0">
            <x v="1"/>
          </reference>
          <reference field="3" count="1" selected="0">
            <x v="7"/>
          </reference>
        </references>
      </pivotArea>
    </chartFormat>
    <chartFormat chart="2" format="392">
      <pivotArea type="data" outline="0" fieldPosition="0">
        <references count="2">
          <reference field="4294967294" count="1" selected="0">
            <x v="0"/>
          </reference>
          <reference field="3" count="1" selected="0">
            <x v="1"/>
          </reference>
        </references>
      </pivotArea>
    </chartFormat>
    <chartFormat chart="2" format="396">
      <pivotArea type="data" outline="0" fieldPosition="0">
        <references count="2">
          <reference field="4294967294" count="1" selected="0">
            <x v="1"/>
          </reference>
          <reference field="3" count="1" selected="0">
            <x v="1"/>
          </reference>
        </references>
      </pivotArea>
    </chartFormat>
    <chartFormat chart="2" format="502">
      <pivotArea type="data" outline="0" fieldPosition="0">
        <references count="2">
          <reference field="4294967294" count="1" selected="0">
            <x v="0"/>
          </reference>
          <reference field="3" count="1" selected="0">
            <x v="8"/>
          </reference>
        </references>
      </pivotArea>
    </chartFormat>
    <chartFormat chart="2" format="504">
      <pivotArea type="data" outline="0" fieldPosition="0">
        <references count="2">
          <reference field="4294967294" count="1" selected="0">
            <x v="1"/>
          </reference>
          <reference field="3" count="1" selected="0">
            <x v="8"/>
          </reference>
        </references>
      </pivotArea>
    </chartFormat>
    <chartFormat chart="2" format="539">
      <pivotArea type="data" outline="0" fieldPosition="0">
        <references count="2">
          <reference field="4294967294" count="1" selected="0">
            <x v="0"/>
          </reference>
          <reference field="3" count="1" selected="0">
            <x v="9"/>
          </reference>
        </references>
      </pivotArea>
    </chartFormat>
    <chartFormat chart="2" format="541">
      <pivotArea type="data" outline="0" fieldPosition="0">
        <references count="2">
          <reference field="4294967294" count="1" selected="0">
            <x v="1"/>
          </reference>
          <reference field="3" count="1" selected="0">
            <x v="9"/>
          </reference>
        </references>
      </pivotArea>
    </chartFormat>
    <chartFormat chart="2" format="551">
      <pivotArea type="data" outline="0" fieldPosition="0">
        <references count="2">
          <reference field="4294967294" count="1" selected="0">
            <x v="0"/>
          </reference>
          <reference field="3" count="1" selected="0">
            <x v="10"/>
          </reference>
        </references>
      </pivotArea>
    </chartFormat>
    <chartFormat chart="2" format="554">
      <pivotArea type="data" outline="0" fieldPosition="0">
        <references count="2">
          <reference field="4294967294" count="1" selected="0">
            <x v="1"/>
          </reference>
          <reference field="3"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4" cacheId="8"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5" rowHeaderCaption="Company">
  <location ref="B36:D49" firstHeaderRow="0" firstDataRow="1" firstDataCol="1"/>
  <pivotFields count="25">
    <pivotField axis="axisRow" showAll="0" sortType="descending">
      <items count="15">
        <item m="1" x="13"/>
        <item m="1" x="12"/>
        <item x="1"/>
        <item x="3"/>
        <item x="4"/>
        <item x="0"/>
        <item x="11"/>
        <item x="6"/>
        <item x="2"/>
        <item x="5"/>
        <item x="7"/>
        <item x="8"/>
        <item x="9"/>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numFmtId="10" showAll="0"/>
    <pivotField numFmtId="10" showAll="0"/>
    <pivotField showAll="0"/>
    <pivotField numFmtId="14" showAll="0"/>
    <pivotField numFmtId="14"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3">
    <i>
      <x v="9"/>
    </i>
    <i>
      <x v="10"/>
    </i>
    <i>
      <x v="3"/>
    </i>
    <i>
      <x v="4"/>
    </i>
    <i>
      <x v="13"/>
    </i>
    <i>
      <x v="11"/>
    </i>
    <i>
      <x v="12"/>
    </i>
    <i>
      <x v="7"/>
    </i>
    <i>
      <x v="5"/>
    </i>
    <i>
      <x v="8"/>
    </i>
    <i>
      <x v="6"/>
    </i>
    <i>
      <x v="2"/>
    </i>
    <i t="grand">
      <x/>
    </i>
  </rowItems>
  <colFields count="1">
    <field x="-2"/>
  </colFields>
  <colItems count="2">
    <i>
      <x/>
    </i>
    <i i="1">
      <x v="1"/>
    </i>
  </colItems>
  <dataFields count="2">
    <dataField name="Sum of Amount" fld="6" baseField="0" baseItem="0" numFmtId="43"/>
    <dataField name="Room Nights" fld="12" baseField="0" baseItem="0"/>
  </dataFields>
  <formats count="30">
    <format dxfId="195">
      <pivotArea type="all" dataOnly="0" outline="0" fieldPosition="0"/>
    </format>
    <format dxfId="194">
      <pivotArea type="all" dataOnly="0" outline="0" fieldPosition="0"/>
    </format>
    <format dxfId="193">
      <pivotArea dataOnly="0" labelOnly="1" outline="0" fieldPosition="0">
        <references count="1">
          <reference field="4294967294" count="1">
            <x v="1"/>
          </reference>
        </references>
      </pivotArea>
    </format>
    <format dxfId="192">
      <pivotArea dataOnly="0" labelOnly="1" outline="0" fieldPosition="0">
        <references count="1">
          <reference field="4294967294" count="1">
            <x v="1"/>
          </reference>
        </references>
      </pivotArea>
    </format>
    <format dxfId="191">
      <pivotArea type="all" dataOnly="0" outline="0" fieldPosition="0"/>
    </format>
    <format dxfId="190">
      <pivotArea outline="0" collapsedLevelsAreSubtotals="1" fieldPosition="0"/>
    </format>
    <format dxfId="189">
      <pivotArea dataOnly="0" labelOnly="1" grandRow="1" outline="0" fieldPosition="0"/>
    </format>
    <format dxfId="188">
      <pivotArea dataOnly="0" labelOnly="1" outline="0" fieldPosition="0">
        <references count="1">
          <reference field="4294967294" count="1">
            <x v="1"/>
          </reference>
        </references>
      </pivotArea>
    </format>
    <format dxfId="187">
      <pivotArea type="all" dataOnly="0" outline="0" fieldPosition="0"/>
    </format>
    <format dxfId="186">
      <pivotArea type="all" dataOnly="0" outline="0" fieldPosition="0"/>
    </format>
    <format dxfId="185">
      <pivotArea outline="0" collapsedLevelsAreSubtotals="1" fieldPosition="0"/>
    </format>
    <format dxfId="184">
      <pivotArea dataOnly="0" labelOnly="1" grandRow="1" outline="0" fieldPosition="0"/>
    </format>
    <format dxfId="183">
      <pivotArea dataOnly="0" grandRow="1" axis="axisRow" fieldPosition="0"/>
    </format>
    <format dxfId="182">
      <pivotArea field="0" type="button" dataOnly="0" labelOnly="1" outline="0" axis="axisRow" fieldPosition="0"/>
    </format>
    <format dxfId="181">
      <pivotArea dataOnly="0" labelOnly="1" outline="0" fieldPosition="0">
        <references count="1">
          <reference field="4294967294" count="2">
            <x v="0"/>
            <x v="1"/>
          </reference>
        </references>
      </pivotArea>
    </format>
    <format dxfId="180">
      <pivotArea outline="0" collapsedLevelsAreSubtotals="1" fieldPosition="0">
        <references count="1">
          <reference field="4294967294" count="1" selected="0">
            <x v="0"/>
          </reference>
        </references>
      </pivotArea>
    </format>
    <format dxfId="179">
      <pivotArea field="0" grandRow="1" outline="0" collapsedLevelsAreSubtotals="1" axis="axisRow" fieldPosition="0">
        <references count="1">
          <reference field="4294967294" count="1" selected="0">
            <x v="0"/>
          </reference>
        </references>
      </pivotArea>
    </format>
    <format dxfId="178">
      <pivotArea type="all" dataOnly="0" outline="0" fieldPosition="0"/>
    </format>
    <format dxfId="177">
      <pivotArea outline="0" collapsedLevelsAreSubtotals="1" fieldPosition="0"/>
    </format>
    <format dxfId="176">
      <pivotArea field="0" type="button" dataOnly="0" labelOnly="1" outline="0" axis="axisRow" fieldPosition="0"/>
    </format>
    <format dxfId="175">
      <pivotArea dataOnly="0" labelOnly="1" fieldPosition="0">
        <references count="1">
          <reference field="0" count="0"/>
        </references>
      </pivotArea>
    </format>
    <format dxfId="174">
      <pivotArea dataOnly="0" labelOnly="1" grandRow="1" outline="0" fieldPosition="0"/>
    </format>
    <format dxfId="173">
      <pivotArea dataOnly="0" labelOnly="1" outline="0" fieldPosition="0">
        <references count="1">
          <reference field="4294967294" count="2">
            <x v="0"/>
            <x v="1"/>
          </reference>
        </references>
      </pivotArea>
    </format>
    <format dxfId="172">
      <pivotArea type="all" dataOnly="0" outline="0" fieldPosition="0"/>
    </format>
    <format dxfId="171">
      <pivotArea outline="0" collapsedLevelsAreSubtotals="1" fieldPosition="0"/>
    </format>
    <format dxfId="170">
      <pivotArea dataOnly="0" labelOnly="1" fieldPosition="0">
        <references count="1">
          <reference field="0" count="0"/>
        </references>
      </pivotArea>
    </format>
    <format dxfId="169">
      <pivotArea field="0" type="button" dataOnly="0" labelOnly="1" outline="0" axis="axisRow" fieldPosition="0"/>
    </format>
    <format dxfId="168">
      <pivotArea dataOnly="0" labelOnly="1" outline="0" fieldPosition="0">
        <references count="1">
          <reference field="4294967294" count="2">
            <x v="0"/>
            <x v="1"/>
          </reference>
        </references>
      </pivotArea>
    </format>
    <format dxfId="167">
      <pivotArea grandRow="1" outline="0" collapsedLevelsAreSubtotals="1" fieldPosition="0"/>
    </format>
    <format dxfId="166">
      <pivotArea dataOnly="0" labelOnly="1" grandRow="1" outline="0" fieldPosition="0"/>
    </format>
  </formats>
  <chartFormats count="18">
    <chartFormat chart="0" format="1" series="1">
      <pivotArea type="data" outline="0" fieldPosition="0">
        <references count="1">
          <reference field="4294967294" count="1" selected="0">
            <x v="1"/>
          </reference>
        </references>
      </pivotArea>
    </chartFormat>
    <chartFormat chart="2" format="81" series="1">
      <pivotArea type="data" outline="0" fieldPosition="0">
        <references count="1">
          <reference field="4294967294" count="1" selected="0">
            <x v="1"/>
          </reference>
        </references>
      </pivotArea>
    </chartFormat>
    <chartFormat chart="2" format="256"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0"/>
          </reference>
        </references>
      </pivotArea>
    </chartFormat>
    <chartFormat chart="2" format="279">
      <pivotArea type="data" outline="0" fieldPosition="0">
        <references count="2">
          <reference field="4294967294" count="1" selected="0">
            <x v="0"/>
          </reference>
          <reference field="0" count="1" selected="0">
            <x v="1"/>
          </reference>
        </references>
      </pivotArea>
    </chartFormat>
    <chartFormat chart="2" format="304">
      <pivotArea type="data" outline="0" fieldPosition="0">
        <references count="2">
          <reference field="4294967294" count="1" selected="0">
            <x v="1"/>
          </reference>
          <reference field="0" count="1" selected="0">
            <x v="1"/>
          </reference>
        </references>
      </pivotArea>
    </chartFormat>
    <chartFormat chart="2" format="344">
      <pivotArea type="data" outline="0" fieldPosition="0">
        <references count="2">
          <reference field="4294967294" count="1" selected="0">
            <x v="0"/>
          </reference>
          <reference field="0" count="1" selected="0">
            <x v="2"/>
          </reference>
        </references>
      </pivotArea>
    </chartFormat>
    <chartFormat chart="2" format="359">
      <pivotArea type="data" outline="0" fieldPosition="0">
        <references count="2">
          <reference field="4294967294" count="1" selected="0">
            <x v="1"/>
          </reference>
          <reference field="0" count="1" selected="0">
            <x v="2"/>
          </reference>
        </references>
      </pivotArea>
    </chartFormat>
    <chartFormat chart="2" format="1742">
      <pivotArea type="data" outline="0" fieldPosition="0">
        <references count="2">
          <reference field="4294967294" count="1" selected="0">
            <x v="0"/>
          </reference>
          <reference field="0" count="1" selected="0">
            <x v="3"/>
          </reference>
        </references>
      </pivotArea>
    </chartFormat>
    <chartFormat chart="2" format="1751">
      <pivotArea type="data" outline="0" fieldPosition="0">
        <references count="2">
          <reference field="4294967294" count="1" selected="0">
            <x v="1"/>
          </reference>
          <reference field="0" count="1" selected="0">
            <x v="3"/>
          </reference>
        </references>
      </pivotArea>
    </chartFormat>
    <chartFormat chart="2" format="1907">
      <pivotArea type="data" outline="0" fieldPosition="0">
        <references count="2">
          <reference field="4294967294" count="1" selected="0">
            <x v="0"/>
          </reference>
          <reference field="0" count="1" selected="0">
            <x v="4"/>
          </reference>
        </references>
      </pivotArea>
    </chartFormat>
    <chartFormat chart="2" format="1919">
      <pivotArea type="data" outline="0" fieldPosition="0">
        <references count="2">
          <reference field="4294967294" count="1" selected="0">
            <x v="1"/>
          </reference>
          <reference field="0" count="1" selected="0">
            <x v="4"/>
          </reference>
        </references>
      </pivotArea>
    </chartFormat>
    <chartFormat chart="2" format="1947">
      <pivotArea type="data" outline="0" fieldPosition="0">
        <references count="2">
          <reference field="4294967294" count="1" selected="0">
            <x v="0"/>
          </reference>
          <reference field="0" count="1" selected="0">
            <x v="5"/>
          </reference>
        </references>
      </pivotArea>
    </chartFormat>
    <chartFormat chart="2" format="1963">
      <pivotArea type="data" outline="0" fieldPosition="0">
        <references count="2">
          <reference field="4294967294" count="1" selected="0">
            <x v="1"/>
          </reference>
          <reference field="0" count="1" selected="0">
            <x v="5"/>
          </reference>
        </references>
      </pivotArea>
    </chartFormat>
    <chartFormat chart="2" format="1991">
      <pivotArea type="data" outline="0" fieldPosition="0">
        <references count="2">
          <reference field="4294967294" count="1" selected="0">
            <x v="0"/>
          </reference>
          <reference field="0" count="1" selected="0">
            <x v="6"/>
          </reference>
        </references>
      </pivotArea>
    </chartFormat>
    <chartFormat chart="2" format="1995">
      <pivotArea type="data" outline="0" fieldPosition="0">
        <references count="2">
          <reference field="4294967294" count="1" selected="0">
            <x v="1"/>
          </reference>
          <reference field="0" count="1" selected="0">
            <x v="6"/>
          </reference>
        </references>
      </pivotArea>
    </chartFormat>
    <chartFormat chart="2" format="2004">
      <pivotArea type="data" outline="0" fieldPosition="0">
        <references count="2">
          <reference field="4294967294" count="1" selected="0">
            <x v="0"/>
          </reference>
          <reference field="0" count="1" selected="0">
            <x v="7"/>
          </reference>
        </references>
      </pivotArea>
    </chartFormat>
    <chartFormat chart="2" format="2013">
      <pivotArea type="data" outline="0" fieldPosition="0">
        <references count="2">
          <reference field="4294967294" count="1" selected="0">
            <x v="1"/>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3" cacheId="8" applyNumberFormats="0" applyBorderFormats="0" applyFontFormats="0" applyPatternFormats="0" applyAlignmentFormats="0" applyWidthHeightFormats="1" dataCaption="Values" showMissing="0" updatedVersion="8" minRefreshableVersion="3" colGrandTotals="0" itemPrintTitles="1" createdVersion="7" indent="0" outline="1" outlineData="1" chartFormat="9" rowHeaderCaption="Entered on By">
  <location ref="B9:F15" firstHeaderRow="0" firstDataRow="1" firstDataCol="1"/>
  <pivotFields count="25">
    <pivotField showAll="0"/>
    <pivotField dataField="1" showAll="0"/>
    <pivotField axis="axisRow" showAll="0" sortType="descending">
      <items count="6">
        <item x="4"/>
        <item x="0"/>
        <item x="3"/>
        <item x="2"/>
        <item x="1"/>
        <item t="default"/>
      </items>
      <autoSortScope>
        <pivotArea dataOnly="0" outline="0" fieldPosition="0">
          <references count="1">
            <reference field="4294967294" count="1" selected="0">
              <x v="0"/>
            </reference>
          </references>
        </pivotArea>
      </autoSortScope>
    </pivotField>
    <pivotField showAll="0"/>
    <pivotField dataField="1" showAll="0"/>
    <pivotField dataField="1" showAll="0"/>
    <pivotField dataField="1" showAll="0"/>
    <pivotField numFmtId="10" showAll="0"/>
    <pivotField numFmtId="10"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v="2"/>
    </i>
    <i>
      <x v="1"/>
    </i>
    <i>
      <x v="3"/>
    </i>
    <i>
      <x v="4"/>
    </i>
    <i>
      <x/>
    </i>
    <i t="grand">
      <x/>
    </i>
  </rowItems>
  <colFields count="1">
    <field x="-2"/>
  </colFields>
  <colItems count="4">
    <i>
      <x/>
    </i>
    <i i="1">
      <x v="1"/>
    </i>
    <i i="2">
      <x v="2"/>
    </i>
    <i i="3">
      <x v="3"/>
    </i>
  </colItems>
  <dataFields count="4">
    <dataField name="Entered per user" fld="6" baseField="0" baseItem="0" numFmtId="43"/>
    <dataField name="Entered " fld="1" baseField="0" baseItem="0"/>
    <dataField name="Errors" fld="4" baseField="0" baseItem="0"/>
    <dataField name="Checked" fld="5" baseField="0" baseItem="0"/>
  </dataFields>
  <formats count="32">
    <format dxfId="227">
      <pivotArea type="all" dataOnly="0" outline="0" fieldPosition="0"/>
    </format>
    <format dxfId="226">
      <pivotArea type="all" dataOnly="0" outline="0" fieldPosition="0"/>
    </format>
    <format dxfId="225">
      <pivotArea type="all" dataOnly="0" outline="0" fieldPosition="0"/>
    </format>
    <format dxfId="224">
      <pivotArea outline="0" collapsedLevelsAreSubtotals="1" fieldPosition="0"/>
    </format>
    <format dxfId="223">
      <pivotArea dataOnly="0" labelOnly="1" grandRow="1" outline="0" fieldPosition="0"/>
    </format>
    <format dxfId="222">
      <pivotArea type="all" dataOnly="0" outline="0" fieldPosition="0"/>
    </format>
    <format dxfId="221">
      <pivotArea outline="0" collapsedLevelsAreSubtotals="1" fieldPosition="0"/>
    </format>
    <format dxfId="220">
      <pivotArea grandRow="1" outline="0" collapsedLevelsAreSubtotals="1" fieldPosition="0"/>
    </format>
    <format dxfId="219">
      <pivotArea dataOnly="0" labelOnly="1" grandRow="1" outline="0" fieldPosition="0"/>
    </format>
    <format dxfId="218">
      <pivotArea field="2" type="button" dataOnly="0" labelOnly="1" outline="0" axis="axisRow" fieldPosition="0"/>
    </format>
    <format dxfId="217">
      <pivotArea dataOnly="0" labelOnly="1" outline="0" fieldPosition="0">
        <references count="1">
          <reference field="4294967294" count="4">
            <x v="0"/>
            <x v="1"/>
            <x v="2"/>
            <x v="3"/>
          </reference>
        </references>
      </pivotArea>
    </format>
    <format dxfId="216">
      <pivotArea outline="0" collapsedLevelsAreSubtotals="1" fieldPosition="0">
        <references count="1">
          <reference field="4294967294" count="1" selected="0">
            <x v="0"/>
          </reference>
        </references>
      </pivotArea>
    </format>
    <format dxfId="215">
      <pivotArea collapsedLevelsAreSubtotals="1" fieldPosition="0">
        <references count="2">
          <reference field="4294967294" count="1" selected="0">
            <x v="2"/>
          </reference>
          <reference field="2" count="0"/>
        </references>
      </pivotArea>
    </format>
    <format dxfId="214">
      <pivotArea collapsedLevelsAreSubtotals="1" fieldPosition="0">
        <references count="2">
          <reference field="4294967294" count="1" selected="0">
            <x v="3"/>
          </reference>
          <reference field="2" count="0"/>
        </references>
      </pivotArea>
    </format>
    <format dxfId="213">
      <pivotArea field="2" type="button" dataOnly="0" labelOnly="1" outline="0" axis="axisRow" fieldPosition="0"/>
    </format>
    <format dxfId="212">
      <pivotArea dataOnly="0" labelOnly="1" outline="0" fieldPosition="0">
        <references count="1">
          <reference field="4294967294" count="4">
            <x v="0"/>
            <x v="1"/>
            <x v="2"/>
            <x v="3"/>
          </reference>
        </references>
      </pivotArea>
    </format>
    <format dxfId="211">
      <pivotArea field="2" grandRow="1" outline="0" collapsedLevelsAreSubtotals="1" axis="axisRow" fieldPosition="0">
        <references count="1">
          <reference field="4294967294" count="1" selected="0">
            <x v="0"/>
          </reference>
        </references>
      </pivotArea>
    </format>
    <format dxfId="210">
      <pivotArea collapsedLevelsAreSubtotals="1" fieldPosition="0">
        <references count="2">
          <reference field="4294967294" count="1" selected="0">
            <x v="3"/>
          </reference>
          <reference field="2" count="0"/>
        </references>
      </pivotArea>
    </format>
    <format dxfId="209">
      <pivotArea collapsedLevelsAreSubtotals="1" fieldPosition="0">
        <references count="2">
          <reference field="4294967294" count="1" selected="0">
            <x v="3"/>
          </reference>
          <reference field="2" count="0"/>
        </references>
      </pivotArea>
    </format>
    <format dxfId="208">
      <pivotArea type="all" dataOnly="0" outline="0" fieldPosition="0"/>
    </format>
    <format dxfId="207">
      <pivotArea outline="0" collapsedLevelsAreSubtotals="1" fieldPosition="0"/>
    </format>
    <format dxfId="206">
      <pivotArea field="2" type="button" dataOnly="0" labelOnly="1" outline="0" axis="axisRow" fieldPosition="0"/>
    </format>
    <format dxfId="205">
      <pivotArea dataOnly="0" labelOnly="1" fieldPosition="0">
        <references count="1">
          <reference field="2" count="0"/>
        </references>
      </pivotArea>
    </format>
    <format dxfId="204">
      <pivotArea dataOnly="0" labelOnly="1" grandRow="1" outline="0" fieldPosition="0"/>
    </format>
    <format dxfId="203">
      <pivotArea dataOnly="0" labelOnly="1" outline="0" fieldPosition="0">
        <references count="1">
          <reference field="4294967294" count="4">
            <x v="0"/>
            <x v="1"/>
            <x v="2"/>
            <x v="3"/>
          </reference>
        </references>
      </pivotArea>
    </format>
    <format dxfId="202">
      <pivotArea type="all" dataOnly="0" outline="0" fieldPosition="0"/>
    </format>
    <format dxfId="201">
      <pivotArea outline="0" collapsedLevelsAreSubtotals="1" fieldPosition="0"/>
    </format>
    <format dxfId="200">
      <pivotArea dataOnly="0" labelOnly="1" fieldPosition="0">
        <references count="1">
          <reference field="2" count="0"/>
        </references>
      </pivotArea>
    </format>
    <format dxfId="199">
      <pivotArea dataOnly="0" labelOnly="1" grandRow="1" outline="0" fieldPosition="0"/>
    </format>
    <format dxfId="198">
      <pivotArea field="2" type="button" dataOnly="0" labelOnly="1" outline="0" axis="axisRow" fieldPosition="0"/>
    </format>
    <format dxfId="197">
      <pivotArea dataOnly="0" labelOnly="1" outline="0" fieldPosition="0">
        <references count="1">
          <reference field="4294967294" count="4">
            <x v="0"/>
            <x v="1"/>
            <x v="2"/>
            <x v="3"/>
          </reference>
        </references>
      </pivotArea>
    </format>
    <format dxfId="196">
      <pivotArea dataOnly="0" grandRow="1" fieldPosition="0"/>
    </format>
  </formats>
  <chartFormats count="28">
    <chartFormat chart="8" format="101"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 chart="8" format="102"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1"/>
          </reference>
        </references>
      </pivotArea>
    </chartFormat>
    <chartFormat chart="8" format="103" series="1">
      <pivotArea type="data" outline="0" fieldPosition="0">
        <references count="1">
          <reference field="4294967294" count="1" selected="0">
            <x v="2"/>
          </reference>
        </references>
      </pivotArea>
    </chartFormat>
    <chartFormat chart="0" format="8" series="1">
      <pivotArea type="data" outline="0" fieldPosition="0">
        <references count="1">
          <reference field="4294967294" count="1" selected="0">
            <x v="2"/>
          </reference>
        </references>
      </pivotArea>
    </chartFormat>
    <chartFormat chart="8" format="104" series="1">
      <pivotArea type="data" outline="0" fieldPosition="0">
        <references count="1">
          <reference field="4294967294" count="1" selected="0">
            <x v="3"/>
          </reference>
        </references>
      </pivotArea>
    </chartFormat>
    <chartFormat chart="0" format="9" series="1">
      <pivotArea type="data" outline="0" fieldPosition="0">
        <references count="1">
          <reference field="4294967294" count="1" selected="0">
            <x v="3"/>
          </reference>
        </references>
      </pivotArea>
    </chartFormat>
    <chartFormat chart="8" format="105">
      <pivotArea type="data" outline="0" fieldPosition="0">
        <references count="2">
          <reference field="4294967294" count="1" selected="0">
            <x v="0"/>
          </reference>
          <reference field="2" count="1" selected="0">
            <x v="1"/>
          </reference>
        </references>
      </pivotArea>
    </chartFormat>
    <chartFormat chart="8" format="114">
      <pivotArea type="data" outline="0" fieldPosition="0">
        <references count="2">
          <reference field="4294967294" count="1" selected="0">
            <x v="1"/>
          </reference>
          <reference field="2" count="1" selected="0">
            <x v="1"/>
          </reference>
        </references>
      </pivotArea>
    </chartFormat>
    <chartFormat chart="8" format="123">
      <pivotArea type="data" outline="0" fieldPosition="0">
        <references count="2">
          <reference field="4294967294" count="1" selected="0">
            <x v="2"/>
          </reference>
          <reference field="2" count="1" selected="0">
            <x v="1"/>
          </reference>
        </references>
      </pivotArea>
    </chartFormat>
    <chartFormat chart="8" format="132">
      <pivotArea type="data" outline="0" fieldPosition="0">
        <references count="2">
          <reference field="4294967294" count="1" selected="0">
            <x v="3"/>
          </reference>
          <reference field="2" count="1" selected="0">
            <x v="1"/>
          </reference>
        </references>
      </pivotArea>
    </chartFormat>
    <chartFormat chart="8" format="144">
      <pivotArea type="data" outline="0" fieldPosition="0">
        <references count="2">
          <reference field="4294967294" count="1" selected="0">
            <x v="0"/>
          </reference>
          <reference field="2" count="1" selected="0">
            <x v="0"/>
          </reference>
        </references>
      </pivotArea>
    </chartFormat>
    <chartFormat chart="8" format="148">
      <pivotArea type="data" outline="0" fieldPosition="0">
        <references count="2">
          <reference field="4294967294" count="1" selected="0">
            <x v="1"/>
          </reference>
          <reference field="2" count="1" selected="0">
            <x v="0"/>
          </reference>
        </references>
      </pivotArea>
    </chartFormat>
    <chartFormat chart="8" format="152">
      <pivotArea type="data" outline="0" fieldPosition="0">
        <references count="2">
          <reference field="4294967294" count="1" selected="0">
            <x v="2"/>
          </reference>
          <reference field="2" count="1" selected="0">
            <x v="0"/>
          </reference>
        </references>
      </pivotArea>
    </chartFormat>
    <chartFormat chart="8" format="156">
      <pivotArea type="data" outline="0" fieldPosition="0">
        <references count="2">
          <reference field="4294967294" count="1" selected="0">
            <x v="3"/>
          </reference>
          <reference field="2" count="1" selected="0">
            <x v="0"/>
          </reference>
        </references>
      </pivotArea>
    </chartFormat>
    <chartFormat chart="8" format="1017">
      <pivotArea type="data" outline="0" fieldPosition="0">
        <references count="2">
          <reference field="4294967294" count="1" selected="0">
            <x v="0"/>
          </reference>
          <reference field="2" count="1" selected="0">
            <x v="2"/>
          </reference>
        </references>
      </pivotArea>
    </chartFormat>
    <chartFormat chart="8" format="1020">
      <pivotArea type="data" outline="0" fieldPosition="0">
        <references count="2">
          <reference field="4294967294" count="1" selected="0">
            <x v="1"/>
          </reference>
          <reference field="2" count="1" selected="0">
            <x v="2"/>
          </reference>
        </references>
      </pivotArea>
    </chartFormat>
    <chartFormat chart="8" format="1023">
      <pivotArea type="data" outline="0" fieldPosition="0">
        <references count="2">
          <reference field="4294967294" count="1" selected="0">
            <x v="2"/>
          </reference>
          <reference field="2" count="1" selected="0">
            <x v="2"/>
          </reference>
        </references>
      </pivotArea>
    </chartFormat>
    <chartFormat chart="8" format="1026">
      <pivotArea type="data" outline="0" fieldPosition="0">
        <references count="2">
          <reference field="4294967294" count="1" selected="0">
            <x v="3"/>
          </reference>
          <reference field="2" count="1" selected="0">
            <x v="2"/>
          </reference>
        </references>
      </pivotArea>
    </chartFormat>
    <chartFormat chart="8" format="1094">
      <pivotArea type="data" outline="0" fieldPosition="0">
        <references count="2">
          <reference field="4294967294" count="1" selected="0">
            <x v="0"/>
          </reference>
          <reference field="2" count="1" selected="0">
            <x v="3"/>
          </reference>
        </references>
      </pivotArea>
    </chartFormat>
    <chartFormat chart="8" format="1098">
      <pivotArea type="data" outline="0" fieldPosition="0">
        <references count="2">
          <reference field="4294967294" count="1" selected="0">
            <x v="1"/>
          </reference>
          <reference field="2" count="1" selected="0">
            <x v="3"/>
          </reference>
        </references>
      </pivotArea>
    </chartFormat>
    <chartFormat chart="8" format="1102">
      <pivotArea type="data" outline="0" fieldPosition="0">
        <references count="2">
          <reference field="4294967294" count="1" selected="0">
            <x v="2"/>
          </reference>
          <reference field="2" count="1" selected="0">
            <x v="3"/>
          </reference>
        </references>
      </pivotArea>
    </chartFormat>
    <chartFormat chart="8" format="1106">
      <pivotArea type="data" outline="0" fieldPosition="0">
        <references count="2">
          <reference field="4294967294" count="1" selected="0">
            <x v="3"/>
          </reference>
          <reference field="2" count="1" selected="0">
            <x v="3"/>
          </reference>
        </references>
      </pivotArea>
    </chartFormat>
    <chartFormat chart="8" format="1119">
      <pivotArea type="data" outline="0" fieldPosition="0">
        <references count="2">
          <reference field="4294967294" count="1" selected="0">
            <x v="0"/>
          </reference>
          <reference field="2" count="1" selected="0">
            <x v="4"/>
          </reference>
        </references>
      </pivotArea>
    </chartFormat>
    <chartFormat chart="8" format="1122">
      <pivotArea type="data" outline="0" fieldPosition="0">
        <references count="2">
          <reference field="4294967294" count="1" selected="0">
            <x v="1"/>
          </reference>
          <reference field="2" count="1" selected="0">
            <x v="4"/>
          </reference>
        </references>
      </pivotArea>
    </chartFormat>
    <chartFormat chart="8" format="1125">
      <pivotArea type="data" outline="0" fieldPosition="0">
        <references count="2">
          <reference field="4294967294" count="1" selected="0">
            <x v="2"/>
          </reference>
          <reference field="2" count="1" selected="0">
            <x v="4"/>
          </reference>
        </references>
      </pivotArea>
    </chartFormat>
    <chartFormat chart="8" format="1128">
      <pivotArea type="data" outline="0" fieldPosition="0">
        <references count="2">
          <reference field="4294967294" count="1" selected="0">
            <x v="3"/>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2" cacheId="8"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8" rowHeaderCaption="Dates">
  <location ref="B128:C139" firstHeaderRow="1" firstDataRow="1" firstDataCol="1"/>
  <pivotFields count="25">
    <pivotField showAll="0"/>
    <pivotField showAll="0"/>
    <pivotField showAll="0"/>
    <pivotField showAll="0"/>
    <pivotField showAll="0"/>
    <pivotField showAll="0"/>
    <pivotField showAll="0"/>
    <pivotField numFmtId="10" showAll="0"/>
    <pivotField numFmtId="10" showAll="0"/>
    <pivotField showAll="0"/>
    <pivotField axis="axisRow" dataField="1" numFmtId="14" showAll="0" sortType="ascending">
      <items count="332">
        <item x="11"/>
        <item m="1" x="144"/>
        <item m="1" x="306"/>
        <item m="1" x="261"/>
        <item m="1" x="298"/>
        <item m="1" x="255"/>
        <item m="1" x="323"/>
        <item m="1" x="271"/>
        <item m="1" x="218"/>
        <item m="1" x="219"/>
        <item m="1" x="220"/>
        <item m="1" x="221"/>
        <item m="1" x="222"/>
        <item m="1" x="223"/>
        <item m="1" x="224"/>
        <item m="1" x="225"/>
        <item m="1" x="226"/>
        <item m="1" x="227"/>
        <item m="1" x="228"/>
        <item m="1" x="229"/>
        <item m="1" x="230"/>
        <item m="1" x="231"/>
        <item m="1" x="232"/>
        <item m="1" x="296"/>
        <item m="1" x="253"/>
        <item m="1" x="282"/>
        <item m="1" x="233"/>
        <item m="1" x="234"/>
        <item m="1" x="290"/>
        <item m="1" x="235"/>
        <item m="1" x="274"/>
        <item m="1" x="313"/>
        <item m="1" x="266"/>
        <item m="1" x="236"/>
        <item m="1" x="237"/>
        <item m="1" x="285"/>
        <item m="1" x="214"/>
        <item m="1" x="238"/>
        <item m="1" x="309"/>
        <item m="1" x="239"/>
        <item m="1" x="240"/>
        <item m="1" x="251"/>
        <item m="1" x="241"/>
        <item m="1" x="216"/>
        <item m="1" x="269"/>
        <item m="1" x="307"/>
        <item m="1" x="262"/>
        <item m="1" x="292"/>
        <item m="1" x="250"/>
        <item m="1" x="277"/>
        <item m="1" x="317"/>
        <item m="1" x="242"/>
        <item m="1" x="304"/>
        <item m="1" x="243"/>
        <item m="1" x="289"/>
        <item m="1" x="244"/>
        <item m="1" x="245"/>
        <item m="1" x="246"/>
        <item m="1" x="279"/>
        <item m="1" x="319"/>
        <item m="1" x="268"/>
        <item m="1" x="305"/>
        <item m="1" x="260"/>
        <item m="1" x="291"/>
        <item m="1" x="328"/>
        <item m="1" x="275"/>
        <item m="1" x="315"/>
        <item m="1" x="247"/>
        <item m="1" x="301"/>
        <item m="1" x="257"/>
        <item m="1" x="288"/>
        <item m="1" x="325"/>
        <item m="1" x="272"/>
        <item m="1" x="312"/>
        <item m="1" x="265"/>
        <item m="1" x="297"/>
        <item m="1" x="254"/>
        <item m="1" x="248"/>
        <item m="1" x="213"/>
        <item m="1" x="207"/>
        <item m="1" x="208"/>
        <item m="1" x="203"/>
        <item m="1" x="205"/>
        <item m="1" x="200"/>
        <item m="1" x="184"/>
        <item m="1" x="175"/>
        <item m="1" x="173"/>
        <item m="1" x="174"/>
        <item m="1" x="150"/>
        <item m="1" x="158"/>
        <item m="1" x="165"/>
        <item m="1" x="166"/>
        <item m="1" x="179"/>
        <item m="1" x="167"/>
        <item m="1" x="159"/>
        <item m="1" x="168"/>
        <item m="1" x="160"/>
        <item m="1" x="161"/>
        <item m="1" x="169"/>
        <item m="1" x="162"/>
        <item m="1" x="185"/>
        <item m="1" x="176"/>
        <item m="1" x="170"/>
        <item m="1" x="163"/>
        <item m="1" x="171"/>
        <item m="1" x="177"/>
        <item m="1" x="181"/>
        <item m="1" x="192"/>
        <item m="1" x="195"/>
        <item m="1" x="186"/>
        <item m="1" x="178"/>
        <item m="1" x="196"/>
        <item m="1" x="283"/>
        <item m="1" x="182"/>
        <item m="1" x="197"/>
        <item m="1" x="183"/>
        <item m="1" x="193"/>
        <item m="1" x="198"/>
        <item m="1" x="180"/>
        <item m="1" x="302"/>
        <item m="1" x="172"/>
        <item m="1" x="187"/>
        <item m="1" x="189"/>
        <item m="1" x="209"/>
        <item m="1" x="210"/>
        <item m="1" x="112"/>
        <item m="1" x="114"/>
        <item m="1" x="199"/>
        <item m="1" x="118"/>
        <item m="1" x="119"/>
        <item m="1" x="120"/>
        <item m="1" x="121"/>
        <item m="1" x="122"/>
        <item m="1" x="135"/>
        <item m="1" x="123"/>
        <item m="1" x="149"/>
        <item m="1" x="126"/>
        <item m="1" x="124"/>
        <item m="1" x="127"/>
        <item m="1" x="125"/>
        <item m="1" x="136"/>
        <item m="1" x="137"/>
        <item m="1" x="134"/>
        <item m="1" x="106"/>
        <item m="1" x="102"/>
        <item m="1" x="113"/>
        <item m="1" x="105"/>
        <item m="1" x="100"/>
        <item m="1" x="101"/>
        <item m="1" x="97"/>
        <item m="1" x="96"/>
        <item m="1" x="92"/>
        <item m="1" x="93"/>
        <item m="1" x="87"/>
        <item m="1" x="78"/>
        <item m="1" x="79"/>
        <item m="1" x="76"/>
        <item m="1" x="74"/>
        <item m="1" x="75"/>
        <item m="1" x="69"/>
        <item m="1" x="70"/>
        <item m="1" x="61"/>
        <item m="1" x="57"/>
        <item m="1" x="54"/>
        <item m="1" x="50"/>
        <item m="1" x="42"/>
        <item m="1" x="34"/>
        <item m="1" x="35"/>
        <item m="1" x="12"/>
        <item m="1" x="13"/>
        <item x="0"/>
        <item x="1"/>
        <item x="2"/>
        <item x="3"/>
        <item m="1" x="14"/>
        <item x="4"/>
        <item m="1" x="23"/>
        <item m="1" x="24"/>
        <item m="1" x="46"/>
        <item x="5"/>
        <item m="1" x="15"/>
        <item m="1" x="16"/>
        <item m="1" x="36"/>
        <item m="1" x="37"/>
        <item m="1" x="25"/>
        <item x="6"/>
        <item m="1" x="26"/>
        <item m="1" x="17"/>
        <item m="1" x="27"/>
        <item m="1" x="153"/>
        <item m="1" x="28"/>
        <item m="1" x="29"/>
        <item m="1" x="62"/>
        <item m="1" x="18"/>
        <item m="1" x="31"/>
        <item m="1" x="19"/>
        <item m="1" x="38"/>
        <item m="1" x="65"/>
        <item m="1" x="43"/>
        <item m="1" x="58"/>
        <item m="1" x="71"/>
        <item m="1" x="51"/>
        <item x="7"/>
        <item m="1" x="32"/>
        <item m="1" x="77"/>
        <item x="8"/>
        <item m="1" x="72"/>
        <item m="1" x="52"/>
        <item x="9"/>
        <item m="1" x="80"/>
        <item m="1" x="59"/>
        <item m="1" x="81"/>
        <item m="1" x="284"/>
        <item m="1" x="63"/>
        <item m="1" x="128"/>
        <item m="1" x="40"/>
        <item m="1" x="115"/>
        <item m="1" x="66"/>
        <item m="1" x="280"/>
        <item m="1" x="320"/>
        <item m="1" x="103"/>
        <item m="1" x="88"/>
        <item m="1" x="129"/>
        <item m="1" x="329"/>
        <item m="1" x="39"/>
        <item m="1" x="188"/>
        <item m="1" x="211"/>
        <item m="1" x="154"/>
        <item m="1" x="47"/>
        <item m="1" x="94"/>
        <item m="1" x="107"/>
        <item m="1" x="273"/>
        <item m="1" x="130"/>
        <item m="1" x="48"/>
        <item m="1" x="82"/>
        <item m="1" x="83"/>
        <item m="1" x="84"/>
        <item m="1" x="33"/>
        <item m="1" x="258"/>
        <item m="1" x="41"/>
        <item m="1" x="64"/>
        <item m="1" x="45"/>
        <item m="1" x="314"/>
        <item m="1" x="49"/>
        <item m="1" x="286"/>
        <item m="1" x="98"/>
        <item m="1" x="131"/>
        <item m="1" x="310"/>
        <item m="1" x="67"/>
        <item m="1" x="132"/>
        <item m="1" x="321"/>
        <item m="1" x="270"/>
        <item m="1" x="85"/>
        <item m="1" x="152"/>
        <item m="1" x="104"/>
        <item m="1" x="212"/>
        <item m="1" x="263"/>
        <item m="1" x="140"/>
        <item m="1" x="86"/>
        <item m="1" x="142"/>
        <item m="1" x="73"/>
        <item m="1" x="249"/>
        <item m="1" x="316"/>
        <item m="1" x="267"/>
        <item m="1" x="303"/>
        <item m="1" x="133"/>
        <item m="1" x="194"/>
        <item m="1" x="146"/>
        <item m="1" x="151"/>
        <item m="1" x="138"/>
        <item m="1" x="44"/>
        <item m="1" x="55"/>
        <item m="1" x="139"/>
        <item m="1" x="20"/>
        <item m="1" x="108"/>
        <item m="1" x="30"/>
        <item m="1" x="60"/>
        <item m="1" x="53"/>
        <item m="1" x="295"/>
        <item m="1" x="56"/>
        <item m="1" x="278"/>
        <item m="1" x="109"/>
        <item m="1" x="164"/>
        <item m="1" x="21"/>
        <item m="1" x="259"/>
        <item m="1" x="143"/>
        <item m="1" x="141"/>
        <item m="1" x="99"/>
        <item m="1" x="110"/>
        <item m="1" x="111"/>
        <item m="1" x="311"/>
        <item m="1" x="322"/>
        <item m="1" x="190"/>
        <item m="1" x="293"/>
        <item m="1" x="147"/>
        <item m="1" x="89"/>
        <item x="10"/>
        <item m="1" x="202"/>
        <item m="1" x="204"/>
        <item m="1" x="95"/>
        <item m="1" x="145"/>
        <item m="1" x="156"/>
        <item m="1" x="215"/>
        <item m="1" x="308"/>
        <item m="1" x="300"/>
        <item m="1" x="287"/>
        <item m="1" x="324"/>
        <item m="1" x="148"/>
        <item m="1" x="22"/>
        <item m="1" x="264"/>
        <item m="1" x="252"/>
        <item m="1" x="201"/>
        <item m="1" x="294"/>
        <item m="1" x="116"/>
        <item m="1" x="318"/>
        <item m="1" x="217"/>
        <item m="1" x="327"/>
        <item m="1" x="299"/>
        <item m="1" x="256"/>
        <item m="1" x="191"/>
        <item m="1" x="90"/>
        <item m="1" x="68"/>
        <item m="1" x="330"/>
        <item m="1" x="276"/>
        <item m="1" x="91"/>
        <item m="1" x="326"/>
        <item m="1" x="155"/>
        <item m="1" x="157"/>
        <item m="1" x="281"/>
        <item m="1" x="206"/>
        <item m="1" x="11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11">
    <i>
      <x v="170"/>
    </i>
    <i>
      <x v="171"/>
    </i>
    <i>
      <x v="172"/>
    </i>
    <i>
      <x v="173"/>
    </i>
    <i>
      <x v="175"/>
    </i>
    <i>
      <x v="179"/>
    </i>
    <i>
      <x v="185"/>
    </i>
    <i>
      <x v="202"/>
    </i>
    <i>
      <x v="205"/>
    </i>
    <i>
      <x v="208"/>
    </i>
    <i t="grand">
      <x/>
    </i>
  </rowItems>
  <colItems count="1">
    <i/>
  </colItems>
  <dataFields count="1">
    <dataField name="Count of Check in " fld="10" subtotal="count" baseField="0" baseItem="0"/>
  </dataFields>
  <formats count="31">
    <format dxfId="258">
      <pivotArea type="all" dataOnly="0" outline="0" fieldPosition="0"/>
    </format>
    <format dxfId="257">
      <pivotArea outline="0" collapsedLevelsAreSubtotals="1" fieldPosition="0"/>
    </format>
    <format dxfId="256">
      <pivotArea dataOnly="0" labelOnly="1" grandRow="1" outline="0" fieldPosition="0"/>
    </format>
    <format dxfId="255">
      <pivotArea dataOnly="0" labelOnly="1" outline="0" axis="axisValues" fieldPosition="0"/>
    </format>
    <format dxfId="254">
      <pivotArea type="all" dataOnly="0" outline="0" fieldPosition="0"/>
    </format>
    <format dxfId="253">
      <pivotArea outline="0" collapsedLevelsAreSubtotals="1" fieldPosition="0"/>
    </format>
    <format dxfId="252">
      <pivotArea dataOnly="0" labelOnly="1" grandRow="1" outline="0" fieldPosition="0"/>
    </format>
    <format dxfId="251">
      <pivotArea dataOnly="0" labelOnly="1" outline="0" axis="axisValues" fieldPosition="0"/>
    </format>
    <format dxfId="250">
      <pivotArea dataOnly="0" labelOnly="1" grandRow="1" outline="0" fieldPosition="0"/>
    </format>
    <format dxfId="249">
      <pivotArea type="all" dataOnly="0" outline="0" fieldPosition="0"/>
    </format>
    <format dxfId="248">
      <pivotArea outline="0" collapsedLevelsAreSubtotals="1" fieldPosition="0"/>
    </format>
    <format dxfId="247">
      <pivotArea dataOnly="0" labelOnly="1" grandRow="1" outline="0" fieldPosition="0"/>
    </format>
    <format dxfId="246">
      <pivotArea dataOnly="0" grandRow="1" axis="axisRow" fieldPosition="0"/>
    </format>
    <format dxfId="245">
      <pivotArea dataOnly="0" grandRow="1" fieldPosition="0"/>
    </format>
    <format dxfId="244">
      <pivotArea collapsedLevelsAreSubtotals="1" fieldPosition="0">
        <references count="1">
          <reference field="10" count="0"/>
        </references>
      </pivotArea>
    </format>
    <format dxfId="243">
      <pivotArea dataOnly="0" labelOnly="1" fieldPosition="0">
        <references count="1">
          <reference field="10" count="0"/>
        </references>
      </pivotArea>
    </format>
    <format dxfId="242">
      <pivotArea field="10" type="button" dataOnly="0" labelOnly="1" outline="0" axis="axisRow" fieldPosition="0"/>
    </format>
    <format dxfId="241">
      <pivotArea dataOnly="0" labelOnly="1" outline="0" axis="axisValues" fieldPosition="0"/>
    </format>
    <format dxfId="240">
      <pivotArea type="all" dataOnly="0" outline="0" fieldPosition="0"/>
    </format>
    <format dxfId="239">
      <pivotArea outline="0" collapsedLevelsAreSubtotals="1" fieldPosition="0"/>
    </format>
    <format dxfId="238">
      <pivotArea field="10" type="button" dataOnly="0" labelOnly="1" outline="0" axis="axisRow" fieldPosition="0"/>
    </format>
    <format dxfId="237">
      <pivotArea dataOnly="0" labelOnly="1" fieldPosition="0">
        <references count="1">
          <reference field="10" count="0"/>
        </references>
      </pivotArea>
    </format>
    <format dxfId="236">
      <pivotArea dataOnly="0" labelOnly="1" grandRow="1" outline="0" fieldPosition="0"/>
    </format>
    <format dxfId="235">
      <pivotArea dataOnly="0" labelOnly="1" outline="0" axis="axisValues" fieldPosition="0"/>
    </format>
    <format dxfId="234">
      <pivotArea type="all" dataOnly="0" outline="0" fieldPosition="0"/>
    </format>
    <format dxfId="233">
      <pivotArea outline="0" collapsedLevelsAreSubtotals="1" fieldPosition="0"/>
    </format>
    <format dxfId="232">
      <pivotArea dataOnly="0" labelOnly="1" fieldPosition="0">
        <references count="1">
          <reference field="10" count="0"/>
        </references>
      </pivotArea>
    </format>
    <format dxfId="231">
      <pivotArea field="10" type="button" dataOnly="0" labelOnly="1" outline="0" axis="axisRow" fieldPosition="0"/>
    </format>
    <format dxfId="230">
      <pivotArea dataOnly="0" labelOnly="1" outline="0" axis="axisValues" fieldPosition="0"/>
    </format>
    <format dxfId="229">
      <pivotArea grandRow="1" outline="0" collapsedLevelsAreSubtotals="1" fieldPosition="0"/>
    </format>
    <format dxfId="228">
      <pivotArea dataOnly="0" labelOnly="1" grandRow="1" outline="0" fieldPosition="0"/>
    </format>
  </formats>
  <chartFormats count="1">
    <chartFormat chart="3" format="3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thisYear" evalOrder="-1" id="1">
      <autoFilter ref="A1">
        <filterColumn colId="0">
          <dynamicFilter type="thisYear" val="45658" maxVal="4602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5" cacheId="8"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6" rowHeaderCaption="Room" colHeaderCaption="Arrival Date">
  <location ref="B76:H83" firstHeaderRow="0" firstDataRow="1" firstDataCol="1"/>
  <pivotFields count="25">
    <pivotField showAll="0"/>
    <pivotField showAll="0"/>
    <pivotField showAll="0"/>
    <pivotField axis="axisRow" showAll="0">
      <items count="13">
        <item x="5"/>
        <item m="1" x="6"/>
        <item m="1" x="8"/>
        <item m="1" x="7"/>
        <item m="1" x="11"/>
        <item m="1" x="10"/>
        <item m="1" x="9"/>
        <item x="4"/>
        <item x="0"/>
        <item x="1"/>
        <item x="2"/>
        <item x="3"/>
        <item t="default"/>
      </items>
    </pivotField>
    <pivotField showAll="0"/>
    <pivotField showAll="0"/>
    <pivotField showAll="0"/>
    <pivotField numFmtId="10" showAll="0"/>
    <pivotField numFmtId="10" showAll="0"/>
    <pivotField showAll="0"/>
    <pivotField numFmtId="14" showAll="0"/>
    <pivotField numFmtId="14"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s>
  <rowFields count="1">
    <field x="3"/>
  </rowFields>
  <rowItems count="7">
    <i>
      <x/>
    </i>
    <i>
      <x v="7"/>
    </i>
    <i>
      <x v="8"/>
    </i>
    <i>
      <x v="9"/>
    </i>
    <i>
      <x v="10"/>
    </i>
    <i>
      <x v="11"/>
    </i>
    <i t="grand">
      <x/>
    </i>
  </rowItems>
  <colFields count="1">
    <field x="-2"/>
  </colFields>
  <colItems count="6">
    <i>
      <x/>
    </i>
    <i i="1">
      <x v="1"/>
    </i>
    <i i="2">
      <x v="2"/>
    </i>
    <i i="3">
      <x v="3"/>
    </i>
    <i i="4">
      <x v="4"/>
    </i>
    <i i="5">
      <x v="5"/>
    </i>
  </colItems>
  <dataFields count="6">
    <dataField name=" JUL 25" fld="19" baseField="0" baseItem="0"/>
    <dataField name=" AUG 25" fld="20" baseField="0" baseItem="0"/>
    <dataField name="SEPT 25" fld="21" baseField="0" baseItem="0"/>
    <dataField name="OCT 25" fld="22" baseField="0" baseItem="0"/>
    <dataField name=" NOV 25" fld="23" baseField="0" baseItem="0"/>
    <dataField name="DEC 25" fld="24" baseField="0" baseItem="0"/>
  </dataFields>
  <formats count="14">
    <format dxfId="272">
      <pivotArea type="all" dataOnly="0" outline="0" fieldPosition="0"/>
    </format>
    <format dxfId="271">
      <pivotArea type="all" dataOnly="0" outline="0" fieldPosition="0"/>
    </format>
    <format dxfId="270">
      <pivotArea outline="0" collapsedLevelsAreSubtotals="1" fieldPosition="0"/>
    </format>
    <format dxfId="269">
      <pivotArea type="origin" dataOnly="0" labelOnly="1" outline="0" fieldPosition="0"/>
    </format>
    <format dxfId="268">
      <pivotArea type="topRight" dataOnly="0" labelOnly="1" outline="0" fieldPosition="0"/>
    </format>
    <format dxfId="267">
      <pivotArea dataOnly="0" labelOnly="1" grandRow="1" outline="0" fieldPosition="0"/>
    </format>
    <format dxfId="266">
      <pivotArea dataOnly="0" labelOnly="1" grandCol="1" outline="0" fieldPosition="0"/>
    </format>
    <format dxfId="265">
      <pivotArea type="all" dataOnly="0" outline="0" fieldPosition="0"/>
    </format>
    <format dxfId="264">
      <pivotArea outline="0" collapsedLevelsAreSubtotals="1" fieldPosition="0"/>
    </format>
    <format dxfId="263">
      <pivotArea dataOnly="0" labelOnly="1" fieldPosition="0">
        <references count="1">
          <reference field="3" count="0"/>
        </references>
      </pivotArea>
    </format>
    <format dxfId="262">
      <pivotArea field="3" type="button" dataOnly="0" labelOnly="1" outline="0" axis="axisRow" fieldPosition="0"/>
    </format>
    <format dxfId="261">
      <pivotArea dataOnly="0" labelOnly="1" outline="0" fieldPosition="0">
        <references count="1">
          <reference field="4294967294" count="6">
            <x v="0"/>
            <x v="1"/>
            <x v="2"/>
            <x v="3"/>
            <x v="4"/>
            <x v="5"/>
          </reference>
        </references>
      </pivotArea>
    </format>
    <format dxfId="260">
      <pivotArea grandRow="1" outline="0" collapsedLevelsAreSubtotals="1" fieldPosition="0"/>
    </format>
    <format dxfId="259">
      <pivotArea dataOnly="0" labelOnly="1" grandRow="1" outline="0" fieldPosition="0"/>
    </format>
  </formats>
  <chartFormats count="6">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 chart="1" format="6" series="1">
      <pivotArea type="data" outline="0" fieldPosition="0">
        <references count="1">
          <reference field="4294967294" count="1" selected="0">
            <x v="3"/>
          </reference>
        </references>
      </pivotArea>
    </chartFormat>
    <chartFormat chart="1" format="7" series="1">
      <pivotArea type="data" outline="0" fieldPosition="0">
        <references count="1">
          <reference field="4294967294" count="1" selected="0">
            <x v="4"/>
          </reference>
        </references>
      </pivotArea>
    </chartFormat>
    <chartFormat chart="1" format="8"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Table6" cacheId="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S32:S33" firstHeaderRow="1" firstDataRow="1" firstDataCol="0"/>
  <pivotFields count="25">
    <pivotField showAll="0"/>
    <pivotField showAll="0"/>
    <pivotField showAll="0"/>
    <pivotField showAll="0"/>
    <pivotField showAll="0"/>
    <pivotField showAll="0"/>
    <pivotField dataField="1" showAll="0"/>
    <pivotField numFmtId="10" showAll="0"/>
    <pivotField numFmtId="10"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Amount"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Table8" cacheId="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3">
  <location ref="S46:T59" firstHeaderRow="1" firstDataRow="1" firstDataCol="1"/>
  <pivotFields count="25">
    <pivotField axis="axisRow" showAll="0">
      <items count="15">
        <item m="1" x="12"/>
        <item m="1" x="13"/>
        <item x="1"/>
        <item x="3"/>
        <item x="4"/>
        <item x="0"/>
        <item x="11"/>
        <item x="6"/>
        <item x="2"/>
        <item x="5"/>
        <item x="7"/>
        <item x="8"/>
        <item x="9"/>
        <item x="10"/>
        <item t="default"/>
      </items>
    </pivotField>
    <pivotField showAll="0"/>
    <pivotField showAll="0"/>
    <pivotField showAll="0"/>
    <pivotField showAll="0"/>
    <pivotField showAll="0"/>
    <pivotField showAll="0"/>
    <pivotField dataField="1" numFmtId="10" showAll="0"/>
    <pivotField numFmtId="10"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3">
    <i>
      <x v="2"/>
    </i>
    <i>
      <x v="3"/>
    </i>
    <i>
      <x v="4"/>
    </i>
    <i>
      <x v="5"/>
    </i>
    <i>
      <x v="6"/>
    </i>
    <i>
      <x v="7"/>
    </i>
    <i>
      <x v="8"/>
    </i>
    <i>
      <x v="9"/>
    </i>
    <i>
      <x v="10"/>
    </i>
    <i>
      <x v="11"/>
    </i>
    <i>
      <x v="12"/>
    </i>
    <i>
      <x v="13"/>
    </i>
    <i t="grand">
      <x/>
    </i>
  </rowItems>
  <colItems count="1">
    <i/>
  </colItems>
  <dataFields count="1">
    <dataField name="Sum of Share Rev " fld="7" baseField="0" baseItem="0" numFmtId="10"/>
  </dataFields>
  <formats count="1">
    <format dxfId="10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C000000}" name="PivotTable5" cacheId="8"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location ref="A327:A340" firstHeaderRow="1" firstDataRow="1" firstDataCol="1"/>
  <pivotFields count="25">
    <pivotField axis="axisRow" showAll="0">
      <items count="15">
        <item m="1" x="12"/>
        <item m="1" x="13"/>
        <item x="1"/>
        <item x="3"/>
        <item x="4"/>
        <item x="0"/>
        <item x="11"/>
        <item x="6"/>
        <item x="2"/>
        <item x="5"/>
        <item x="7"/>
        <item x="8"/>
        <item x="9"/>
        <item x="10"/>
        <item t="default"/>
      </items>
    </pivotField>
    <pivotField showAll="0"/>
    <pivotField showAll="0"/>
    <pivotField showAll="0"/>
    <pivotField showAll="0"/>
    <pivotField showAll="0"/>
    <pivotField showAll="0"/>
    <pivotField numFmtId="10" showAll="0"/>
    <pivotField numFmtId="10"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3">
    <i>
      <x v="2"/>
    </i>
    <i>
      <x v="3"/>
    </i>
    <i>
      <x v="4"/>
    </i>
    <i>
      <x v="5"/>
    </i>
    <i>
      <x v="6"/>
    </i>
    <i>
      <x v="7"/>
    </i>
    <i>
      <x v="8"/>
    </i>
    <i>
      <x v="9"/>
    </i>
    <i>
      <x v="10"/>
    </i>
    <i>
      <x v="11"/>
    </i>
    <i>
      <x v="12"/>
    </i>
    <i>
      <x v="13"/>
    </i>
    <i t="grand">
      <x/>
    </i>
  </rowItems>
  <colItems count="1">
    <i/>
  </colItems>
  <formats count="7">
    <format dxfId="116">
      <pivotArea outline="0" collapsedLevelsAreSubtotals="1" fieldPosition="0"/>
    </format>
    <format dxfId="115">
      <pivotArea type="all" dataOnly="0" outline="0" fieldPosition="0"/>
    </format>
    <format dxfId="114">
      <pivotArea outline="0" collapsedLevelsAreSubtotals="1" fieldPosition="0"/>
    </format>
    <format dxfId="113">
      <pivotArea field="0" type="button" dataOnly="0" labelOnly="1" outline="0" axis="axisRow" fieldPosition="0"/>
    </format>
    <format dxfId="112">
      <pivotArea dataOnly="0" labelOnly="1" fieldPosition="0">
        <references count="1">
          <reference field="0" count="0"/>
        </references>
      </pivotArea>
    </format>
    <format dxfId="111">
      <pivotArea dataOnly="0" labelOnly="1" grandRow="1" outline="0" fieldPosition="0"/>
    </format>
    <format dxfId="1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8000000}" name="PivotTable7" cacheId="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S40:S41" firstHeaderRow="1" firstDataRow="1" firstDataCol="0"/>
  <pivotFields count="25">
    <pivotField showAll="0"/>
    <pivotField showAll="0"/>
    <pivotField showAll="0"/>
    <pivotField showAll="0"/>
    <pivotField showAll="0"/>
    <pivotField showAll="0"/>
    <pivotField showAll="0"/>
    <pivotField numFmtId="10" showAll="0"/>
    <pivotField numFmtId="10" showAll="0"/>
    <pivotField showAll="0"/>
    <pivotField numFmtId="14" showAll="0"/>
    <pivotField numFmtId="14"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NIGHTS"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Table4" cacheId="8"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location ref="A102:B115" firstHeaderRow="1" firstDataRow="1" firstDataCol="1"/>
  <pivotFields count="25">
    <pivotField axis="axisRow" showAll="0">
      <items count="15">
        <item m="1" x="12"/>
        <item m="1" x="13"/>
        <item x="1"/>
        <item x="3"/>
        <item x="4"/>
        <item x="0"/>
        <item x="11"/>
        <item x="6"/>
        <item x="2"/>
        <item x="5"/>
        <item x="7"/>
        <item x="8"/>
        <item x="9"/>
        <item x="10"/>
        <item t="default"/>
      </items>
    </pivotField>
    <pivotField showAll="0"/>
    <pivotField showAll="0"/>
    <pivotField showAll="0"/>
    <pivotField showAll="0"/>
    <pivotField showAll="0"/>
    <pivotField dataField="1" showAll="0"/>
    <pivotField numFmtId="10" showAll="0"/>
    <pivotField numFmtId="10"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3">
    <i>
      <x v="2"/>
    </i>
    <i>
      <x v="3"/>
    </i>
    <i>
      <x v="4"/>
    </i>
    <i>
      <x v="5"/>
    </i>
    <i>
      <x v="6"/>
    </i>
    <i>
      <x v="7"/>
    </i>
    <i>
      <x v="8"/>
    </i>
    <i>
      <x v="9"/>
    </i>
    <i>
      <x v="10"/>
    </i>
    <i>
      <x v="11"/>
    </i>
    <i>
      <x v="12"/>
    </i>
    <i>
      <x v="13"/>
    </i>
    <i t="grand">
      <x/>
    </i>
  </rowItems>
  <colItems count="1">
    <i/>
  </colItems>
  <dataFields count="1">
    <dataField name="Sum of Amount" fld="6" baseField="0" baseItem="0"/>
  </dataFields>
  <formats count="6">
    <format dxfId="122">
      <pivotArea type="all" dataOnly="0" outline="0" fieldPosition="0"/>
    </format>
    <format dxfId="121">
      <pivotArea outline="0" collapsedLevelsAreSubtotals="1" fieldPosition="0"/>
    </format>
    <format dxfId="120">
      <pivotArea field="0" type="button" dataOnly="0" labelOnly="1" outline="0" axis="axisRow" fieldPosition="0"/>
    </format>
    <format dxfId="119">
      <pivotArea dataOnly="0" labelOnly="1" fieldPosition="0">
        <references count="1">
          <reference field="0" count="0"/>
        </references>
      </pivotArea>
    </format>
    <format dxfId="118">
      <pivotArea dataOnly="0" labelOnly="1" grandRow="1" outline="0" fieldPosition="0"/>
    </format>
    <format dxfId="11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100-00000B000000}" name="PivotTable9" cacheId="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T142:U155" firstHeaderRow="1" firstDataRow="1" firstDataCol="1"/>
  <pivotFields count="25">
    <pivotField axis="axisRow" showAll="0">
      <items count="15">
        <item m="1" x="12"/>
        <item m="1" x="13"/>
        <item x="1"/>
        <item x="3"/>
        <item x="4"/>
        <item x="0"/>
        <item x="11"/>
        <item x="6"/>
        <item x="2"/>
        <item x="5"/>
        <item x="7"/>
        <item x="8"/>
        <item x="9"/>
        <item x="10"/>
        <item t="default"/>
      </items>
    </pivotField>
    <pivotField showAll="0"/>
    <pivotField showAll="0"/>
    <pivotField showAll="0"/>
    <pivotField showAll="0"/>
    <pivotField showAll="0"/>
    <pivotField showAll="0"/>
    <pivotField numFmtId="10" showAll="0"/>
    <pivotField dataField="1" numFmtId="10"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3">
    <i>
      <x v="2"/>
    </i>
    <i>
      <x v="3"/>
    </i>
    <i>
      <x v="4"/>
    </i>
    <i>
      <x v="5"/>
    </i>
    <i>
      <x v="6"/>
    </i>
    <i>
      <x v="7"/>
    </i>
    <i>
      <x v="8"/>
    </i>
    <i>
      <x v="9"/>
    </i>
    <i>
      <x v="10"/>
    </i>
    <i>
      <x v="11"/>
    </i>
    <i>
      <x v="12"/>
    </i>
    <i>
      <x v="13"/>
    </i>
    <i t="grand">
      <x/>
    </i>
  </rowItems>
  <colItems count="1">
    <i/>
  </colItems>
  <dataFields count="1">
    <dataField name="Sum of Share RN" fld="8" baseField="0" baseItem="0" numFmtId="10"/>
  </dataFields>
  <formats count="1">
    <format dxfId="1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100-00000A000000}" name="PivotTable1" cacheId="8" dataOnRows="1" applyNumberFormats="0" applyBorderFormats="0" applyFontFormats="0" applyPatternFormats="0" applyAlignmentFormats="0" applyWidthHeightFormats="1" dataCaption="Values" grandTotalCaption="Total" updatedVersion="8" minRefreshableVersion="3" itemPrintTitles="1" createdVersion="7" indent="0" outline="1" outlineData="1" multipleFieldFilters="0" chartFormat="19" rowHeaderCaption="Company Name">
  <location ref="A81:N87" firstHeaderRow="1" firstDataRow="2" firstDataCol="1"/>
  <pivotFields count="25">
    <pivotField axis="axisCol" showAll="0" sortType="ascending">
      <items count="15">
        <item m="1" x="12"/>
        <item m="1" x="13"/>
        <item x="6"/>
        <item x="5"/>
        <item x="2"/>
        <item x="1"/>
        <item x="0"/>
        <item x="9"/>
        <item x="3"/>
        <item x="11"/>
        <item x="7"/>
        <item x="4"/>
        <item x="10"/>
        <item x="8"/>
        <item t="default"/>
      </items>
    </pivotField>
    <pivotField showAll="0"/>
    <pivotField showAll="0"/>
    <pivotField showAll="0"/>
    <pivotField showAll="0"/>
    <pivotField showAll="0"/>
    <pivotField showAll="0"/>
    <pivotField numFmtId="10" showAll="0"/>
    <pivotField numFmtId="10" showAll="0"/>
    <pivotField showAll="0"/>
    <pivotField numFmtId="14" showAll="0"/>
    <pivotField numFmtId="14" showAll="0"/>
    <pivotField showAll="0"/>
    <pivotField showAll="0"/>
    <pivotField multipleItemSelectionAllowed="1" showAll="0"/>
    <pivotField showAll="0"/>
    <pivotField showAll="0"/>
    <pivotField showAll="0"/>
    <pivotField showAll="0"/>
    <pivotField showAll="0"/>
    <pivotField dataField="1" showAll="0"/>
    <pivotField dataField="1" showAll="0"/>
    <pivotField dataField="1" showAll="0"/>
    <pivotField dataField="1" showAll="0"/>
    <pivotField dataField="1" showAll="0"/>
  </pivotFields>
  <rowFields count="1">
    <field x="-2"/>
  </rowFields>
  <rowItems count="5">
    <i>
      <x/>
    </i>
    <i i="1">
      <x v="1"/>
    </i>
    <i i="2">
      <x v="2"/>
    </i>
    <i i="3">
      <x v="3"/>
    </i>
    <i i="4">
      <x v="4"/>
    </i>
  </rowItems>
  <colFields count="1">
    <field x="0"/>
  </colFields>
  <colItems count="13">
    <i>
      <x v="2"/>
    </i>
    <i>
      <x v="3"/>
    </i>
    <i>
      <x v="4"/>
    </i>
    <i>
      <x v="5"/>
    </i>
    <i>
      <x v="6"/>
    </i>
    <i>
      <x v="7"/>
    </i>
    <i>
      <x v="8"/>
    </i>
    <i>
      <x v="9"/>
    </i>
    <i>
      <x v="10"/>
    </i>
    <i>
      <x v="11"/>
    </i>
    <i>
      <x v="12"/>
    </i>
    <i>
      <x v="13"/>
    </i>
    <i t="grand">
      <x/>
    </i>
  </colItems>
  <dataFields count="5">
    <dataField name="AUG 25" fld="20" baseField="0" baseItem="0"/>
    <dataField name="SEP 25" fld="21" baseField="0" baseItem="0"/>
    <dataField name="OCT 25" fld="22" baseField="0" baseItem="0"/>
    <dataField name="NOV 25" fld="23" baseField="0" baseItem="0"/>
    <dataField name="DEC 25" fld="24" baseField="0" baseItem="0"/>
  </dataFields>
  <formats count="1">
    <format dxfId="124">
      <pivotArea type="all" dataOnly="0" outline="0" fieldPosition="0"/>
    </format>
  </formats>
  <chartFormats count="42">
    <chartFormat chart="18" format="185">
      <pivotArea type="data" outline="0" fieldPosition="0">
        <references count="2">
          <reference field="4294967294" count="1" selected="0">
            <x v="0"/>
          </reference>
          <reference field="0" count="1" selected="0">
            <x v="0"/>
          </reference>
        </references>
      </pivotArea>
    </chartFormat>
    <chartFormat chart="18" format="186">
      <pivotArea type="data" outline="0" fieldPosition="0">
        <references count="2">
          <reference field="4294967294" count="1" selected="0">
            <x v="1"/>
          </reference>
          <reference field="0" count="1" selected="0">
            <x v="0"/>
          </reference>
        </references>
      </pivotArea>
    </chartFormat>
    <chartFormat chart="18" format="187">
      <pivotArea type="data" outline="0" fieldPosition="0">
        <references count="2">
          <reference field="4294967294" count="1" selected="0">
            <x v="2"/>
          </reference>
          <reference field="0" count="1" selected="0">
            <x v="0"/>
          </reference>
        </references>
      </pivotArea>
    </chartFormat>
    <chartFormat chart="18" format="188">
      <pivotArea type="data" outline="0" fieldPosition="0">
        <references count="2">
          <reference field="4294967294" count="1" selected="0">
            <x v="3"/>
          </reference>
          <reference field="0" count="1" selected="0">
            <x v="0"/>
          </reference>
        </references>
      </pivotArea>
    </chartFormat>
    <chartFormat chart="18" format="189">
      <pivotArea type="data" outline="0" fieldPosition="0">
        <references count="2">
          <reference field="4294967294" count="1" selected="0">
            <x v="4"/>
          </reference>
          <reference field="0" count="1" selected="0">
            <x v="0"/>
          </reference>
        </references>
      </pivotArea>
    </chartFormat>
    <chartFormat chart="18" format="646">
      <pivotArea type="data" outline="0" fieldPosition="0">
        <references count="2">
          <reference field="4294967294" count="1" selected="0">
            <x v="0"/>
          </reference>
          <reference field="0" count="1" selected="0">
            <x v="5"/>
          </reference>
        </references>
      </pivotArea>
    </chartFormat>
    <chartFormat chart="18" format="647">
      <pivotArea type="data" outline="0" fieldPosition="0">
        <references count="2">
          <reference field="4294967294" count="1" selected="0">
            <x v="1"/>
          </reference>
          <reference field="0" count="1" selected="0">
            <x v="5"/>
          </reference>
        </references>
      </pivotArea>
    </chartFormat>
    <chartFormat chart="18" format="648">
      <pivotArea type="data" outline="0" fieldPosition="0">
        <references count="2">
          <reference field="4294967294" count="1" selected="0">
            <x v="2"/>
          </reference>
          <reference field="0" count="1" selected="0">
            <x v="5"/>
          </reference>
        </references>
      </pivotArea>
    </chartFormat>
    <chartFormat chart="18" format="649">
      <pivotArea type="data" outline="0" fieldPosition="0">
        <references count="2">
          <reference field="4294967294" count="1" selected="0">
            <x v="3"/>
          </reference>
          <reference field="0" count="1" selected="0">
            <x v="5"/>
          </reference>
        </references>
      </pivotArea>
    </chartFormat>
    <chartFormat chart="18" format="650">
      <pivotArea type="data" outline="0" fieldPosition="0">
        <references count="2">
          <reference field="4294967294" count="1" selected="0">
            <x v="4"/>
          </reference>
          <reference field="0" count="1" selected="0">
            <x v="5"/>
          </reference>
        </references>
      </pivotArea>
    </chartFormat>
    <chartFormat chart="18" format="3331">
      <pivotArea type="data" outline="0" fieldPosition="0">
        <references count="2">
          <reference field="4294967294" count="1" selected="0">
            <x v="0"/>
          </reference>
          <reference field="0" count="1" selected="0">
            <x v="8"/>
          </reference>
        </references>
      </pivotArea>
    </chartFormat>
    <chartFormat chart="18" format="3332">
      <pivotArea type="data" outline="0" fieldPosition="0">
        <references count="2">
          <reference field="4294967294" count="1" selected="0">
            <x v="1"/>
          </reference>
          <reference field="0" count="1" selected="0">
            <x v="8"/>
          </reference>
        </references>
      </pivotArea>
    </chartFormat>
    <chartFormat chart="18" format="3333">
      <pivotArea type="data" outline="0" fieldPosition="0">
        <references count="2">
          <reference field="4294967294" count="1" selected="0">
            <x v="2"/>
          </reference>
          <reference field="0" count="1" selected="0">
            <x v="8"/>
          </reference>
        </references>
      </pivotArea>
    </chartFormat>
    <chartFormat chart="18" format="3334">
      <pivotArea type="data" outline="0" fieldPosition="0">
        <references count="2">
          <reference field="4294967294" count="1" selected="0">
            <x v="3"/>
          </reference>
          <reference field="0" count="1" selected="0">
            <x v="8"/>
          </reference>
        </references>
      </pivotArea>
    </chartFormat>
    <chartFormat chart="18" format="3335">
      <pivotArea type="data" outline="0" fieldPosition="0">
        <references count="2">
          <reference field="4294967294" count="1" selected="0">
            <x v="4"/>
          </reference>
          <reference field="0" count="1" selected="0">
            <x v="8"/>
          </reference>
        </references>
      </pivotArea>
    </chartFormat>
    <chartFormat chart="18" format="3607" series="1">
      <pivotArea type="data" outline="0" fieldPosition="0">
        <references count="2">
          <reference field="4294967294" count="1" selected="0">
            <x v="0"/>
          </reference>
          <reference field="0" count="1" selected="0">
            <x v="8"/>
          </reference>
        </references>
      </pivotArea>
    </chartFormat>
    <chartFormat chart="16" format="692" series="1">
      <pivotArea type="data" outline="0" fieldPosition="0">
        <references count="2">
          <reference field="4294967294" count="1" selected="0">
            <x v="0"/>
          </reference>
          <reference field="0" count="1" selected="0">
            <x v="8"/>
          </reference>
        </references>
      </pivotArea>
    </chartFormat>
    <chartFormat chart="16" format="698" series="1">
      <pivotArea type="data" outline="0" fieldPosition="0">
        <references count="2">
          <reference field="4294967294" count="1" selected="0">
            <x v="0"/>
          </reference>
          <reference field="0" count="1" selected="0">
            <x v="5"/>
          </reference>
        </references>
      </pivotArea>
    </chartFormat>
    <chartFormat chart="18" format="3618" series="1">
      <pivotArea type="data" outline="0" fieldPosition="0">
        <references count="2">
          <reference field="4294967294" count="1" selected="0">
            <x v="0"/>
          </reference>
          <reference field="0" count="1" selected="0">
            <x v="5"/>
          </reference>
        </references>
      </pivotArea>
    </chartFormat>
    <chartFormat chart="16" format="743" series="1">
      <pivotArea type="data" outline="0" fieldPosition="0">
        <references count="2">
          <reference field="4294967294" count="1" selected="0">
            <x v="0"/>
          </reference>
          <reference field="0" count="1" selected="0">
            <x v="11"/>
          </reference>
        </references>
      </pivotArea>
    </chartFormat>
    <chartFormat chart="18" format="3823" series="1">
      <pivotArea type="data" outline="0" fieldPosition="0">
        <references count="2">
          <reference field="4294967294" count="1" selected="0">
            <x v="0"/>
          </reference>
          <reference field="0" count="1" selected="0">
            <x v="11"/>
          </reference>
        </references>
      </pivotArea>
    </chartFormat>
    <chartFormat chart="18" format="3859">
      <pivotArea type="data" outline="0" fieldPosition="0">
        <references count="2">
          <reference field="4294967294" count="1" selected="0">
            <x v="0"/>
          </reference>
          <reference field="0" count="1" selected="0">
            <x v="11"/>
          </reference>
        </references>
      </pivotArea>
    </chartFormat>
    <chartFormat chart="18" format="3860">
      <pivotArea type="data" outline="0" fieldPosition="0">
        <references count="2">
          <reference field="4294967294" count="1" selected="0">
            <x v="1"/>
          </reference>
          <reference field="0" count="1" selected="0">
            <x v="11"/>
          </reference>
        </references>
      </pivotArea>
    </chartFormat>
    <chartFormat chart="18" format="3861">
      <pivotArea type="data" outline="0" fieldPosition="0">
        <references count="2">
          <reference field="4294967294" count="1" selected="0">
            <x v="2"/>
          </reference>
          <reference field="0" count="1" selected="0">
            <x v="11"/>
          </reference>
        </references>
      </pivotArea>
    </chartFormat>
    <chartFormat chart="18" format="3862">
      <pivotArea type="data" outline="0" fieldPosition="0">
        <references count="2">
          <reference field="4294967294" count="1" selected="0">
            <x v="3"/>
          </reference>
          <reference field="0" count="1" selected="0">
            <x v="11"/>
          </reference>
        </references>
      </pivotArea>
    </chartFormat>
    <chartFormat chart="18" format="3863">
      <pivotArea type="data" outline="0" fieldPosition="0">
        <references count="2">
          <reference field="4294967294" count="1" selected="0">
            <x v="4"/>
          </reference>
          <reference field="0" count="1" selected="0">
            <x v="11"/>
          </reference>
        </references>
      </pivotArea>
    </chartFormat>
    <chartFormat chart="16" format="765" series="1">
      <pivotArea type="data" outline="0" fieldPosition="0">
        <references count="2">
          <reference field="4294967294" count="1" selected="0">
            <x v="0"/>
          </reference>
          <reference field="0" count="1" selected="0">
            <x v="6"/>
          </reference>
        </references>
      </pivotArea>
    </chartFormat>
    <chartFormat chart="18" format="3930" series="1">
      <pivotArea type="data" outline="0" fieldPosition="0">
        <references count="2">
          <reference field="4294967294" count="1" selected="0">
            <x v="0"/>
          </reference>
          <reference field="0" count="1" selected="0">
            <x v="6"/>
          </reference>
        </references>
      </pivotArea>
    </chartFormat>
    <chartFormat chart="18" format="3947">
      <pivotArea type="data" outline="0" fieldPosition="0">
        <references count="2">
          <reference field="4294967294" count="1" selected="0">
            <x v="0"/>
          </reference>
          <reference field="0" count="1" selected="0">
            <x v="6"/>
          </reference>
        </references>
      </pivotArea>
    </chartFormat>
    <chartFormat chart="18" format="3948">
      <pivotArea type="data" outline="0" fieldPosition="0">
        <references count="2">
          <reference field="4294967294" count="1" selected="0">
            <x v="1"/>
          </reference>
          <reference field="0" count="1" selected="0">
            <x v="6"/>
          </reference>
        </references>
      </pivotArea>
    </chartFormat>
    <chartFormat chart="18" format="3949">
      <pivotArea type="data" outline="0" fieldPosition="0">
        <references count="2">
          <reference field="4294967294" count="1" selected="0">
            <x v="2"/>
          </reference>
          <reference field="0" count="1" selected="0">
            <x v="6"/>
          </reference>
        </references>
      </pivotArea>
    </chartFormat>
    <chartFormat chart="18" format="3950">
      <pivotArea type="data" outline="0" fieldPosition="0">
        <references count="2">
          <reference field="4294967294" count="1" selected="0">
            <x v="3"/>
          </reference>
          <reference field="0" count="1" selected="0">
            <x v="6"/>
          </reference>
        </references>
      </pivotArea>
    </chartFormat>
    <chartFormat chart="18" format="3951">
      <pivotArea type="data" outline="0" fieldPosition="0">
        <references count="2">
          <reference field="4294967294" count="1" selected="0">
            <x v="4"/>
          </reference>
          <reference field="0" count="1" selected="0">
            <x v="6"/>
          </reference>
        </references>
      </pivotArea>
    </chartFormat>
    <chartFormat chart="18" format="4039" series="1">
      <pivotArea type="data" outline="0" fieldPosition="0">
        <references count="2">
          <reference field="4294967294" count="1" selected="0">
            <x v="0"/>
          </reference>
          <reference field="0" count="1" selected="0">
            <x v="9"/>
          </reference>
        </references>
      </pivotArea>
    </chartFormat>
    <chartFormat chart="16" format="779" series="1">
      <pivotArea type="data" outline="0" fieldPosition="0">
        <references count="2">
          <reference field="4294967294" count="1" selected="0">
            <x v="0"/>
          </reference>
          <reference field="0" count="1" selected="0">
            <x v="9"/>
          </reference>
        </references>
      </pivotArea>
    </chartFormat>
    <chartFormat chart="18" format="4046">
      <pivotArea type="data" outline="0" fieldPosition="0">
        <references count="2">
          <reference field="4294967294" count="1" selected="0">
            <x v="0"/>
          </reference>
          <reference field="0" count="1" selected="0">
            <x v="9"/>
          </reference>
        </references>
      </pivotArea>
    </chartFormat>
    <chartFormat chart="18" format="4047">
      <pivotArea type="data" outline="0" fieldPosition="0">
        <references count="2">
          <reference field="4294967294" count="1" selected="0">
            <x v="1"/>
          </reference>
          <reference field="0" count="1" selected="0">
            <x v="9"/>
          </reference>
        </references>
      </pivotArea>
    </chartFormat>
    <chartFormat chart="18" format="4048">
      <pivotArea type="data" outline="0" fieldPosition="0">
        <references count="2">
          <reference field="4294967294" count="1" selected="0">
            <x v="2"/>
          </reference>
          <reference field="0" count="1" selected="0">
            <x v="9"/>
          </reference>
        </references>
      </pivotArea>
    </chartFormat>
    <chartFormat chart="18" format="4049">
      <pivotArea type="data" outline="0" fieldPosition="0">
        <references count="2">
          <reference field="4294967294" count="1" selected="0">
            <x v="3"/>
          </reference>
          <reference field="0" count="1" selected="0">
            <x v="9"/>
          </reference>
        </references>
      </pivotArea>
    </chartFormat>
    <chartFormat chart="18" format="4050">
      <pivotArea type="data" outline="0" fieldPosition="0">
        <references count="2">
          <reference field="4294967294" count="1" selected="0">
            <x v="4"/>
          </reference>
          <reference field="0" count="1" selected="0">
            <x v="9"/>
          </reference>
        </references>
      </pivotArea>
    </chartFormat>
    <chartFormat chart="16" format="781" series="1">
      <pivotArea type="data" outline="0" fieldPosition="0">
        <references count="2">
          <reference field="4294967294" count="1" selected="0">
            <x v="0"/>
          </reference>
          <reference field="0" count="1" selected="0">
            <x v="2"/>
          </reference>
        </references>
      </pivotArea>
    </chartFormat>
    <chartFormat chart="18" format="4061"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100-000009000000}" name="PivotTable3" cacheId="8"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rowHeaderCaption="Comp">
  <location ref="A36:B49" firstHeaderRow="1" firstDataRow="1" firstDataCol="1"/>
  <pivotFields count="25">
    <pivotField axis="axisRow" showAll="0">
      <items count="15">
        <item m="1" x="12"/>
        <item m="1" x="13"/>
        <item x="1"/>
        <item x="3"/>
        <item x="4"/>
        <item x="0"/>
        <item x="11"/>
        <item x="6"/>
        <item x="2"/>
        <item x="5"/>
        <item x="7"/>
        <item x="8"/>
        <item x="9"/>
        <item x="10"/>
        <item t="default"/>
      </items>
    </pivotField>
    <pivotField showAll="0"/>
    <pivotField showAll="0"/>
    <pivotField showAll="0"/>
    <pivotField showAll="0"/>
    <pivotField showAll="0"/>
    <pivotField showAll="0"/>
    <pivotField numFmtId="10" showAll="0"/>
    <pivotField numFmtId="10" showAll="0"/>
    <pivotField showAll="0"/>
    <pivotField numFmtId="14" showAll="0"/>
    <pivotField numFmtId="14"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13">
    <i>
      <x v="2"/>
    </i>
    <i>
      <x v="3"/>
    </i>
    <i>
      <x v="4"/>
    </i>
    <i>
      <x v="5"/>
    </i>
    <i>
      <x v="6"/>
    </i>
    <i>
      <x v="7"/>
    </i>
    <i>
      <x v="8"/>
    </i>
    <i>
      <x v="9"/>
    </i>
    <i>
      <x v="10"/>
    </i>
    <i>
      <x v="11"/>
    </i>
    <i>
      <x v="12"/>
    </i>
    <i>
      <x v="13"/>
    </i>
    <i t="grand">
      <x/>
    </i>
  </rowItems>
  <colItems count="1">
    <i/>
  </colItems>
  <dataFields count="1">
    <dataField name="NIGHT" fld="12" baseField="0" baseItem="0"/>
  </dataFields>
  <formats count="6">
    <format dxfId="130">
      <pivotArea type="all" dataOnly="0" outline="0" fieldPosition="0"/>
    </format>
    <format dxfId="129">
      <pivotArea outline="0" collapsedLevelsAreSubtotals="1" fieldPosition="0"/>
    </format>
    <format dxfId="128">
      <pivotArea field="0" type="button" dataOnly="0" labelOnly="1" outline="0" axis="axisRow" fieldPosition="0"/>
    </format>
    <format dxfId="127">
      <pivotArea dataOnly="0" labelOnly="1" fieldPosition="0">
        <references count="1">
          <reference field="0" count="0"/>
        </references>
      </pivotArea>
    </format>
    <format dxfId="126">
      <pivotArea dataOnly="0" labelOnly="1" grandRow="1" outline="0" fieldPosition="0"/>
    </format>
    <format dxfId="1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E279C00-90D3-4E26-AF49-426BAE7F1BBE}"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D18:AE24" firstHeaderRow="1" firstDataRow="1" firstDataCol="1"/>
  <pivotFields count="25">
    <pivotField showAll="0"/>
    <pivotField dataField="1" showAll="0"/>
    <pivotField axis="axisRow" showAll="0">
      <items count="6">
        <item x="4"/>
        <item x="0"/>
        <item x="3"/>
        <item x="2"/>
        <item x="1"/>
        <item t="default"/>
      </items>
    </pivotField>
    <pivotField showAll="0"/>
    <pivotField showAll="0"/>
    <pivotField showAll="0"/>
    <pivotField showAll="0"/>
    <pivotField numFmtId="10" showAll="0"/>
    <pivotField numFmtId="10"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dataFields count="1">
    <dataField name="Sum of ENTERED ON " fld="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1" xr10:uid="{00000000-0013-0000-FFFF-FFFF01000000}" sourceName="COMPANY ">
  <pivotTables>
    <pivotTable tabId="10" name="PivotTable3"/>
    <pivotTable tabId="10" name="PivotTable1"/>
    <pivotTable tabId="10" name="PivotTable4"/>
    <pivotTable tabId="10" name="PivotTable5"/>
    <pivotTable tabId="10" name="PivotTable8"/>
    <pivotTable tabId="10" name="PivotTable9"/>
  </pivotTables>
  <data>
    <tabular pivotCacheId="2018367681">
      <items count="14">
        <i x="6" s="1"/>
        <i x="5" s="1"/>
        <i x="2" s="1"/>
        <i x="1" s="1"/>
        <i x="0" s="1"/>
        <i x="9" s="1"/>
        <i x="3" s="1"/>
        <i x="11" s="1"/>
        <i x="7" s="1"/>
        <i x="4" s="1"/>
        <i x="10" s="1"/>
        <i x="8" s="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1" xr10:uid="{00000000-0014-0000-FFFF-FFFF01000000}" cache="Slicer_COMPANY1" caption="Profile Production" columnCount="1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6E67269-5581-4AB4-9B7A-FD66855CC753}" name="Table2" displayName="Table2" ref="A1:V201" totalsRowShown="0" headerRowDxfId="108" headerRowBorderDxfId="107" tableBorderDxfId="106" totalsRowBorderDxfId="105">
  <autoFilter ref="A1:V201" xr:uid="{E6E67269-5581-4AB4-9B7A-FD66855CC753}">
    <filterColumn colId="6">
      <customFilters>
        <customFilter operator="notEqual" val="PM"/>
      </customFilters>
    </filterColumn>
    <filterColumn colId="10">
      <customFilters>
        <customFilter operator="notEqual" val="HOUSEUSE"/>
      </customFilters>
    </filterColumn>
  </autoFilter>
  <tableColumns count="22">
    <tableColumn id="1" xr3:uid="{923270D3-481F-4EFE-B684-3D5E767109FB}" name="FULL_NAME" dataDxfId="104"/>
    <tableColumn id="2" xr3:uid="{736C424D-AC70-4B6E-BA6A-62321976AEA5}" name="FIRST NAME" dataDxfId="103"/>
    <tableColumn id="3" xr3:uid="{866F66BD-4451-4E7F-8AA8-9FA8F4F8235A}" name="ARRIVAL" dataDxfId="102"/>
    <tableColumn id="4" xr3:uid="{CBFCC8C5-3F13-49F4-831D-09C655585502}" name="DEPARTURE" dataDxfId="101"/>
    <tableColumn id="5" xr3:uid="{FE0EE613-A295-4F20-B1F0-8AA4F665E461}" name="NIGHTS" dataDxfId="100"/>
    <tableColumn id="6" xr3:uid="{BF4754B1-8A62-4F90-9D4B-94E9E6F72208}" name="PERSONS" dataDxfId="99"/>
    <tableColumn id="7" xr3:uid="{17F354A2-E056-40C3-A97D-15453E2AC541}" name="ROOM" dataDxfId="98"/>
    <tableColumn id="8" xr3:uid="{612D6915-75BE-4737-B153-A9BEFA14CE80}" name="TDF" dataDxfId="97"/>
    <tableColumn id="9" xr3:uid="{0F5C69A6-A929-42D8-B458-7D1C9131BD62}" name="NET" dataDxfId="96"/>
    <tableColumn id="10" xr3:uid="{23B1BFA5-0837-4160-9077-3338B40C9EE1}" name="TOTAL" dataDxfId="95"/>
    <tableColumn id="11" xr3:uid="{01424ED5-1B28-40E9-BD12-DF707444171E}" name="RATE_CODE" dataDxfId="94"/>
    <tableColumn id="12" xr3:uid="{2E692888-9F47-48CF-89C2-1E9160B2BD8C}" name="INSERT_USER" dataDxfId="93"/>
    <tableColumn id="13" xr3:uid="{02132580-06E2-4224-89ED-2CBA9DDDF4E7}" name="C_T_S_NAME" dataDxfId="92"/>
    <tableColumn id="14" xr3:uid="{0D1D6D91-7121-4739-848D-D8B8CDB5E318}" name="SHORT_RESV_STATUS" dataDxfId="91"/>
    <tableColumn id="15" xr3:uid="{2F48CF53-FCF1-467A-940E-75D739F490A0}" name="ADR" dataDxfId="90"/>
    <tableColumn id="16" xr3:uid="{E92088FE-15B6-43BF-B8F4-84CCB127CEEA}" name="AMOUNT" dataDxfId="89"/>
    <tableColumn id="17" xr3:uid="{80C71FB7-8021-44DB-BB85-D42AA7A16CBE}" name="COMMENT" dataDxfId="88"/>
    <tableColumn id="18" xr3:uid="{83FA555E-12C6-4562-ABF6-F4B43C83CF0A}" name="C=CHECK" dataDxfId="87"/>
    <tableColumn id="19" xr3:uid="{02E58927-0499-47A9-BA7C-87A45847A45B}" name="RESV ID" dataDxfId="86"/>
    <tableColumn id="20" xr3:uid="{E838FA6E-6457-4C02-BC58-73EB66FDB6C1}" name="Season" dataDxfId="85">
      <calculatedColumnFormula>IF(OR(AND(ISNUMBER(C2), OR(MONTH(C2)&lt;=4, MONTH(C2)&gt;=10)), AND(ISNUMBER(D2), OR(MONTH(D2)&lt;=4, MONTH(D2)&gt;=10))), "Winter", IF(OR(AND(ISNUMBER(C2), MONTH(C2)&gt;=5, MONTH(C2)&lt;=9), AND(ISNUMBER(D2), MONTH(D2)&gt;=5, MONTH(D2)&lt;=9)), "Summer", ""))</calculatedColumnFormula>
    </tableColumn>
    <tableColumn id="21" xr3:uid="{981C7E88-6379-4DA2-9270-B0E0E9DCD60E}" name="Booking Lead Time " dataDxfId="84">
      <calculatedColumnFormula>IF(ISNUMBER(C2), C2 - TODAY(), "")</calculatedColumnFormula>
    </tableColumn>
    <tableColumn id="22" xr3:uid="{0853D0CD-C064-41BB-9881-A59065F5110E}" name="Events Dates " dataDxfId="83">
      <calculatedColumnFormula>IF(AND(C2&gt;=DATE(2025,1,26),C2&lt;=DATE(2025,1,31)),"Arab Health",
IF(AND(C2&gt;=DATE(2025,2,16),C2&lt;=DATE(2025,2,21)),"Gulf Food",
IF(AND(C2&gt;=DATE(2025,3,1),C2&lt;=DATE(2025,3,29)),"Ramadan",
IF(AND(C2&gt;=DATE(2025,3,30),C2&lt;=DATE(2025,4,2)),"Eid Al Fitr",
IF(AND(C2&gt;=DATE(2025,6,6),C2&lt;=DATE(2025,6,9)),"Eid Al Adha",
IF(AND(C2&gt;=DATE(2025,10,12),C2&lt;=DATE(2025,10,17)),"GITEX",
IF(AND(C2&gt;=DATE(2025,11,3),C2&lt;=DATE(2025,11,7)),"Gulf Food Manufacturing",
IF(AND(C2&gt;=DATE(2025,11,16),C2&lt;=DATE(2025,11,21)),"Air Show",
IF(AND(C2&gt;=DATE(2025,11,23),C2&lt;=DATE(2025,11,28)),"Big 5",
IF(AND(C2&gt;=DATE(2025,11,29),C2&lt;=DATE(2025,12,2)),"National Day Holidays",
IF(AND(C2&gt;=DATE(2025,12,4),C2&lt;=DATE(2025,12,7)),"F1 Yas Island",
IF(AND(C2&gt;=DATE(2025,12,26),C2&lt;=DATE(2025,12,31)),"New Year's Eve",""))))))))))))</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Y200" totalsRowShown="0" headerRowDxfId="82" headerRowBorderDxfId="81" tableBorderDxfId="80" totalsRowBorderDxfId="79">
  <autoFilter ref="A1:Y200" xr:uid="{00000000-0009-0000-0100-000001000000}"/>
  <tableColumns count="25">
    <tableColumn id="1" xr3:uid="{00000000-0010-0000-0000-000001000000}" name="COMPANY " dataDxfId="78">
      <calculatedColumnFormula>IF(OR(ISNUMBER('ENTERED ON'!M2), 'ENTERED ON'!M2=""), "M&amp;C / RESV/ OTHERS", 'ENTERED ON'!M2)</calculatedColumnFormula>
    </tableColumn>
    <tableColumn id="24" xr3:uid="{00000000-0010-0000-0000-000018000000}" name="ENTERED ON " dataDxfId="77">
      <calculatedColumnFormula>IF(ISTEXT(Table1[[#This Row],[ROOM TYPE]]), 1, 0)</calculatedColumnFormula>
    </tableColumn>
    <tableColumn id="25" xr3:uid="{00000000-0010-0000-0000-000019000000}" name="ENTERED ON BY " dataDxfId="76">
      <calculatedColumnFormula>IF(ISNUMBER('ENTERED ON'!L2), 0, 'ENTERED ON'!L2)</calculatedColumnFormula>
    </tableColumn>
    <tableColumn id="21" xr3:uid="{00000000-0010-0000-0000-000015000000}" name="ROOM TYPE" dataDxfId="75">
      <calculatedColumnFormula>'ENTERED ON'!G2</calculatedColumnFormula>
    </tableColumn>
    <tableColumn id="22" xr3:uid="{00000000-0010-0000-0000-000016000000}" name="ERROR" dataDxfId="74">
      <calculatedColumnFormula>IF(ISTEXT('ENTERED ON'!Q2), 1, 0)</calculatedColumnFormula>
    </tableColumn>
    <tableColumn id="23" xr3:uid="{00000000-0010-0000-0000-000017000000}" name="CHECK" dataDxfId="73">
      <calculatedColumnFormula>IF(ISTEXT('ENTERED ON'!R1), 1, 0)</calculatedColumnFormula>
    </tableColumn>
    <tableColumn id="17" xr3:uid="{00000000-0010-0000-0000-000011000000}" name="Amount" dataDxfId="72">
      <calculatedColumnFormula>IFERROR(IF(ISTEXT('ENTERED ON'!P2), 0, 'ENTERED ON'!P2*1.1), 0)</calculatedColumnFormula>
    </tableColumn>
    <tableColumn id="19" xr3:uid="{00000000-0010-0000-0000-000013000000}" name="Share Rev " dataDxfId="71">
      <calculatedColumnFormula>IF(ISTEXT(G2), 0, Table1[[#This Row],[Amount]] / 'COMPANY PROD'!$V$33)</calculatedColumnFormula>
    </tableColumn>
    <tableColumn id="20" xr3:uid="{00000000-0010-0000-0000-000014000000}" name="Share RN" dataDxfId="70">
      <calculatedColumnFormula>Table1[[#This Row],[NIGHTS]]/'COMPANY PROD'!$V$41</calculatedColumnFormula>
    </tableColumn>
    <tableColumn id="18" xr3:uid="{00000000-0010-0000-0000-000012000000}" name="ADR " dataDxfId="69">
      <calculatedColumnFormula>IFERROR(Table1[[#This Row],[Amount]]/Table1[[#This Row],[NIGHTS]],0)</calculatedColumnFormula>
    </tableColumn>
    <tableColumn id="2" xr3:uid="{00000000-0010-0000-0000-000002000000}" name="Check in " dataDxfId="68">
      <calculatedColumnFormula>IF(ISTEXT('ENTERED ON'!C2), 0, IFERROR('ENTERED ON'!C2, 0))</calculatedColumnFormula>
    </tableColumn>
    <tableColumn id="3" xr3:uid="{00000000-0010-0000-0000-000003000000}" name="Check out " dataDxfId="67">
      <calculatedColumnFormula>IF(ISTEXT('ENTERED ON'!D2), 0, IFERROR('ENTERED ON'!D2, 0))</calculatedColumnFormula>
    </tableColumn>
    <tableColumn id="4" xr3:uid="{00000000-0010-0000-0000-000004000000}" name="NIGHTS" dataDxfId="66">
      <calculatedColumnFormula>Table1[[#This Row],[Check out ]]-Table1[[#This Row],[Check in ]]</calculatedColumnFormula>
    </tableColumn>
    <tableColumn id="5" xr3:uid="{00000000-0010-0000-0000-000005000000}" name="JAN" dataDxfId="65"/>
    <tableColumn id="6" xr3:uid="{00000000-0010-0000-0000-000006000000}" name="FEB" dataDxfId="64">
      <calculatedColumnFormula>MAX(0, MIN(L2-1, DATE(YEAR(K2), 3, 1)-1) - MAX(K2, DATE(YEAR(K2), 2, 1)) + 1)</calculatedColumnFormula>
    </tableColumn>
    <tableColumn id="7" xr3:uid="{00000000-0010-0000-0000-000007000000}" name="MAR" dataDxfId="63">
      <calculatedColumnFormula>MAX(0, MIN(L2-1, DATE(YEAR(K2), 4, 1)-1) - MAX(K2, DATE(YEAR(K2), 3, 1)) + 1)</calculatedColumnFormula>
    </tableColumn>
    <tableColumn id="8" xr3:uid="{00000000-0010-0000-0000-000008000000}" name="APR" dataDxfId="62">
      <calculatedColumnFormula>MAX(0,MIN(L2-1,DATE(YEAR(K2),5,1)-1)-MAX(K2,DATE(YEAR(K2),4,1))+1)</calculatedColumnFormula>
    </tableColumn>
    <tableColumn id="9" xr3:uid="{00000000-0010-0000-0000-000009000000}" name="MAY" dataDxfId="61">
      <calculatedColumnFormula>MAX(0, MIN(L2-1, DATE(YEAR(K2), 6, 1)-1) - MAX(K2, DATE(YEAR(K2), 5, 1)) + 1)</calculatedColumnFormula>
    </tableColumn>
    <tableColumn id="10" xr3:uid="{00000000-0010-0000-0000-00000A000000}" name="JUN" dataDxfId="60">
      <calculatedColumnFormula>MAX(0, MIN(L2-1, DATE(YEAR(K2), 7, 1)-1) - MAX(K2, DATE(YEAR(K2), 6, 1)) + 1)</calculatedColumnFormula>
    </tableColumn>
    <tableColumn id="11" xr3:uid="{00000000-0010-0000-0000-00000B000000}" name="JUL" dataDxfId="59">
      <calculatedColumnFormula>MAX(0, MIN(L2-1, DATE(YEAR(K2), 8, 1)-1) - MAX(K2, DATE(YEAR(K2), 7, 1)) + 1)</calculatedColumnFormula>
    </tableColumn>
    <tableColumn id="12" xr3:uid="{00000000-0010-0000-0000-00000C000000}" name="AUG" dataDxfId="58">
      <calculatedColumnFormula>MAX(0, MIN(L2-1, DATE(YEAR(K2), 9, 1)-1) - MAX(K2, DATE(YEAR(K2), 8, 1)) + 1)</calculatedColumnFormula>
    </tableColumn>
    <tableColumn id="13" xr3:uid="{00000000-0010-0000-0000-00000D000000}" name="SEP" dataDxfId="57">
      <calculatedColumnFormula>MAX(0, MIN(L2-1, DATE(YEAR(K2), 10, 1)-1) - MAX(K2, DATE(YEAR(K2), 9, 1)) + 1)</calculatedColumnFormula>
    </tableColumn>
    <tableColumn id="14" xr3:uid="{00000000-0010-0000-0000-00000E000000}" name="OCT" dataDxfId="56">
      <calculatedColumnFormula>MAX(0, MIN(L2-1, DATE(YEAR(K2), 11, 1)-1) - MAX(K2, DATE(YEAR(K2), 10, 1)) + 1)</calculatedColumnFormula>
    </tableColumn>
    <tableColumn id="15" xr3:uid="{00000000-0010-0000-0000-00000F000000}" name="NOV" dataDxfId="55">
      <calculatedColumnFormula>MAX(0, MIN(L2-1, DATE(YEAR(K2), 12, 1)-1) - MAX(K2, DATE(YEAR(K2), 11, 1)) + 1)</calculatedColumnFormula>
    </tableColumn>
    <tableColumn id="16" xr3:uid="{00000000-0010-0000-0000-000010000000}" name="DEC" dataDxfId="54">
      <calculatedColumnFormula>MAX(0, MIN(L2-1, DATE(YEAR(K2)+1, 1, 1)-1) - MAX(K2, DATE(YEAR(K2), 12, 1)) + 1)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13.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microsoft.com/office/2007/relationships/slicer" Target="../slicers/slicer1.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ctrlProp" Target="../ctrlProps/ctrlProp4.xml"/><Relationship Id="rId5" Type="http://schemas.openxmlformats.org/officeDocument/2006/relationships/pivotTable" Target="../pivotTables/pivotTable10.xml"/><Relationship Id="rId10" Type="http://schemas.openxmlformats.org/officeDocument/2006/relationships/vmlDrawing" Target="../drawings/vmlDrawing2.vml"/><Relationship Id="rId4" Type="http://schemas.openxmlformats.org/officeDocument/2006/relationships/pivotTable" Target="../pivotTables/pivotTable9.xml"/><Relationship Id="rId9"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9.xml"/><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B1:AU175"/>
  <sheetViews>
    <sheetView showGridLines="0" topLeftCell="B1" zoomScale="80" zoomScaleNormal="80" workbookViewId="0">
      <selection activeCell="I5" sqref="I5"/>
    </sheetView>
  </sheetViews>
  <sheetFormatPr defaultRowHeight="15" x14ac:dyDescent="0.25"/>
  <cols>
    <col min="1" max="1" width="1.85546875" customWidth="1"/>
    <col min="2" max="2" width="23.42578125" customWidth="1"/>
    <col min="3" max="3" width="17.28515625" customWidth="1"/>
    <col min="4" max="4" width="12.42578125" bestFit="1" customWidth="1"/>
    <col min="5" max="5" width="10.7109375" customWidth="1"/>
    <col min="6" max="8" width="12.140625" bestFit="1" customWidth="1"/>
    <col min="9" max="9" width="11.85546875" customWidth="1"/>
    <col min="10" max="11" width="12.140625" bestFit="1" customWidth="1"/>
    <col min="12" max="13" width="14.85546875" customWidth="1"/>
    <col min="14" max="21" width="12.140625" bestFit="1" customWidth="1"/>
    <col min="22" max="22" width="10.7109375" bestFit="1" customWidth="1"/>
    <col min="23" max="27" width="12.140625" bestFit="1" customWidth="1"/>
    <col min="28" max="32" width="10.7109375" bestFit="1" customWidth="1"/>
    <col min="33" max="33" width="7.28515625" bestFit="1" customWidth="1"/>
    <col min="34" max="34" width="11.28515625" bestFit="1" customWidth="1"/>
    <col min="35" max="35" width="7.28515625" bestFit="1" customWidth="1"/>
    <col min="36" max="36" width="11.28515625" bestFit="1" customWidth="1"/>
    <col min="37" max="40" width="8.140625" bestFit="1" customWidth="1"/>
    <col min="41" max="41" width="20.42578125" bestFit="1" customWidth="1"/>
    <col min="42" max="42" width="7.28515625" bestFit="1" customWidth="1"/>
    <col min="43" max="43" width="11.28515625" bestFit="1" customWidth="1"/>
    <col min="44" max="48" width="8.140625" bestFit="1" customWidth="1"/>
    <col min="49" max="49" width="10" customWidth="1"/>
    <col min="50" max="80" width="8.140625" bestFit="1" customWidth="1"/>
    <col min="81" max="81" width="20.42578125" bestFit="1" customWidth="1"/>
    <col min="82" max="82" width="7.28515625" bestFit="1" customWidth="1"/>
    <col min="83" max="83" width="31" bestFit="1" customWidth="1"/>
    <col min="84" max="84" width="21.85546875" bestFit="1" customWidth="1"/>
    <col min="85" max="120" width="8.140625" bestFit="1" customWidth="1"/>
    <col min="121" max="121" width="20.42578125" bestFit="1" customWidth="1"/>
    <col min="122" max="122" width="7.28515625" bestFit="1" customWidth="1"/>
    <col min="123" max="123" width="24.7109375" bestFit="1" customWidth="1"/>
    <col min="124" max="124" width="31" bestFit="1" customWidth="1"/>
    <col min="125" max="125" width="21.85546875" bestFit="1" customWidth="1"/>
    <col min="126" max="126" width="13.140625" bestFit="1" customWidth="1"/>
    <col min="127" max="127" width="10" bestFit="1" customWidth="1"/>
    <col min="128" max="128" width="8.140625" bestFit="1" customWidth="1"/>
    <col min="129" max="129" width="13.140625" bestFit="1" customWidth="1"/>
    <col min="130" max="130" width="10" bestFit="1" customWidth="1"/>
    <col min="131" max="131" width="13.140625" bestFit="1" customWidth="1"/>
    <col min="132" max="132" width="10" bestFit="1" customWidth="1"/>
    <col min="133" max="133" width="13.140625" bestFit="1" customWidth="1"/>
    <col min="134" max="134" width="10" bestFit="1" customWidth="1"/>
    <col min="135" max="135" width="8.140625" bestFit="1" customWidth="1"/>
    <col min="136" max="136" width="13.140625" bestFit="1" customWidth="1"/>
    <col min="137" max="137" width="10" bestFit="1" customWidth="1"/>
    <col min="138" max="138" width="13.140625" bestFit="1" customWidth="1"/>
    <col min="139" max="139" width="10" bestFit="1" customWidth="1"/>
    <col min="140" max="140" width="8.140625" bestFit="1" customWidth="1"/>
    <col min="141" max="141" width="13.140625" bestFit="1" customWidth="1"/>
    <col min="142" max="142" width="10" bestFit="1" customWidth="1"/>
    <col min="143" max="143" width="13.140625" bestFit="1" customWidth="1"/>
    <col min="144" max="144" width="10" bestFit="1" customWidth="1"/>
    <col min="145" max="145" width="8.140625" bestFit="1" customWidth="1"/>
    <col min="146" max="146" width="13.140625" bestFit="1" customWidth="1"/>
    <col min="147" max="147" width="10" bestFit="1" customWidth="1"/>
    <col min="148" max="148" width="13.140625" bestFit="1" customWidth="1"/>
    <col min="149" max="149" width="10" bestFit="1" customWidth="1"/>
    <col min="150" max="150" width="13.140625" bestFit="1" customWidth="1"/>
    <col min="151" max="151" width="10" bestFit="1" customWidth="1"/>
    <col min="152" max="152" width="8.140625" bestFit="1" customWidth="1"/>
    <col min="153" max="153" width="13.140625" bestFit="1" customWidth="1"/>
    <col min="154" max="154" width="10" bestFit="1" customWidth="1"/>
    <col min="155" max="155" width="13.140625" bestFit="1" customWidth="1"/>
    <col min="156" max="156" width="10" bestFit="1" customWidth="1"/>
    <col min="157" max="159" width="8.140625" bestFit="1" customWidth="1"/>
    <col min="160" max="160" width="13.140625" bestFit="1" customWidth="1"/>
    <col min="161" max="161" width="10" bestFit="1" customWidth="1"/>
    <col min="162" max="162" width="8.140625" bestFit="1" customWidth="1"/>
    <col min="163" max="163" width="13.140625" bestFit="1" customWidth="1"/>
    <col min="164" max="164" width="10" bestFit="1" customWidth="1"/>
    <col min="165" max="165" width="13.140625" bestFit="1" customWidth="1"/>
    <col min="166" max="166" width="10" bestFit="1" customWidth="1"/>
    <col min="167" max="167" width="13.140625" bestFit="1" customWidth="1"/>
    <col min="168" max="168" width="10" bestFit="1" customWidth="1"/>
    <col min="169" max="169" width="8.140625" bestFit="1" customWidth="1"/>
    <col min="170" max="170" width="13.140625" bestFit="1" customWidth="1"/>
    <col min="171" max="171" width="10" bestFit="1" customWidth="1"/>
    <col min="172" max="172" width="13.140625" bestFit="1" customWidth="1"/>
    <col min="173" max="173" width="10" bestFit="1" customWidth="1"/>
    <col min="174" max="174" width="8.140625" bestFit="1" customWidth="1"/>
    <col min="175" max="175" width="13.140625" bestFit="1" customWidth="1"/>
    <col min="176" max="176" width="10" bestFit="1" customWidth="1"/>
    <col min="177" max="178" width="8.140625" bestFit="1" customWidth="1"/>
    <col min="179" max="179" width="13.140625" bestFit="1" customWidth="1"/>
    <col min="180" max="180" width="10" bestFit="1" customWidth="1"/>
    <col min="181" max="181" width="13.140625" bestFit="1" customWidth="1"/>
    <col min="182" max="182" width="10" bestFit="1" customWidth="1"/>
    <col min="183" max="183" width="13.140625" bestFit="1" customWidth="1"/>
    <col min="184" max="184" width="10" bestFit="1" customWidth="1"/>
    <col min="185" max="185" width="8.140625" bestFit="1" customWidth="1"/>
    <col min="186" max="186" width="13.140625" bestFit="1" customWidth="1"/>
    <col min="187" max="187" width="10" bestFit="1" customWidth="1"/>
    <col min="188" max="189" width="8.140625" bestFit="1" customWidth="1"/>
    <col min="190" max="190" width="13.140625" bestFit="1" customWidth="1"/>
    <col min="191" max="191" width="10" bestFit="1" customWidth="1"/>
    <col min="192" max="192" width="13.140625" bestFit="1" customWidth="1"/>
    <col min="193" max="193" width="10" bestFit="1" customWidth="1"/>
    <col min="194" max="194" width="13.140625" bestFit="1" customWidth="1"/>
    <col min="195" max="195" width="10" bestFit="1" customWidth="1"/>
    <col min="196" max="196" width="13.140625" bestFit="1" customWidth="1"/>
    <col min="197" max="197" width="10" bestFit="1" customWidth="1"/>
    <col min="198" max="199" width="8.140625" bestFit="1" customWidth="1"/>
    <col min="200" max="200" width="13.140625" bestFit="1" customWidth="1"/>
    <col min="201" max="201" width="10" bestFit="1" customWidth="1"/>
    <col min="202" max="202" width="8.140625" bestFit="1" customWidth="1"/>
    <col min="203" max="203" width="13.140625" bestFit="1" customWidth="1"/>
    <col min="204" max="204" width="10" bestFit="1" customWidth="1"/>
    <col min="205" max="205" width="13.140625" bestFit="1" customWidth="1"/>
    <col min="206" max="206" width="10" bestFit="1" customWidth="1"/>
    <col min="207" max="207" width="13.140625" bestFit="1" customWidth="1"/>
    <col min="208" max="208" width="10" bestFit="1" customWidth="1"/>
    <col min="209" max="209" width="8.140625" bestFit="1" customWidth="1"/>
    <col min="210" max="210" width="13.140625" bestFit="1" customWidth="1"/>
    <col min="211" max="211" width="10" bestFit="1" customWidth="1"/>
    <col min="212" max="212" width="13.140625" bestFit="1" customWidth="1"/>
    <col min="213" max="213" width="10" bestFit="1" customWidth="1"/>
    <col min="214" max="214" width="13.140625" bestFit="1" customWidth="1"/>
    <col min="215" max="215" width="10" bestFit="1" customWidth="1"/>
    <col min="216" max="216" width="13.140625" bestFit="1" customWidth="1"/>
    <col min="217" max="217" width="10" bestFit="1" customWidth="1"/>
    <col min="218" max="218" width="13.140625" bestFit="1" customWidth="1"/>
    <col min="220" max="220" width="12.140625" bestFit="1" customWidth="1"/>
    <col min="221" max="221" width="31" bestFit="1" customWidth="1"/>
    <col min="222" max="222" width="21.85546875" bestFit="1" customWidth="1"/>
  </cols>
  <sheetData>
    <row r="1" spans="2:46" ht="28.5" customHeight="1" thickBot="1" x14ac:dyDescent="0.3">
      <c r="B1" s="30"/>
      <c r="C1" s="31"/>
      <c r="D1" s="31"/>
      <c r="E1" s="31"/>
      <c r="F1" s="31"/>
      <c r="G1" s="32"/>
      <c r="H1" s="30"/>
      <c r="I1" s="31"/>
      <c r="J1" s="31"/>
      <c r="K1" s="31"/>
      <c r="L1" s="31"/>
      <c r="M1" s="31"/>
      <c r="N1" s="32"/>
      <c r="O1" s="3"/>
      <c r="P1" s="4"/>
      <c r="Q1" s="4"/>
      <c r="R1" s="4"/>
      <c r="S1" s="4"/>
      <c r="T1" s="4"/>
      <c r="U1" s="4"/>
      <c r="V1" s="5"/>
      <c r="W1" s="2"/>
      <c r="X1" s="2"/>
      <c r="Y1" s="2"/>
      <c r="Z1" s="2"/>
      <c r="AA1" s="2"/>
      <c r="AB1" s="2"/>
      <c r="AC1" s="2"/>
      <c r="AD1" s="2"/>
      <c r="AE1" s="2"/>
      <c r="AF1" s="2"/>
      <c r="AG1" s="2"/>
      <c r="AH1" s="2"/>
      <c r="AI1" s="2"/>
      <c r="AJ1" s="2"/>
      <c r="AK1" s="2"/>
      <c r="AL1" s="2"/>
      <c r="AM1" s="2"/>
      <c r="AN1" s="2"/>
      <c r="AO1" s="2"/>
      <c r="AP1" s="2"/>
      <c r="AQ1" s="2"/>
      <c r="AR1" s="2"/>
      <c r="AS1" s="2"/>
      <c r="AT1" s="2"/>
    </row>
    <row r="2" spans="2:46" s="2" customFormat="1" ht="15.75" thickBot="1" x14ac:dyDescent="0.3">
      <c r="B2" s="75" t="s">
        <v>116</v>
      </c>
      <c r="C2" s="43"/>
      <c r="D2" s="43"/>
      <c r="E2" s="43"/>
      <c r="F2" s="43" t="s">
        <v>114</v>
      </c>
      <c r="G2" s="48"/>
      <c r="H2" s="49"/>
      <c r="I2" s="50"/>
      <c r="J2" s="50"/>
      <c r="K2" s="50"/>
      <c r="L2" s="50"/>
      <c r="M2" s="50"/>
      <c r="N2" s="51" t="s">
        <v>97</v>
      </c>
      <c r="O2" s="47"/>
      <c r="P2" s="44"/>
      <c r="Q2" s="44"/>
      <c r="R2" s="44"/>
      <c r="S2" s="44"/>
      <c r="T2" s="45"/>
      <c r="U2" s="45"/>
      <c r="V2" s="46"/>
    </row>
    <row r="3" spans="2:46" ht="21.75" customHeight="1" x14ac:dyDescent="0.25">
      <c r="B3" s="60" t="s">
        <v>113</v>
      </c>
      <c r="C3" s="39"/>
      <c r="D3" s="39"/>
      <c r="E3" s="39"/>
      <c r="F3" s="38" t="s">
        <v>115</v>
      </c>
      <c r="G3" s="39"/>
      <c r="H3" s="40"/>
      <c r="I3" s="41"/>
      <c r="J3" s="41"/>
      <c r="K3" s="41"/>
      <c r="L3" s="39"/>
      <c r="M3" s="39"/>
      <c r="N3" s="42" t="s">
        <v>117</v>
      </c>
      <c r="O3" s="40"/>
      <c r="P3" s="39"/>
      <c r="Q3" s="39"/>
      <c r="R3" s="39"/>
      <c r="S3" s="39"/>
      <c r="T3" s="37"/>
      <c r="U3" s="37"/>
      <c r="V3" s="37"/>
      <c r="W3" s="2"/>
      <c r="X3" s="2"/>
      <c r="Y3" s="2"/>
      <c r="Z3" s="2"/>
      <c r="AA3" s="2"/>
      <c r="AB3" s="2"/>
      <c r="AC3" s="2"/>
      <c r="AD3" s="2"/>
      <c r="AE3" s="2"/>
      <c r="AF3" s="2"/>
      <c r="AG3" s="2"/>
      <c r="AH3" s="2"/>
      <c r="AI3" s="2"/>
      <c r="AJ3" s="2"/>
      <c r="AK3" s="2"/>
      <c r="AL3" s="2"/>
      <c r="AM3" s="2"/>
      <c r="AN3" s="2"/>
      <c r="AO3" s="2"/>
      <c r="AP3" s="2"/>
      <c r="AQ3" s="2"/>
      <c r="AR3" s="2"/>
      <c r="AS3" s="2"/>
      <c r="AT3" s="2"/>
    </row>
    <row r="4" spans="2:46" ht="12.75" customHeight="1" thickBot="1" x14ac:dyDescent="0.3">
      <c r="B4" s="38"/>
      <c r="C4" s="39"/>
      <c r="D4" s="39"/>
      <c r="E4" s="39"/>
      <c r="F4" s="38"/>
      <c r="G4" s="39"/>
      <c r="H4" s="40"/>
      <c r="I4" s="41"/>
      <c r="J4" s="41"/>
      <c r="K4" s="41"/>
      <c r="L4" s="39"/>
      <c r="M4" s="39"/>
      <c r="N4" s="42"/>
      <c r="O4" s="40"/>
      <c r="P4" s="39"/>
      <c r="Q4" s="39"/>
      <c r="R4" s="39"/>
      <c r="S4" s="39"/>
      <c r="T4" s="37"/>
      <c r="U4" s="37"/>
      <c r="V4" s="37"/>
      <c r="W4" s="2"/>
      <c r="X4" s="2"/>
      <c r="Y4" s="2"/>
      <c r="Z4" s="2"/>
      <c r="AA4" s="2"/>
      <c r="AB4" s="2"/>
      <c r="AC4" s="2"/>
      <c r="AD4" s="2"/>
      <c r="AE4" s="2"/>
      <c r="AF4" s="2"/>
      <c r="AG4" s="2"/>
      <c r="AH4" s="2"/>
      <c r="AI4" s="2"/>
      <c r="AJ4" s="2"/>
      <c r="AK4" s="2"/>
      <c r="AL4" s="2"/>
      <c r="AM4" s="2"/>
      <c r="AN4" s="2"/>
      <c r="AO4" s="2"/>
      <c r="AP4" s="2"/>
      <c r="AQ4" s="2"/>
      <c r="AR4" s="2"/>
      <c r="AS4" s="2"/>
      <c r="AT4" s="2"/>
    </row>
    <row r="5" spans="2:46" ht="31.5" customHeight="1" thickBot="1" x14ac:dyDescent="0.3">
      <c r="B5" s="52" t="s">
        <v>55</v>
      </c>
      <c r="C5" s="8"/>
      <c r="D5" s="8"/>
      <c r="E5" s="8"/>
      <c r="F5" s="8"/>
      <c r="G5" s="8"/>
      <c r="H5" s="8"/>
      <c r="I5" s="8"/>
      <c r="J5" s="8"/>
      <c r="K5" s="8"/>
      <c r="L5" s="8"/>
      <c r="M5" s="8"/>
      <c r="N5" s="8"/>
      <c r="O5" s="8"/>
      <c r="P5" s="8"/>
      <c r="Q5" s="8"/>
      <c r="R5" s="8"/>
      <c r="S5" s="8"/>
      <c r="T5" s="8"/>
      <c r="U5" s="9"/>
      <c r="V5" s="8"/>
      <c r="W5" s="8"/>
      <c r="X5" s="4"/>
      <c r="Y5" s="4"/>
      <c r="Z5" s="4"/>
      <c r="AA5" s="4"/>
      <c r="AB5" s="4"/>
      <c r="AC5" s="5"/>
      <c r="AD5" s="2"/>
      <c r="AE5" s="2"/>
      <c r="AF5" s="2"/>
      <c r="AG5" s="2"/>
      <c r="AH5" s="2"/>
      <c r="AI5" s="2"/>
      <c r="AJ5" s="2"/>
      <c r="AK5" s="2"/>
      <c r="AL5" s="2"/>
      <c r="AM5" s="2"/>
      <c r="AN5" s="2"/>
      <c r="AO5" s="2"/>
      <c r="AP5" s="2"/>
      <c r="AQ5" s="2"/>
      <c r="AR5" s="2"/>
      <c r="AS5" s="2"/>
      <c r="AT5" s="2"/>
    </row>
    <row r="6" spans="2:46" x14ac:dyDescent="0.25">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row>
    <row r="7" spans="2:46" x14ac:dyDescent="0.25">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row>
    <row r="8" spans="2:46" ht="15.75" thickBot="1" x14ac:dyDescent="0.3">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row>
    <row r="9" spans="2:46" ht="15.75" thickBot="1" x14ac:dyDescent="0.3">
      <c r="B9" s="66" t="s">
        <v>51</v>
      </c>
      <c r="C9" s="67" t="s">
        <v>104</v>
      </c>
      <c r="D9" s="68" t="s">
        <v>105</v>
      </c>
      <c r="E9" s="68" t="s">
        <v>56</v>
      </c>
      <c r="F9" s="69" t="s">
        <v>99</v>
      </c>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row>
    <row r="10" spans="2:46" x14ac:dyDescent="0.25">
      <c r="B10" s="81" t="s">
        <v>175</v>
      </c>
      <c r="C10" s="82">
        <v>10742.27</v>
      </c>
      <c r="D10" s="144">
        <v>8</v>
      </c>
      <c r="E10" s="145">
        <v>0</v>
      </c>
      <c r="F10" s="146">
        <v>0</v>
      </c>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row>
    <row r="11" spans="2:46" x14ac:dyDescent="0.25">
      <c r="B11" s="83" t="s">
        <v>38</v>
      </c>
      <c r="C11" s="84">
        <v>6576.68</v>
      </c>
      <c r="D11" s="135">
        <v>11</v>
      </c>
      <c r="E11" s="147">
        <v>0</v>
      </c>
      <c r="F11" s="148">
        <v>1</v>
      </c>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row>
    <row r="12" spans="2:46" x14ac:dyDescent="0.25">
      <c r="B12" s="83" t="s">
        <v>191</v>
      </c>
      <c r="C12" s="84">
        <v>1072.5</v>
      </c>
      <c r="D12" s="135">
        <v>2</v>
      </c>
      <c r="E12" s="147">
        <v>0</v>
      </c>
      <c r="F12" s="148">
        <v>0</v>
      </c>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row>
    <row r="13" spans="2:46" x14ac:dyDescent="0.25">
      <c r="B13" s="83" t="s">
        <v>195</v>
      </c>
      <c r="C13" s="84">
        <v>0</v>
      </c>
      <c r="D13" s="135">
        <v>2</v>
      </c>
      <c r="E13" s="147">
        <v>0</v>
      </c>
      <c r="F13" s="148">
        <v>0</v>
      </c>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row>
    <row r="14" spans="2:46" ht="15.75" thickBot="1" x14ac:dyDescent="0.3">
      <c r="B14" s="85">
        <v>0</v>
      </c>
      <c r="C14" s="84">
        <v>0</v>
      </c>
      <c r="D14" s="135">
        <v>0</v>
      </c>
      <c r="E14" s="147">
        <v>0</v>
      </c>
      <c r="F14" s="148">
        <v>0</v>
      </c>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row>
    <row r="15" spans="2:46" ht="15.75" thickBot="1" x14ac:dyDescent="0.3">
      <c r="B15" s="70" t="s">
        <v>50</v>
      </c>
      <c r="C15" s="86">
        <v>18391.45</v>
      </c>
      <c r="D15" s="149">
        <v>23</v>
      </c>
      <c r="E15" s="149">
        <v>0</v>
      </c>
      <c r="F15" s="143">
        <v>1</v>
      </c>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row>
    <row r="16" spans="2:46" x14ac:dyDescent="0.25">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row>
    <row r="17" spans="2:46" x14ac:dyDescent="0.25">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33">
        <f>GETPIVOTDATA("Entered per user",$B$9)</f>
        <v>18391.45</v>
      </c>
      <c r="AP17" s="2"/>
      <c r="AQ17" s="2"/>
      <c r="AR17" s="2"/>
      <c r="AS17" s="2"/>
      <c r="AT17" s="2"/>
    </row>
    <row r="18" spans="2:46" x14ac:dyDescent="0.25">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row>
    <row r="19" spans="2:46" x14ac:dyDescent="0.25">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row>
    <row r="20" spans="2:46" x14ac:dyDescent="0.25">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f>GETPIVOTDATA("Checked",$B$9)</f>
        <v>1</v>
      </c>
      <c r="AP20" s="2"/>
      <c r="AQ20" s="2"/>
      <c r="AR20" s="2"/>
      <c r="AS20" s="2"/>
      <c r="AT20" s="2"/>
    </row>
    <row r="21" spans="2:46" x14ac:dyDescent="0.25">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row>
    <row r="22" spans="2:46" ht="15.75" thickBot="1" x14ac:dyDescent="0.3">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row>
    <row r="23" spans="2:46" ht="15.75" thickBot="1" x14ac:dyDescent="0.3">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f>GETPIVOTDATA("Room Nights",$B$36)</f>
        <v>55</v>
      </c>
      <c r="AP23" s="2"/>
      <c r="AQ23" s="2"/>
      <c r="AR23" s="2"/>
      <c r="AS23" s="2"/>
      <c r="AT23" s="2"/>
    </row>
    <row r="24" spans="2:46" x14ac:dyDescent="0.25">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row>
    <row r="25" spans="2:46" x14ac:dyDescent="0.25">
      <c r="G25" s="2"/>
      <c r="H25" s="2"/>
      <c r="I25" s="2"/>
      <c r="J25" s="2"/>
      <c r="K25" s="2"/>
      <c r="L25" s="2"/>
      <c r="M25" s="2"/>
      <c r="N25" s="2"/>
      <c r="O25" s="2"/>
      <c r="P25" s="2"/>
      <c r="Q25" s="2"/>
      <c r="R25" s="2"/>
      <c r="S25" s="2"/>
      <c r="T25" s="2"/>
      <c r="U25" s="2"/>
      <c r="V25" s="2"/>
      <c r="X25" s="2"/>
      <c r="Y25" s="2"/>
      <c r="Z25" s="2"/>
      <c r="AA25" s="2"/>
      <c r="AB25" s="2"/>
      <c r="AC25" s="2"/>
      <c r="AD25" s="2"/>
      <c r="AE25" s="2"/>
      <c r="AF25" s="2"/>
      <c r="AG25" s="2"/>
      <c r="AH25" s="2"/>
      <c r="AI25" s="2"/>
      <c r="AJ25" s="2"/>
      <c r="AK25" s="2"/>
      <c r="AL25" s="2"/>
      <c r="AM25" s="2"/>
      <c r="AN25" s="2"/>
      <c r="AO25" s="2"/>
      <c r="AP25" s="2"/>
      <c r="AQ25" s="2"/>
      <c r="AR25" s="2"/>
      <c r="AS25" s="2"/>
      <c r="AT25" s="2"/>
    </row>
    <row r="26" spans="2:46" x14ac:dyDescent="0.25">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row>
    <row r="27" spans="2:46" x14ac:dyDescent="0.25">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row>
    <row r="28" spans="2:46" x14ac:dyDescent="0.25">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row>
    <row r="29" spans="2:46" x14ac:dyDescent="0.25">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row>
    <row r="30" spans="2:46" ht="15.75" thickBot="1" x14ac:dyDescent="0.3">
      <c r="B30" s="2"/>
      <c r="C30" s="2"/>
      <c r="D30" s="2"/>
      <c r="E30" s="2"/>
      <c r="F30" s="2"/>
      <c r="G30" s="2"/>
      <c r="H30" s="2"/>
      <c r="I30" s="2"/>
      <c r="J30" s="2"/>
      <c r="K30" s="2"/>
      <c r="L30" s="2"/>
      <c r="M30" s="2"/>
      <c r="N30" s="2"/>
      <c r="O30" s="2"/>
      <c r="P30" s="2"/>
      <c r="Q30" s="2"/>
      <c r="R30" s="2"/>
      <c r="S30" s="2"/>
      <c r="T30" s="2"/>
      <c r="U30" s="2"/>
      <c r="V30" s="2"/>
      <c r="X30" s="2"/>
      <c r="Y30" s="2"/>
      <c r="Z30" s="2"/>
      <c r="AA30" s="2"/>
      <c r="AB30" s="2"/>
      <c r="AC30" s="2"/>
      <c r="AD30" s="2"/>
      <c r="AE30" s="2"/>
      <c r="AF30" s="2"/>
      <c r="AG30" s="2"/>
      <c r="AH30" s="2"/>
      <c r="AI30" s="2"/>
      <c r="AJ30" s="2"/>
      <c r="AK30" s="2"/>
      <c r="AL30" s="2"/>
      <c r="AM30" s="2"/>
      <c r="AN30" s="2"/>
      <c r="AO30" s="2"/>
      <c r="AP30" s="2"/>
      <c r="AQ30" s="2"/>
      <c r="AR30" s="2"/>
      <c r="AS30" s="2"/>
      <c r="AT30" s="2"/>
    </row>
    <row r="31" spans="2:46" ht="27" customHeight="1" thickBot="1" x14ac:dyDescent="0.4">
      <c r="B31" s="52" t="s">
        <v>98</v>
      </c>
      <c r="C31" s="10"/>
      <c r="D31" s="10"/>
      <c r="E31" s="10"/>
      <c r="F31" s="10"/>
      <c r="G31" s="10"/>
      <c r="H31" s="10"/>
      <c r="I31" s="10"/>
      <c r="J31" s="10"/>
      <c r="K31" s="10"/>
      <c r="L31" s="10"/>
      <c r="M31" s="10"/>
      <c r="N31" s="10"/>
      <c r="O31" s="10"/>
      <c r="P31" s="10"/>
      <c r="Q31" s="10"/>
      <c r="R31" s="10"/>
      <c r="S31" s="4"/>
      <c r="T31" s="4"/>
      <c r="U31" s="4"/>
      <c r="V31" s="4"/>
      <c r="W31" s="4"/>
      <c r="X31" s="4"/>
      <c r="Y31" s="4"/>
      <c r="Z31" s="4"/>
      <c r="AA31" s="4"/>
      <c r="AB31" s="4"/>
      <c r="AC31" s="5"/>
      <c r="AD31" s="2"/>
      <c r="AE31" s="2"/>
      <c r="AF31" s="2"/>
      <c r="AG31" s="2"/>
      <c r="AH31" s="2"/>
      <c r="AI31" s="2"/>
      <c r="AJ31" s="2"/>
      <c r="AK31" s="2"/>
      <c r="AL31" s="2"/>
      <c r="AM31" s="2"/>
      <c r="AN31" s="2"/>
      <c r="AO31" s="2"/>
      <c r="AP31" s="2"/>
      <c r="AQ31" s="2"/>
      <c r="AR31" s="2"/>
      <c r="AS31" s="2"/>
      <c r="AT31" s="2"/>
    </row>
    <row r="32" spans="2:46" x14ac:dyDescent="0.25">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row>
    <row r="33" spans="2:46" x14ac:dyDescent="0.25">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row>
    <row r="34" spans="2:46" x14ac:dyDescent="0.25">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row>
    <row r="35" spans="2:46" ht="15.75" thickBot="1" x14ac:dyDescent="0.3">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row>
    <row r="36" spans="2:46" ht="15.75" thickBot="1" x14ac:dyDescent="0.3">
      <c r="B36" s="63" t="s">
        <v>52</v>
      </c>
      <c r="C36" s="64" t="s">
        <v>91</v>
      </c>
      <c r="D36" s="65" t="s">
        <v>59</v>
      </c>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row>
    <row r="37" spans="2:46" x14ac:dyDescent="0.25">
      <c r="B37" s="81" t="s">
        <v>217</v>
      </c>
      <c r="C37" s="82">
        <v>4400</v>
      </c>
      <c r="D37" s="139">
        <v>8</v>
      </c>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row>
    <row r="38" spans="2:46" x14ac:dyDescent="0.25">
      <c r="B38" s="83" t="s">
        <v>226</v>
      </c>
      <c r="C38" s="84">
        <v>3666.2780000000002</v>
      </c>
      <c r="D38" s="136">
        <v>10</v>
      </c>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row>
    <row r="39" spans="2:46" x14ac:dyDescent="0.25">
      <c r="B39" s="83" t="s">
        <v>165</v>
      </c>
      <c r="C39" s="84">
        <v>3171.96</v>
      </c>
      <c r="D39" s="136">
        <v>12</v>
      </c>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row>
    <row r="40" spans="2:46" x14ac:dyDescent="0.25">
      <c r="B40" s="83" t="s">
        <v>182</v>
      </c>
      <c r="C40" s="84">
        <v>1914</v>
      </c>
      <c r="D40" s="136">
        <v>7</v>
      </c>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row>
    <row r="41" spans="2:46" x14ac:dyDescent="0.25">
      <c r="B41" s="83" t="s">
        <v>248</v>
      </c>
      <c r="C41" s="84">
        <v>1364.9349999999999</v>
      </c>
      <c r="D41" s="136">
        <v>5</v>
      </c>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row>
    <row r="42" spans="2:46" x14ac:dyDescent="0.25">
      <c r="B42" s="83" t="s">
        <v>236</v>
      </c>
      <c r="C42" s="84">
        <v>963.6</v>
      </c>
      <c r="D42" s="136">
        <v>3</v>
      </c>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row>
    <row r="43" spans="2:46" x14ac:dyDescent="0.25">
      <c r="B43" s="83" t="s">
        <v>241</v>
      </c>
      <c r="C43" s="84">
        <v>897.98500000000013</v>
      </c>
      <c r="D43" s="136">
        <v>5</v>
      </c>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row>
    <row r="44" spans="2:46" x14ac:dyDescent="0.25">
      <c r="B44" s="83" t="s">
        <v>198</v>
      </c>
      <c r="C44" s="84">
        <v>605</v>
      </c>
      <c r="D44" s="136">
        <v>1</v>
      </c>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row>
    <row r="45" spans="2:46" x14ac:dyDescent="0.25">
      <c r="B45" s="83" t="s">
        <v>167</v>
      </c>
      <c r="C45" s="84">
        <v>527.12</v>
      </c>
      <c r="D45" s="136">
        <v>2</v>
      </c>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row>
    <row r="46" spans="2:46" x14ac:dyDescent="0.25">
      <c r="B46" s="83" t="s">
        <v>207</v>
      </c>
      <c r="C46" s="84">
        <v>467.50000000000006</v>
      </c>
      <c r="D46" s="136">
        <v>1</v>
      </c>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row>
    <row r="47" spans="2:46" x14ac:dyDescent="0.25">
      <c r="B47" s="83" t="s">
        <v>194</v>
      </c>
      <c r="C47" s="84">
        <v>413.072</v>
      </c>
      <c r="D47" s="136">
        <v>1</v>
      </c>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row>
    <row r="48" spans="2:46" ht="15.75" thickBot="1" x14ac:dyDescent="0.3">
      <c r="B48" s="85" t="s">
        <v>118</v>
      </c>
      <c r="C48" s="84">
        <v>0</v>
      </c>
      <c r="D48" s="136">
        <v>0</v>
      </c>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row>
    <row r="49" spans="2:46" ht="15.75" thickBot="1" x14ac:dyDescent="0.3">
      <c r="B49" s="70" t="s">
        <v>50</v>
      </c>
      <c r="C49" s="86">
        <v>18391.45</v>
      </c>
      <c r="D49" s="143">
        <v>55</v>
      </c>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row>
    <row r="50" spans="2:46" x14ac:dyDescent="0.25">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row>
    <row r="51" spans="2:46" ht="15.75" thickBot="1" x14ac:dyDescent="0.3">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row>
    <row r="52" spans="2:46" x14ac:dyDescent="0.25">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row>
    <row r="53" spans="2:46" x14ac:dyDescent="0.25">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row>
    <row r="54" spans="2:46" x14ac:dyDescent="0.25">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row>
    <row r="55" spans="2:46" x14ac:dyDescent="0.25">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row>
    <row r="56" spans="2:46" x14ac:dyDescent="0.25">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row>
    <row r="57" spans="2:46" x14ac:dyDescent="0.25">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row>
    <row r="58" spans="2:46" ht="15.75" thickBot="1" x14ac:dyDescent="0.3">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row>
    <row r="59" spans="2:46" ht="15.75" thickBot="1" x14ac:dyDescent="0.3">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row>
    <row r="60" spans="2:46" x14ac:dyDescent="0.25">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row>
    <row r="61" spans="2:46" x14ac:dyDescent="0.25">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row>
    <row r="62" spans="2:46" x14ac:dyDescent="0.25">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row>
    <row r="63" spans="2:46" x14ac:dyDescent="0.25">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row>
    <row r="64" spans="2:46" x14ac:dyDescent="0.25">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row>
    <row r="65" spans="2:46" x14ac:dyDescent="0.25">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row>
    <row r="66" spans="2:46" x14ac:dyDescent="0.25">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row>
    <row r="67" spans="2:46" x14ac:dyDescent="0.25">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row>
    <row r="68" spans="2:46" x14ac:dyDescent="0.25">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row>
    <row r="69" spans="2:46" x14ac:dyDescent="0.25">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row>
    <row r="70" spans="2:46" ht="12.75" customHeight="1" thickBot="1" x14ac:dyDescent="0.3">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row>
    <row r="71" spans="2:46" ht="12.75" customHeight="1" thickBot="1" x14ac:dyDescent="0.3">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row>
    <row r="72" spans="2:46" ht="12.75" customHeight="1" x14ac:dyDescent="0.25">
      <c r="B72" s="94"/>
      <c r="C72" s="9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row>
    <row r="73" spans="2:46" ht="12.75" customHeight="1" thickBot="1" x14ac:dyDescent="0.3">
      <c r="B73" s="93"/>
      <c r="C73" s="90"/>
      <c r="D73" s="91"/>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row>
    <row r="74" spans="2:46" ht="31.5" customHeight="1" thickBot="1" x14ac:dyDescent="0.35">
      <c r="B74" s="52" t="s">
        <v>58</v>
      </c>
      <c r="C74" s="6"/>
      <c r="D74" s="6"/>
      <c r="E74" s="6"/>
      <c r="F74" s="6"/>
      <c r="G74" s="6"/>
      <c r="H74" s="6"/>
      <c r="I74" s="11"/>
      <c r="J74" s="6"/>
      <c r="K74" s="6"/>
      <c r="L74" s="6"/>
      <c r="M74" s="6"/>
      <c r="N74" s="6"/>
      <c r="O74" s="6"/>
      <c r="P74" s="6"/>
      <c r="Q74" s="6"/>
      <c r="R74" s="7"/>
      <c r="S74" s="7"/>
      <c r="T74" s="8"/>
      <c r="U74" s="8"/>
      <c r="V74" s="8"/>
      <c r="W74" s="8"/>
      <c r="X74" s="8"/>
      <c r="Y74" s="4"/>
      <c r="Z74" s="4"/>
      <c r="AA74" s="4"/>
      <c r="AB74" s="4"/>
      <c r="AC74" s="5"/>
      <c r="AD74" s="2"/>
      <c r="AE74" s="2"/>
      <c r="AF74" s="2"/>
      <c r="AG74" s="2"/>
      <c r="AH74" s="2"/>
      <c r="AI74" s="2"/>
      <c r="AJ74" s="2"/>
      <c r="AK74" s="2"/>
      <c r="AL74" s="2"/>
      <c r="AM74" s="2"/>
      <c r="AN74" s="2"/>
      <c r="AO74" s="2"/>
      <c r="AP74" s="2"/>
      <c r="AQ74" s="2"/>
      <c r="AR74" s="2"/>
      <c r="AS74" s="2"/>
      <c r="AT74" s="2"/>
    </row>
    <row r="75" spans="2:46" ht="15.75" thickBot="1" x14ac:dyDescent="0.3">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row>
    <row r="76" spans="2:46" ht="15.75" thickBot="1" x14ac:dyDescent="0.3">
      <c r="B76" s="61" t="s">
        <v>53</v>
      </c>
      <c r="C76" s="62" t="s">
        <v>109</v>
      </c>
      <c r="D76" s="64" t="s">
        <v>110</v>
      </c>
      <c r="E76" s="72" t="s">
        <v>111</v>
      </c>
      <c r="F76" s="72" t="s">
        <v>84</v>
      </c>
      <c r="G76" s="72" t="s">
        <v>108</v>
      </c>
      <c r="H76" s="73" t="s">
        <v>86</v>
      </c>
      <c r="L76" s="2"/>
      <c r="M76" s="2"/>
      <c r="N76" s="2"/>
      <c r="O76" s="2"/>
      <c r="P76" s="2"/>
      <c r="Q76" s="2"/>
      <c r="R76" s="2"/>
      <c r="S76" s="2"/>
      <c r="T76" s="2"/>
      <c r="U76" s="2"/>
      <c r="V76" s="2"/>
      <c r="W76" s="2"/>
      <c r="X76" s="2"/>
      <c r="Y76" s="2"/>
      <c r="Z76" s="2"/>
      <c r="AA76" s="2"/>
      <c r="AB76" s="2"/>
      <c r="AC76" s="2"/>
    </row>
    <row r="77" spans="2:46" x14ac:dyDescent="0.25">
      <c r="B77" s="87">
        <v>0</v>
      </c>
      <c r="C77" s="138">
        <v>0</v>
      </c>
      <c r="D77" s="144">
        <v>0</v>
      </c>
      <c r="E77" s="144">
        <v>0</v>
      </c>
      <c r="F77" s="144">
        <v>0</v>
      </c>
      <c r="G77" s="144">
        <v>0</v>
      </c>
      <c r="H77" s="139">
        <v>0</v>
      </c>
      <c r="L77" s="2"/>
      <c r="M77" s="2"/>
      <c r="N77" s="2"/>
      <c r="O77" s="2"/>
      <c r="P77" s="2"/>
      <c r="Q77" s="2"/>
      <c r="R77" s="2"/>
      <c r="S77" s="2"/>
      <c r="T77" s="2"/>
      <c r="U77" s="2"/>
      <c r="V77" s="2"/>
      <c r="W77" s="2"/>
      <c r="X77" s="2"/>
      <c r="Y77" s="2"/>
      <c r="Z77" s="2"/>
      <c r="AA77" s="2"/>
      <c r="AB77" s="2"/>
      <c r="AC77" s="2"/>
    </row>
    <row r="78" spans="2:46" x14ac:dyDescent="0.25">
      <c r="B78" s="87" t="s">
        <v>43</v>
      </c>
      <c r="C78" s="140">
        <v>0</v>
      </c>
      <c r="D78" s="135">
        <v>18</v>
      </c>
      <c r="E78" s="135">
        <v>19</v>
      </c>
      <c r="F78" s="135">
        <v>3</v>
      </c>
      <c r="G78" s="135">
        <v>0</v>
      </c>
      <c r="H78" s="136">
        <v>0</v>
      </c>
      <c r="L78" s="2"/>
      <c r="M78" s="2"/>
      <c r="N78" s="2"/>
      <c r="O78" s="2"/>
      <c r="P78" s="2"/>
      <c r="Q78" s="2"/>
      <c r="R78" s="2"/>
      <c r="S78" s="2"/>
      <c r="T78" s="2"/>
      <c r="U78" s="2"/>
      <c r="V78" s="2"/>
      <c r="W78" s="2"/>
      <c r="X78" s="2"/>
      <c r="Y78" s="2"/>
      <c r="Z78" s="2"/>
      <c r="AA78" s="2"/>
      <c r="AB78" s="2"/>
      <c r="AC78" s="2"/>
    </row>
    <row r="79" spans="2:46" x14ac:dyDescent="0.25">
      <c r="B79" s="87" t="s">
        <v>170</v>
      </c>
      <c r="C79" s="140">
        <v>0</v>
      </c>
      <c r="D79" s="135">
        <v>1</v>
      </c>
      <c r="E79" s="135">
        <v>0</v>
      </c>
      <c r="F79" s="135">
        <v>0</v>
      </c>
      <c r="G79" s="135">
        <v>0</v>
      </c>
      <c r="H79" s="136">
        <v>0</v>
      </c>
      <c r="L79" s="2"/>
      <c r="M79" s="2"/>
      <c r="N79" s="2"/>
      <c r="O79" s="2"/>
      <c r="P79" s="2"/>
      <c r="Q79" s="2"/>
      <c r="R79" s="2"/>
      <c r="S79" s="2"/>
      <c r="T79" s="2"/>
      <c r="U79" s="2"/>
      <c r="V79" s="2"/>
      <c r="W79" s="2"/>
      <c r="X79" s="2"/>
      <c r="Y79" s="2"/>
      <c r="Z79" s="2"/>
      <c r="AA79" s="2"/>
      <c r="AB79" s="2"/>
      <c r="AC79" s="2"/>
    </row>
    <row r="80" spans="2:46" x14ac:dyDescent="0.25">
      <c r="B80" s="87" t="s">
        <v>178</v>
      </c>
      <c r="C80" s="140">
        <v>0</v>
      </c>
      <c r="D80" s="135">
        <v>0</v>
      </c>
      <c r="E80" s="135">
        <v>0</v>
      </c>
      <c r="F80" s="135">
        <v>0</v>
      </c>
      <c r="G80" s="135">
        <v>0</v>
      </c>
      <c r="H80" s="136">
        <v>0</v>
      </c>
      <c r="L80" s="2"/>
      <c r="M80" s="2"/>
      <c r="N80" s="2"/>
      <c r="O80" s="2"/>
      <c r="P80" s="2"/>
      <c r="Q80" s="2"/>
      <c r="R80" s="2"/>
      <c r="S80" s="2"/>
      <c r="T80" s="2"/>
      <c r="U80" s="2"/>
      <c r="V80" s="2"/>
      <c r="W80" s="2"/>
      <c r="X80" s="2"/>
      <c r="Y80" s="2"/>
      <c r="Z80" s="2"/>
      <c r="AA80" s="2"/>
      <c r="AB80" s="2"/>
      <c r="AC80" s="2"/>
    </row>
    <row r="81" spans="2:47" x14ac:dyDescent="0.25">
      <c r="B81" s="87" t="s">
        <v>190</v>
      </c>
      <c r="C81" s="140">
        <v>0</v>
      </c>
      <c r="D81" s="135">
        <v>10</v>
      </c>
      <c r="E81" s="135">
        <v>0</v>
      </c>
      <c r="F81" s="135">
        <v>0</v>
      </c>
      <c r="G81" s="135">
        <v>0</v>
      </c>
      <c r="H81" s="136">
        <v>0</v>
      </c>
      <c r="L81" s="2"/>
      <c r="M81" s="2"/>
      <c r="N81" s="2"/>
      <c r="O81" s="2"/>
      <c r="P81" s="2"/>
      <c r="Q81" s="2"/>
      <c r="R81" s="2"/>
      <c r="S81" s="2"/>
      <c r="T81" s="2"/>
      <c r="U81" s="2"/>
      <c r="V81" s="2"/>
      <c r="W81" s="2"/>
      <c r="X81" s="2"/>
      <c r="Y81" s="2"/>
      <c r="Z81" s="2"/>
      <c r="AA81" s="2"/>
      <c r="AB81" s="2"/>
      <c r="AC81" s="2"/>
    </row>
    <row r="82" spans="2:47" ht="15.75" thickBot="1" x14ac:dyDescent="0.3">
      <c r="B82" s="87" t="s">
        <v>209</v>
      </c>
      <c r="C82" s="140">
        <v>0</v>
      </c>
      <c r="D82" s="135">
        <v>1</v>
      </c>
      <c r="E82" s="135">
        <v>0</v>
      </c>
      <c r="F82" s="135">
        <v>0</v>
      </c>
      <c r="G82" s="135">
        <v>0</v>
      </c>
      <c r="H82" s="136">
        <v>0</v>
      </c>
      <c r="L82" s="2"/>
      <c r="M82" s="2"/>
      <c r="N82" s="2"/>
      <c r="O82" s="2"/>
      <c r="P82" s="2"/>
      <c r="Q82" s="2"/>
      <c r="R82" s="2"/>
      <c r="S82" s="2"/>
      <c r="T82" s="2"/>
      <c r="U82" s="2"/>
      <c r="V82" s="2"/>
      <c r="W82" s="2"/>
      <c r="X82" s="2"/>
      <c r="Y82" s="2"/>
      <c r="Z82" s="2"/>
      <c r="AA82" s="2"/>
      <c r="AB82" s="2"/>
      <c r="AC82" s="2"/>
    </row>
    <row r="83" spans="2:47" ht="15.75" thickBot="1" x14ac:dyDescent="0.3">
      <c r="B83" s="70" t="s">
        <v>50</v>
      </c>
      <c r="C83" s="152">
        <v>0</v>
      </c>
      <c r="D83" s="149">
        <v>30</v>
      </c>
      <c r="E83" s="149">
        <v>19</v>
      </c>
      <c r="F83" s="149">
        <v>3</v>
      </c>
      <c r="G83" s="149">
        <v>0</v>
      </c>
      <c r="H83" s="143">
        <v>0</v>
      </c>
      <c r="L83" s="2"/>
      <c r="M83" s="2"/>
      <c r="N83" s="2"/>
      <c r="O83" s="2"/>
      <c r="P83" s="2"/>
      <c r="Q83" s="2"/>
      <c r="R83" s="2"/>
      <c r="S83" s="2"/>
      <c r="T83" s="2"/>
      <c r="U83" s="2"/>
      <c r="V83" s="2"/>
      <c r="W83" s="2"/>
      <c r="X83" s="2"/>
      <c r="Y83" s="2"/>
      <c r="Z83" s="2"/>
      <c r="AA83" s="2"/>
      <c r="AB83" s="2"/>
      <c r="AC83" s="2"/>
    </row>
    <row r="84" spans="2:47" x14ac:dyDescent="0.25">
      <c r="L84" s="2"/>
      <c r="M84" s="2"/>
      <c r="N84" s="2"/>
      <c r="O84" s="2"/>
      <c r="P84" s="2"/>
      <c r="Q84" s="2"/>
      <c r="R84" s="2"/>
      <c r="S84" s="2"/>
      <c r="T84" s="2"/>
      <c r="U84" s="2"/>
      <c r="V84" s="2"/>
      <c r="W84" s="2"/>
      <c r="X84" s="2"/>
      <c r="Y84" s="2"/>
      <c r="Z84" s="2"/>
      <c r="AA84" s="2"/>
      <c r="AB84" s="2"/>
      <c r="AC84" s="2"/>
    </row>
    <row r="85" spans="2:47" x14ac:dyDescent="0.25">
      <c r="L85" s="2"/>
      <c r="M85" s="2"/>
      <c r="N85" s="2"/>
      <c r="O85" s="2"/>
      <c r="P85" s="2"/>
      <c r="Q85" s="2"/>
      <c r="R85" s="2"/>
      <c r="S85" s="2"/>
      <c r="T85" s="2"/>
      <c r="U85" s="2"/>
      <c r="V85" s="2"/>
      <c r="W85" s="2"/>
      <c r="X85" s="2"/>
      <c r="Y85" s="2"/>
      <c r="Z85" s="2"/>
      <c r="AA85" s="2"/>
      <c r="AB85" s="2"/>
      <c r="AC85" s="2"/>
    </row>
    <row r="86" spans="2:47" x14ac:dyDescent="0.25">
      <c r="L86" s="2"/>
      <c r="M86" s="2"/>
      <c r="N86" s="2"/>
      <c r="O86" s="2"/>
      <c r="P86" s="2"/>
      <c r="Q86" s="2"/>
      <c r="R86" s="2"/>
      <c r="S86" s="2"/>
      <c r="T86" s="2"/>
      <c r="U86" s="2"/>
      <c r="V86" s="2"/>
      <c r="W86" s="2"/>
      <c r="X86" s="2"/>
      <c r="Y86" s="2"/>
      <c r="Z86" s="2"/>
      <c r="AA86" s="2"/>
      <c r="AB86" s="2"/>
      <c r="AC86" s="2"/>
    </row>
    <row r="87" spans="2:47" ht="15.75" thickBot="1" x14ac:dyDescent="0.3">
      <c r="L87" s="2"/>
      <c r="M87" s="2"/>
      <c r="N87" s="2"/>
      <c r="O87" s="2"/>
      <c r="P87" s="2"/>
      <c r="Q87" s="2"/>
      <c r="R87" s="2"/>
      <c r="S87" s="2"/>
      <c r="T87" s="2"/>
      <c r="U87" s="2"/>
      <c r="V87" s="2"/>
      <c r="W87" s="2"/>
      <c r="X87" s="2"/>
      <c r="Y87" s="2"/>
      <c r="Z87" s="2"/>
      <c r="AA87" s="2"/>
      <c r="AB87" s="2"/>
      <c r="AC87" s="2"/>
    </row>
    <row r="88" spans="2:47" ht="15.75" thickBot="1" x14ac:dyDescent="0.3">
      <c r="L88" s="2"/>
      <c r="M88" s="2"/>
      <c r="N88" s="2"/>
      <c r="O88" s="2"/>
      <c r="P88" s="2"/>
      <c r="Q88" s="2"/>
      <c r="R88" s="2"/>
      <c r="S88" s="2"/>
      <c r="T88" s="2"/>
      <c r="U88" s="2"/>
      <c r="V88" s="2"/>
      <c r="W88" s="2"/>
      <c r="X88" s="2"/>
      <c r="Y88" s="2"/>
      <c r="Z88" s="2"/>
      <c r="AA88" s="2"/>
      <c r="AB88" s="2"/>
      <c r="AC88" s="2"/>
    </row>
    <row r="89" spans="2:47" x14ac:dyDescent="0.25">
      <c r="L89" s="2"/>
      <c r="M89" s="2"/>
      <c r="N89" s="2"/>
      <c r="O89" s="2"/>
      <c r="P89" s="2"/>
      <c r="Q89" s="2"/>
      <c r="R89" s="2"/>
      <c r="S89" s="2"/>
      <c r="T89" s="2"/>
      <c r="U89" s="2"/>
      <c r="V89" s="2"/>
      <c r="W89" s="2"/>
      <c r="X89" s="2"/>
      <c r="Y89" s="2"/>
      <c r="Z89" s="2"/>
      <c r="AA89" s="2"/>
      <c r="AB89" s="2"/>
      <c r="AC89" s="2"/>
    </row>
    <row r="90" spans="2:47" x14ac:dyDescent="0.25">
      <c r="L90" s="2"/>
      <c r="M90" s="2"/>
      <c r="N90" s="2"/>
      <c r="O90" s="2"/>
      <c r="P90" s="2"/>
      <c r="Q90" s="2"/>
      <c r="R90" s="2"/>
      <c r="S90" s="2"/>
      <c r="T90" s="2"/>
      <c r="U90" s="2"/>
      <c r="V90" s="2"/>
      <c r="W90" s="2"/>
      <c r="X90" s="2"/>
      <c r="Y90" s="2"/>
      <c r="Z90" s="2"/>
      <c r="AA90" s="2"/>
      <c r="AB90" s="2"/>
      <c r="AC90" s="2"/>
    </row>
    <row r="91" spans="2:47" x14ac:dyDescent="0.25">
      <c r="L91" s="2"/>
      <c r="M91" s="2"/>
      <c r="N91" s="2"/>
      <c r="O91" s="2"/>
      <c r="P91" s="2"/>
      <c r="Q91" s="2"/>
      <c r="R91" s="2"/>
      <c r="S91" s="2"/>
      <c r="T91" s="2"/>
      <c r="U91" s="2"/>
      <c r="V91" s="2"/>
      <c r="W91" s="2"/>
      <c r="X91" s="2"/>
      <c r="Y91" s="2"/>
      <c r="Z91" s="2"/>
      <c r="AA91" s="2"/>
      <c r="AB91" s="2"/>
      <c r="AC91" s="2"/>
    </row>
    <row r="92" spans="2:47" x14ac:dyDescent="0.25">
      <c r="L92" s="2"/>
      <c r="M92" s="2"/>
      <c r="N92" s="2"/>
      <c r="O92" s="2"/>
      <c r="P92" s="2"/>
      <c r="Q92" s="2"/>
      <c r="R92" s="2"/>
      <c r="S92" s="2"/>
      <c r="T92" s="2"/>
      <c r="U92" s="2"/>
      <c r="V92" s="2"/>
      <c r="W92" s="2"/>
      <c r="X92" s="2"/>
      <c r="Y92" s="2"/>
      <c r="Z92" s="2"/>
      <c r="AA92" s="2"/>
      <c r="AB92" s="2"/>
      <c r="AC92" s="2"/>
    </row>
    <row r="93" spans="2:47" x14ac:dyDescent="0.25">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row>
    <row r="94" spans="2:47" x14ac:dyDescent="0.25">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row>
    <row r="95" spans="2:47" ht="15.75" thickBot="1" x14ac:dyDescent="0.3">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row>
    <row r="96" spans="2:47" ht="31.5" customHeight="1" thickBot="1" x14ac:dyDescent="0.3">
      <c r="B96" s="52" t="s">
        <v>54</v>
      </c>
      <c r="C96" s="11"/>
      <c r="D96" s="11"/>
      <c r="E96" s="11"/>
      <c r="F96" s="11"/>
      <c r="G96" s="11"/>
      <c r="H96" s="11"/>
      <c r="I96" s="11"/>
      <c r="J96" s="11"/>
      <c r="K96" s="11"/>
      <c r="L96" s="11"/>
      <c r="M96" s="11"/>
      <c r="N96" s="11"/>
      <c r="O96" s="11"/>
      <c r="P96" s="11"/>
      <c r="Q96" s="11"/>
      <c r="R96" s="11"/>
      <c r="S96" s="11"/>
      <c r="T96" s="11"/>
      <c r="U96" s="11"/>
      <c r="V96" s="11"/>
      <c r="W96" s="4"/>
      <c r="X96" s="4"/>
      <c r="Y96" s="4"/>
      <c r="Z96" s="4"/>
      <c r="AA96" s="4"/>
      <c r="AB96" s="4"/>
      <c r="AC96" s="5"/>
      <c r="AD96" s="2"/>
      <c r="AE96" s="2"/>
      <c r="AF96" s="2"/>
      <c r="AG96" s="2"/>
      <c r="AH96" s="2"/>
      <c r="AI96" s="2"/>
      <c r="AJ96" s="2"/>
      <c r="AK96" s="2"/>
      <c r="AL96" s="2"/>
      <c r="AM96" s="2"/>
      <c r="AN96" s="2"/>
      <c r="AO96" s="2"/>
      <c r="AP96" s="2"/>
      <c r="AQ96" s="2"/>
      <c r="AR96" s="2"/>
      <c r="AS96" s="2"/>
      <c r="AT96" s="2"/>
      <c r="AU96" s="2"/>
    </row>
    <row r="97" spans="2:46" ht="26.25" customHeight="1" x14ac:dyDescent="0.25">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row>
    <row r="98" spans="2:46" x14ac:dyDescent="0.25">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row>
    <row r="99" spans="2:46" ht="15.75" thickBot="1" x14ac:dyDescent="0.3">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row>
    <row r="100" spans="2:46" ht="15.75" thickBot="1" x14ac:dyDescent="0.3">
      <c r="B100" s="63" t="s">
        <v>57</v>
      </c>
      <c r="C100" s="105" t="s">
        <v>59</v>
      </c>
      <c r="D100" s="73" t="s">
        <v>106</v>
      </c>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row>
    <row r="101" spans="2:46" x14ac:dyDescent="0.25">
      <c r="B101" s="81">
        <v>0</v>
      </c>
      <c r="C101" s="138">
        <v>0</v>
      </c>
      <c r="D101" s="139">
        <v>0</v>
      </c>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row>
    <row r="102" spans="2:46" x14ac:dyDescent="0.25">
      <c r="B102" s="83" t="s">
        <v>43</v>
      </c>
      <c r="C102" s="140">
        <v>43</v>
      </c>
      <c r="D102" s="136">
        <v>13</v>
      </c>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row>
    <row r="103" spans="2:46" x14ac:dyDescent="0.25">
      <c r="B103" s="83" t="s">
        <v>170</v>
      </c>
      <c r="C103" s="140">
        <v>1</v>
      </c>
      <c r="D103" s="136">
        <v>3</v>
      </c>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row>
    <row r="104" spans="2:46" x14ac:dyDescent="0.25">
      <c r="B104" s="83" t="s">
        <v>178</v>
      </c>
      <c r="C104" s="140">
        <v>0</v>
      </c>
      <c r="D104" s="136">
        <v>2</v>
      </c>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row>
    <row r="105" spans="2:46" x14ac:dyDescent="0.25">
      <c r="B105" s="83" t="s">
        <v>190</v>
      </c>
      <c r="C105" s="140">
        <v>10</v>
      </c>
      <c r="D105" s="136">
        <v>4</v>
      </c>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row>
    <row r="106" spans="2:46" ht="15.75" thickBot="1" x14ac:dyDescent="0.3">
      <c r="B106" s="85" t="s">
        <v>209</v>
      </c>
      <c r="C106" s="140">
        <v>1</v>
      </c>
      <c r="D106" s="136">
        <v>1</v>
      </c>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row>
    <row r="107" spans="2:46" ht="15.75" thickBot="1" x14ac:dyDescent="0.3">
      <c r="B107" s="104" t="s">
        <v>50</v>
      </c>
      <c r="C107" s="141">
        <v>55</v>
      </c>
      <c r="D107" s="137">
        <v>23</v>
      </c>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row>
    <row r="108" spans="2:46" x14ac:dyDescent="0.25">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row>
    <row r="109" spans="2:46" x14ac:dyDescent="0.25">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row>
    <row r="110" spans="2:46" x14ac:dyDescent="0.25">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row>
    <row r="111" spans="2:46" ht="15.75" thickBot="1" x14ac:dyDescent="0.3">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row>
    <row r="112" spans="2:46" ht="15.75" thickBot="1" x14ac:dyDescent="0.3">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row>
    <row r="113" spans="2:46" x14ac:dyDescent="0.25">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row>
    <row r="114" spans="2:46" x14ac:dyDescent="0.25">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row>
    <row r="115" spans="2:46" x14ac:dyDescent="0.25">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row>
    <row r="116" spans="2:46" x14ac:dyDescent="0.25">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row>
    <row r="117" spans="2:46" x14ac:dyDescent="0.25">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row>
    <row r="118" spans="2:46" x14ac:dyDescent="0.25">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row>
    <row r="119" spans="2:46" x14ac:dyDescent="0.25">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row>
    <row r="120" spans="2:46" x14ac:dyDescent="0.25">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row>
    <row r="121" spans="2:46" x14ac:dyDescent="0.25">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row>
    <row r="122" spans="2:46" ht="15.75" thickBot="1" x14ac:dyDescent="0.3">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row>
    <row r="123" spans="2:46" ht="27" customHeight="1" thickBot="1" x14ac:dyDescent="0.3">
      <c r="B123" s="52" t="s">
        <v>61</v>
      </c>
      <c r="C123" s="11"/>
      <c r="D123" s="11"/>
      <c r="E123" s="11"/>
      <c r="F123" s="11"/>
      <c r="G123" s="11"/>
      <c r="H123" s="11"/>
      <c r="I123" s="11"/>
      <c r="J123" s="11"/>
      <c r="K123" s="11"/>
      <c r="L123" s="11"/>
      <c r="M123" s="11"/>
      <c r="N123" s="11"/>
      <c r="O123" s="11"/>
      <c r="P123" s="11"/>
      <c r="Q123" s="11"/>
      <c r="R123" s="11"/>
      <c r="S123" s="11"/>
      <c r="T123" s="11"/>
      <c r="U123" s="11"/>
      <c r="V123" s="1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row>
    <row r="124" spans="2:46" x14ac:dyDescent="0.25">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row>
    <row r="125" spans="2:46" x14ac:dyDescent="0.25">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row>
    <row r="126" spans="2:46" x14ac:dyDescent="0.25">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row>
    <row r="127" spans="2:46" ht="15.75" thickBot="1" x14ac:dyDescent="0.3">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row>
    <row r="128" spans="2:46" x14ac:dyDescent="0.25">
      <c r="B128" s="71" t="s">
        <v>60</v>
      </c>
      <c r="C128" s="74" t="s">
        <v>107</v>
      </c>
      <c r="D128" s="2"/>
      <c r="E128" s="2"/>
      <c r="F128" s="2"/>
      <c r="G128" s="2"/>
      <c r="H128" s="2"/>
      <c r="I128" s="2"/>
      <c r="J128" s="2"/>
      <c r="K128" s="2"/>
      <c r="L128" s="2"/>
      <c r="M128" s="2"/>
      <c r="N128" s="2"/>
      <c r="O128" s="2"/>
      <c r="P128" s="2"/>
      <c r="Q128" s="2"/>
      <c r="R128" s="2"/>
      <c r="S128" s="2"/>
      <c r="T128" s="2"/>
      <c r="U128" s="2"/>
      <c r="V128" s="2"/>
      <c r="W128" s="2"/>
      <c r="X128" s="2"/>
      <c r="AK128" s="2"/>
      <c r="AL128" s="2"/>
      <c r="AM128" s="2"/>
      <c r="AN128" s="2"/>
      <c r="AO128" s="2"/>
      <c r="AP128" s="2"/>
      <c r="AQ128" s="2"/>
      <c r="AR128" s="2"/>
      <c r="AS128" s="2"/>
      <c r="AT128" s="2"/>
    </row>
    <row r="129" spans="2:46" x14ac:dyDescent="0.25">
      <c r="B129" s="88">
        <v>45892</v>
      </c>
      <c r="C129" s="150">
        <v>7</v>
      </c>
      <c r="D129" s="2"/>
      <c r="E129" s="2"/>
      <c r="F129" s="2"/>
      <c r="G129" s="2"/>
      <c r="H129" s="2"/>
      <c r="I129" s="2"/>
      <c r="J129" s="2"/>
      <c r="K129" s="2"/>
      <c r="L129" s="2"/>
      <c r="M129" s="2"/>
      <c r="N129" s="2"/>
      <c r="O129" s="2"/>
      <c r="P129" s="2"/>
      <c r="Q129" s="2"/>
      <c r="R129" s="2"/>
      <c r="S129" s="2"/>
      <c r="T129" s="2"/>
      <c r="U129" s="2"/>
      <c r="V129" s="2"/>
      <c r="W129" s="2"/>
      <c r="X129" s="2"/>
      <c r="AK129" s="2"/>
      <c r="AL129" s="2"/>
      <c r="AM129" s="2"/>
      <c r="AN129" s="2"/>
      <c r="AO129" s="2"/>
      <c r="AP129" s="2"/>
      <c r="AQ129" s="2"/>
      <c r="AR129" s="2"/>
      <c r="AS129" s="2"/>
      <c r="AT129" s="2"/>
    </row>
    <row r="130" spans="2:46" x14ac:dyDescent="0.25">
      <c r="B130" s="88">
        <v>45893</v>
      </c>
      <c r="C130" s="150">
        <v>5</v>
      </c>
      <c r="D130" s="2"/>
      <c r="E130" s="2"/>
      <c r="F130" s="2"/>
      <c r="G130" s="2"/>
      <c r="H130" s="2"/>
      <c r="I130" s="2"/>
      <c r="J130" s="2"/>
      <c r="K130" s="2"/>
      <c r="L130" s="2"/>
      <c r="M130" s="2"/>
      <c r="N130" s="2"/>
      <c r="O130" s="2"/>
      <c r="P130" s="2"/>
      <c r="Q130" s="2"/>
      <c r="R130" s="2"/>
      <c r="S130" s="2"/>
      <c r="T130" s="2"/>
      <c r="U130" s="2"/>
      <c r="V130" s="2"/>
      <c r="W130" s="2"/>
      <c r="X130" s="2"/>
      <c r="AK130" s="2"/>
      <c r="AL130" s="2"/>
      <c r="AM130" s="2"/>
      <c r="AN130" s="2"/>
      <c r="AO130" s="2"/>
      <c r="AP130" s="2"/>
      <c r="AQ130" s="2"/>
      <c r="AR130" s="2"/>
      <c r="AS130" s="2"/>
      <c r="AT130" s="2"/>
    </row>
    <row r="131" spans="2:46" x14ac:dyDescent="0.25">
      <c r="B131" s="88">
        <v>45894</v>
      </c>
      <c r="C131" s="150">
        <v>1</v>
      </c>
      <c r="D131" s="2"/>
      <c r="E131" s="2"/>
      <c r="F131" s="2"/>
      <c r="G131" s="2"/>
      <c r="H131" s="2"/>
      <c r="I131" s="2"/>
      <c r="J131" s="2"/>
      <c r="K131" s="2"/>
      <c r="L131" s="2"/>
      <c r="M131" s="2"/>
      <c r="N131" s="2"/>
      <c r="O131" s="2"/>
      <c r="P131" s="2"/>
      <c r="Q131" s="2"/>
      <c r="R131" s="2"/>
      <c r="S131" s="2"/>
      <c r="T131" s="2"/>
      <c r="U131" s="2"/>
      <c r="V131" s="2"/>
      <c r="W131" s="2"/>
      <c r="X131" s="2"/>
      <c r="AK131" s="2"/>
      <c r="AL131" s="2"/>
      <c r="AM131" s="2"/>
      <c r="AN131" s="2"/>
      <c r="AO131" s="2"/>
      <c r="AP131" s="2"/>
      <c r="AQ131" s="2"/>
      <c r="AR131" s="2"/>
      <c r="AS131" s="2"/>
      <c r="AT131" s="2"/>
    </row>
    <row r="132" spans="2:46" x14ac:dyDescent="0.25">
      <c r="B132" s="88">
        <v>45895</v>
      </c>
      <c r="C132" s="150">
        <v>1</v>
      </c>
      <c r="D132" s="2"/>
      <c r="E132" s="2"/>
      <c r="F132" s="2"/>
      <c r="G132" s="2"/>
      <c r="H132" s="2"/>
      <c r="I132" s="2"/>
      <c r="J132" s="2"/>
      <c r="K132" s="2"/>
      <c r="L132" s="2"/>
      <c r="M132" s="2"/>
      <c r="N132" s="2"/>
      <c r="O132" s="2"/>
      <c r="P132" s="2"/>
      <c r="Q132" s="2"/>
      <c r="R132" s="2"/>
      <c r="S132" s="2"/>
      <c r="T132" s="2"/>
      <c r="U132" s="2"/>
      <c r="V132" s="2"/>
      <c r="W132" s="2"/>
      <c r="X132" s="2"/>
      <c r="AK132" s="2"/>
      <c r="AL132" s="2"/>
      <c r="AM132" s="2"/>
      <c r="AN132" s="2"/>
      <c r="AO132" s="2"/>
      <c r="AP132" s="2"/>
      <c r="AQ132" s="2"/>
      <c r="AR132" s="2"/>
      <c r="AS132" s="2"/>
      <c r="AT132" s="2"/>
    </row>
    <row r="133" spans="2:46" x14ac:dyDescent="0.25">
      <c r="B133" s="88">
        <v>45897</v>
      </c>
      <c r="C133" s="150">
        <v>2</v>
      </c>
      <c r="D133" s="2"/>
      <c r="E133" s="2"/>
      <c r="F133" s="2"/>
      <c r="G133" s="2"/>
      <c r="H133" s="2"/>
      <c r="I133" s="2"/>
      <c r="J133" s="2"/>
      <c r="K133" s="2"/>
      <c r="L133" s="2"/>
      <c r="M133" s="2"/>
      <c r="N133" s="2"/>
      <c r="O133" s="2"/>
      <c r="P133" s="2"/>
      <c r="Q133" s="2"/>
      <c r="R133" s="2"/>
      <c r="S133" s="2"/>
      <c r="T133" s="2"/>
      <c r="U133" s="2"/>
      <c r="V133" s="2"/>
      <c r="W133" s="2"/>
      <c r="X133" s="2"/>
      <c r="AK133" s="2"/>
      <c r="AL133" s="2"/>
      <c r="AM133" s="2"/>
      <c r="AN133" s="2"/>
      <c r="AO133" s="2"/>
      <c r="AP133" s="2"/>
      <c r="AQ133" s="2"/>
      <c r="AR133" s="2"/>
      <c r="AS133" s="2"/>
      <c r="AT133" s="2"/>
    </row>
    <row r="134" spans="2:46" x14ac:dyDescent="0.25">
      <c r="B134" s="88">
        <v>45901</v>
      </c>
      <c r="C134" s="150">
        <v>1</v>
      </c>
      <c r="D134" s="2"/>
      <c r="E134" s="2"/>
      <c r="F134" s="2"/>
      <c r="G134" s="2"/>
      <c r="H134" s="2"/>
      <c r="I134" s="2"/>
      <c r="J134" s="2"/>
      <c r="K134" s="2"/>
      <c r="L134" s="2"/>
      <c r="M134" s="2"/>
      <c r="N134" s="2"/>
      <c r="O134" s="2"/>
      <c r="P134" s="2"/>
      <c r="Q134" s="2"/>
      <c r="R134" s="2"/>
      <c r="S134" s="2"/>
      <c r="T134" s="2"/>
      <c r="U134" s="2"/>
      <c r="V134" s="2"/>
      <c r="W134" s="2"/>
      <c r="X134" s="2"/>
      <c r="AK134" s="2"/>
      <c r="AL134" s="2"/>
      <c r="AM134" s="2"/>
      <c r="AN134" s="2"/>
      <c r="AO134" s="2"/>
      <c r="AP134" s="2"/>
      <c r="AQ134" s="2"/>
      <c r="AR134" s="2"/>
      <c r="AS134" s="2"/>
      <c r="AT134" s="2"/>
    </row>
    <row r="135" spans="2:46" x14ac:dyDescent="0.25">
      <c r="B135" s="88">
        <v>45907</v>
      </c>
      <c r="C135" s="150">
        <v>1</v>
      </c>
      <c r="D135" s="2"/>
      <c r="E135" s="2"/>
      <c r="F135" s="2"/>
      <c r="G135" s="2"/>
      <c r="H135" s="2"/>
      <c r="I135" s="2"/>
      <c r="J135" s="2"/>
      <c r="K135" s="2"/>
      <c r="L135" s="2"/>
      <c r="M135" s="2"/>
      <c r="N135" s="2"/>
      <c r="O135" s="2"/>
      <c r="P135" s="2"/>
      <c r="Q135" s="2"/>
      <c r="R135" s="2"/>
      <c r="S135" s="2"/>
      <c r="T135" s="2"/>
      <c r="U135" s="2"/>
      <c r="V135" s="2"/>
      <c r="W135" s="2"/>
      <c r="X135" s="2"/>
      <c r="AK135" s="2"/>
      <c r="AL135" s="2"/>
      <c r="AM135" s="2"/>
      <c r="AN135" s="2"/>
      <c r="AO135" s="2"/>
      <c r="AP135" s="2"/>
      <c r="AQ135" s="2"/>
      <c r="AR135" s="2"/>
      <c r="AS135" s="2"/>
      <c r="AT135" s="2"/>
    </row>
    <row r="136" spans="2:46" x14ac:dyDescent="0.25">
      <c r="B136" s="88">
        <v>45924</v>
      </c>
      <c r="C136" s="150">
        <v>2</v>
      </c>
      <c r="D136" s="2"/>
      <c r="E136" s="2"/>
      <c r="F136" s="2"/>
      <c r="G136" s="2"/>
      <c r="H136" s="2"/>
      <c r="I136" s="2"/>
      <c r="J136" s="2"/>
      <c r="K136" s="2"/>
      <c r="L136" s="2"/>
      <c r="M136" s="2"/>
      <c r="N136" s="2"/>
      <c r="O136" s="2"/>
      <c r="P136" s="2"/>
      <c r="Q136" s="2"/>
      <c r="R136" s="2"/>
      <c r="S136" s="2"/>
      <c r="T136" s="2"/>
      <c r="U136" s="2"/>
      <c r="V136" s="2"/>
      <c r="W136" s="2"/>
      <c r="X136" s="2"/>
      <c r="AK136" s="2"/>
      <c r="AL136" s="2"/>
      <c r="AM136" s="2"/>
      <c r="AN136" s="2"/>
      <c r="AO136" s="2"/>
      <c r="AP136" s="2"/>
      <c r="AQ136" s="2"/>
      <c r="AR136" s="2"/>
      <c r="AS136" s="2"/>
      <c r="AT136" s="2"/>
    </row>
    <row r="137" spans="2:46" x14ac:dyDescent="0.25">
      <c r="B137" s="88">
        <v>45928</v>
      </c>
      <c r="C137" s="150">
        <v>1</v>
      </c>
      <c r="D137" s="2"/>
      <c r="E137" s="2"/>
      <c r="F137" s="2"/>
      <c r="G137" s="2"/>
      <c r="H137" s="2"/>
      <c r="I137" s="2"/>
      <c r="J137" s="2"/>
      <c r="K137" s="2"/>
      <c r="L137" s="2"/>
      <c r="M137" s="2"/>
      <c r="N137" s="2"/>
      <c r="O137" s="2"/>
      <c r="P137" s="2"/>
      <c r="Q137" s="2"/>
      <c r="R137" s="2"/>
      <c r="S137" s="2"/>
      <c r="T137" s="2"/>
      <c r="U137" s="2"/>
      <c r="V137" s="2"/>
      <c r="W137" s="2"/>
      <c r="X137" s="2"/>
      <c r="AK137" s="2"/>
      <c r="AL137" s="2"/>
      <c r="AM137" s="2"/>
      <c r="AN137" s="2"/>
      <c r="AO137" s="2"/>
      <c r="AP137" s="2"/>
      <c r="AQ137" s="2"/>
      <c r="AR137" s="2"/>
      <c r="AS137" s="2"/>
      <c r="AT137" s="2"/>
    </row>
    <row r="138" spans="2:46" ht="15.75" thickBot="1" x14ac:dyDescent="0.3">
      <c r="B138" s="88">
        <v>45931</v>
      </c>
      <c r="C138" s="150">
        <v>1</v>
      </c>
      <c r="D138" s="2"/>
      <c r="E138" s="2"/>
      <c r="F138" s="2"/>
      <c r="G138" s="2"/>
      <c r="H138" s="2"/>
      <c r="I138" s="2"/>
      <c r="J138" s="2"/>
      <c r="K138" s="2"/>
      <c r="L138" s="2"/>
      <c r="M138" s="2"/>
      <c r="N138" s="2"/>
      <c r="O138" s="2"/>
      <c r="P138" s="2"/>
      <c r="Q138" s="2"/>
      <c r="R138" s="2"/>
      <c r="S138" s="2"/>
      <c r="T138" s="2"/>
      <c r="U138" s="2"/>
      <c r="V138" s="2"/>
      <c r="W138" s="2"/>
      <c r="X138" s="2"/>
      <c r="AK138" s="2"/>
      <c r="AL138" s="2"/>
      <c r="AM138" s="2"/>
      <c r="AN138" s="2"/>
      <c r="AO138" s="2"/>
      <c r="AP138" s="2"/>
      <c r="AQ138" s="2"/>
      <c r="AR138" s="2"/>
      <c r="AS138" s="2"/>
      <c r="AT138" s="2"/>
    </row>
    <row r="139" spans="2:46" ht="15.75" thickBot="1" x14ac:dyDescent="0.3">
      <c r="B139" s="89" t="s">
        <v>50</v>
      </c>
      <c r="C139" s="151">
        <v>22</v>
      </c>
      <c r="D139" s="2"/>
      <c r="E139" s="2"/>
      <c r="F139" s="2"/>
      <c r="G139" s="2"/>
      <c r="H139" s="2"/>
      <c r="I139" s="2"/>
      <c r="J139" s="2"/>
      <c r="K139" s="2"/>
      <c r="L139" s="2"/>
      <c r="M139" s="2"/>
      <c r="N139" s="2"/>
      <c r="O139" s="2"/>
      <c r="P139" s="2"/>
      <c r="Q139" s="2"/>
      <c r="R139" s="2"/>
      <c r="S139" s="2"/>
      <c r="T139" s="2"/>
      <c r="U139" s="2"/>
      <c r="V139" s="2"/>
      <c r="W139" s="2"/>
      <c r="X139" s="2"/>
      <c r="AK139" s="2"/>
      <c r="AL139" s="2"/>
      <c r="AM139" s="2"/>
      <c r="AN139" s="2"/>
      <c r="AO139" s="2"/>
      <c r="AP139" s="2"/>
      <c r="AQ139" s="2"/>
      <c r="AR139" s="2"/>
      <c r="AS139" s="2"/>
      <c r="AT139" s="2"/>
    </row>
    <row r="140" spans="2:46" x14ac:dyDescent="0.25">
      <c r="D140" s="2"/>
      <c r="E140" s="2"/>
      <c r="F140" s="2"/>
      <c r="G140" s="2"/>
      <c r="H140" s="2"/>
      <c r="I140" s="2"/>
      <c r="J140" s="2"/>
      <c r="K140" s="2"/>
      <c r="L140" s="2"/>
      <c r="M140" s="2"/>
      <c r="N140" s="2"/>
      <c r="O140" s="2"/>
      <c r="P140" s="2"/>
      <c r="Q140" s="2"/>
      <c r="R140" s="2"/>
      <c r="S140" s="2"/>
      <c r="T140" s="2"/>
      <c r="U140" s="2"/>
      <c r="V140" s="2"/>
      <c r="W140" s="2"/>
      <c r="X140" s="2"/>
      <c r="AK140" s="2"/>
      <c r="AL140" s="2"/>
      <c r="AM140" s="2"/>
      <c r="AN140" s="2"/>
      <c r="AO140" s="2"/>
      <c r="AP140" s="2"/>
      <c r="AQ140" s="2"/>
      <c r="AR140" s="2"/>
      <c r="AS140" s="2"/>
      <c r="AT140" s="2"/>
    </row>
    <row r="141" spans="2:46" x14ac:dyDescent="0.25">
      <c r="D141" s="2"/>
      <c r="E141" s="2"/>
      <c r="F141" s="2"/>
      <c r="G141" s="2"/>
      <c r="H141" s="2"/>
      <c r="I141" s="2"/>
      <c r="J141" s="2"/>
      <c r="K141" s="2"/>
      <c r="L141" s="2"/>
      <c r="M141" s="2"/>
      <c r="N141" s="2"/>
      <c r="O141" s="2"/>
      <c r="P141" s="2"/>
      <c r="Q141" s="2"/>
      <c r="R141" s="2"/>
      <c r="S141" s="2"/>
      <c r="T141" s="2"/>
      <c r="U141" s="2"/>
      <c r="V141" s="2"/>
      <c r="W141" s="2"/>
      <c r="X141" s="2"/>
      <c r="AK141" s="2"/>
      <c r="AL141" s="2"/>
      <c r="AM141" s="2"/>
      <c r="AN141" s="2"/>
      <c r="AO141" s="2"/>
      <c r="AP141" s="2"/>
      <c r="AQ141" s="2"/>
      <c r="AR141" s="2"/>
      <c r="AS141" s="2"/>
      <c r="AT141" s="2"/>
    </row>
    <row r="142" spans="2:46" x14ac:dyDescent="0.25">
      <c r="D142" s="2"/>
      <c r="E142" s="2"/>
      <c r="F142" s="2"/>
      <c r="G142" s="2"/>
      <c r="H142" s="2"/>
      <c r="I142" s="2"/>
      <c r="J142" s="2"/>
      <c r="K142" s="2"/>
      <c r="L142" s="2"/>
      <c r="M142" s="2"/>
      <c r="N142" s="2"/>
      <c r="O142" s="2"/>
      <c r="P142" s="2"/>
      <c r="Q142" s="2"/>
      <c r="R142" s="2"/>
      <c r="S142" s="2"/>
      <c r="T142" s="2"/>
      <c r="U142" s="2"/>
      <c r="V142" s="2"/>
      <c r="W142" s="2"/>
      <c r="X142" s="2"/>
      <c r="AK142" s="2"/>
      <c r="AL142" s="2"/>
      <c r="AM142" s="2"/>
      <c r="AN142" s="2"/>
      <c r="AO142" s="2"/>
      <c r="AP142" s="2"/>
      <c r="AQ142" s="2"/>
      <c r="AR142" s="2"/>
      <c r="AS142" s="2"/>
      <c r="AT142" s="2"/>
    </row>
    <row r="143" spans="2:46" ht="15.75" thickBot="1" x14ac:dyDescent="0.3">
      <c r="D143" s="2"/>
      <c r="E143" s="2"/>
      <c r="F143" s="2"/>
      <c r="G143" s="2"/>
      <c r="H143" s="2"/>
      <c r="I143" s="2"/>
      <c r="J143" s="2"/>
      <c r="K143" s="2"/>
      <c r="L143" s="2"/>
      <c r="M143" s="2"/>
      <c r="N143" s="2"/>
      <c r="O143" s="2"/>
      <c r="P143" s="2"/>
      <c r="Q143" s="2"/>
      <c r="R143" s="2"/>
      <c r="S143" s="2"/>
      <c r="T143" s="2"/>
      <c r="U143" s="2"/>
      <c r="V143" s="2"/>
      <c r="W143" s="2"/>
      <c r="X143" s="2"/>
      <c r="AK143" s="2"/>
      <c r="AL143" s="2"/>
      <c r="AM143" s="2"/>
      <c r="AN143" s="2"/>
      <c r="AO143" s="2"/>
      <c r="AP143" s="2"/>
    </row>
    <row r="144" spans="2:46" ht="15.75" thickBot="1" x14ac:dyDescent="0.3">
      <c r="D144" s="2"/>
      <c r="E144" s="2"/>
      <c r="F144" s="2"/>
      <c r="G144" s="2"/>
      <c r="H144" s="2"/>
      <c r="I144" s="2"/>
      <c r="J144" s="2"/>
      <c r="K144" s="2"/>
      <c r="L144" s="2"/>
      <c r="M144" s="2"/>
      <c r="N144" s="2"/>
      <c r="O144" s="2"/>
      <c r="P144" s="2"/>
      <c r="Q144" s="2"/>
      <c r="R144" s="2"/>
      <c r="S144" s="2"/>
      <c r="T144" s="2"/>
      <c r="U144" s="2"/>
      <c r="V144" s="2"/>
      <c r="W144" s="2"/>
      <c r="X144" s="2"/>
    </row>
    <row r="145" spans="4:24" x14ac:dyDescent="0.25">
      <c r="D145" s="2"/>
      <c r="E145" s="2"/>
      <c r="F145" s="2"/>
      <c r="G145" s="2"/>
      <c r="H145" s="2"/>
      <c r="I145" s="2"/>
      <c r="J145" s="2"/>
      <c r="K145" s="2"/>
      <c r="L145" s="2"/>
      <c r="M145" s="2"/>
      <c r="N145" s="2"/>
      <c r="O145" s="2"/>
      <c r="P145" s="2"/>
      <c r="Q145" s="2"/>
      <c r="R145" s="2"/>
      <c r="S145" s="2"/>
      <c r="T145" s="2"/>
      <c r="U145" s="2"/>
      <c r="V145" s="2"/>
      <c r="W145" s="2"/>
      <c r="X145" s="2"/>
    </row>
    <row r="146" spans="4:24" x14ac:dyDescent="0.25">
      <c r="D146" s="2"/>
      <c r="E146" s="2"/>
      <c r="F146" s="2"/>
      <c r="G146" s="2"/>
      <c r="H146" s="2"/>
      <c r="I146" s="2"/>
      <c r="J146" s="2"/>
      <c r="K146" s="2"/>
      <c r="L146" s="2"/>
      <c r="M146" s="2"/>
      <c r="N146" s="2"/>
      <c r="O146" s="2"/>
      <c r="P146" s="2"/>
      <c r="Q146" s="2"/>
      <c r="R146" s="2"/>
      <c r="S146" s="2"/>
      <c r="T146" s="2"/>
      <c r="U146" s="2"/>
      <c r="V146" s="2"/>
      <c r="W146" s="2"/>
      <c r="X146" s="2"/>
    </row>
    <row r="147" spans="4:24" x14ac:dyDescent="0.25">
      <c r="D147" s="2"/>
      <c r="E147" s="2"/>
      <c r="F147" s="2"/>
      <c r="G147" s="2"/>
      <c r="H147" s="2"/>
      <c r="I147" s="2"/>
      <c r="J147" s="2"/>
      <c r="K147" s="2"/>
      <c r="L147" s="2"/>
      <c r="M147" s="2"/>
      <c r="N147" s="2"/>
      <c r="O147" s="2"/>
      <c r="P147" s="2"/>
      <c r="Q147" s="2"/>
      <c r="R147" s="2"/>
      <c r="S147" s="2"/>
      <c r="T147" s="2"/>
      <c r="U147" s="2"/>
      <c r="V147" s="2"/>
      <c r="W147" s="2"/>
      <c r="X147" s="2"/>
    </row>
    <row r="148" spans="4:24" x14ac:dyDescent="0.25">
      <c r="D148" s="2"/>
      <c r="E148" s="2"/>
      <c r="F148" s="2"/>
      <c r="G148" s="2"/>
      <c r="H148" s="2"/>
      <c r="I148" s="2"/>
      <c r="J148" s="2"/>
      <c r="K148" s="2"/>
      <c r="L148" s="2"/>
      <c r="M148" s="2"/>
      <c r="N148" s="2"/>
      <c r="O148" s="2"/>
      <c r="P148" s="2"/>
      <c r="Q148" s="2"/>
      <c r="R148" s="2"/>
      <c r="S148" s="2"/>
      <c r="T148" s="2"/>
      <c r="U148" s="2"/>
      <c r="V148" s="2"/>
      <c r="W148" s="2"/>
      <c r="X148" s="2"/>
    </row>
    <row r="149" spans="4:24" ht="15.75" thickBot="1" x14ac:dyDescent="0.3">
      <c r="D149" s="2"/>
      <c r="E149" s="2"/>
      <c r="F149" s="2"/>
      <c r="G149" s="2"/>
      <c r="H149" s="2"/>
      <c r="I149" s="2"/>
      <c r="J149" s="2"/>
      <c r="K149" s="2"/>
      <c r="L149" s="2"/>
      <c r="M149" s="2"/>
      <c r="N149" s="2"/>
      <c r="O149" s="2"/>
      <c r="P149" s="2"/>
      <c r="Q149" s="2"/>
      <c r="R149" s="2"/>
      <c r="S149" s="2"/>
      <c r="T149" s="2"/>
      <c r="U149" s="2"/>
      <c r="V149" s="2"/>
      <c r="W149" s="2"/>
      <c r="X149" s="2"/>
    </row>
    <row r="150" spans="4:24" ht="15.75" thickBot="1" x14ac:dyDescent="0.3">
      <c r="D150" s="2"/>
      <c r="E150" s="2"/>
      <c r="F150" s="2"/>
      <c r="G150" s="2"/>
      <c r="H150" s="2"/>
      <c r="I150" s="2"/>
      <c r="J150" s="2"/>
      <c r="K150" s="2"/>
      <c r="L150" s="2"/>
      <c r="M150" s="2"/>
      <c r="N150" s="2"/>
      <c r="O150" s="2"/>
      <c r="P150" s="2"/>
      <c r="Q150" s="2"/>
      <c r="R150" s="2"/>
      <c r="S150" s="2"/>
      <c r="T150" s="2"/>
      <c r="U150" s="2"/>
      <c r="V150" s="2"/>
      <c r="W150" s="2"/>
      <c r="X150" s="2"/>
    </row>
    <row r="151" spans="4:24" x14ac:dyDescent="0.25">
      <c r="D151" s="2"/>
      <c r="E151" s="2"/>
      <c r="F151" s="2"/>
      <c r="G151" s="2"/>
      <c r="H151" s="2"/>
      <c r="I151" s="2"/>
      <c r="J151" s="2"/>
      <c r="K151" s="2"/>
      <c r="L151" s="2"/>
      <c r="M151" s="2"/>
      <c r="N151" s="2"/>
      <c r="O151" s="2"/>
      <c r="P151" s="2"/>
      <c r="Q151" s="2"/>
      <c r="R151" s="2"/>
      <c r="S151" s="2"/>
      <c r="T151" s="2"/>
      <c r="U151" s="2"/>
      <c r="V151" s="2"/>
      <c r="W151" s="2"/>
      <c r="X151" s="2"/>
    </row>
    <row r="152" spans="4:24" ht="15.75" thickBot="1" x14ac:dyDescent="0.3">
      <c r="D152" s="2"/>
      <c r="E152" s="2"/>
      <c r="F152" s="2"/>
      <c r="G152" s="2"/>
      <c r="H152" s="2"/>
      <c r="I152" s="2"/>
      <c r="J152" s="2"/>
      <c r="K152" s="2"/>
      <c r="L152" s="2"/>
      <c r="M152" s="2"/>
      <c r="N152" s="2"/>
      <c r="O152" s="2"/>
      <c r="P152" s="2"/>
      <c r="Q152" s="2"/>
      <c r="R152" s="2"/>
      <c r="S152" s="2"/>
      <c r="T152" s="2"/>
      <c r="U152" s="2"/>
      <c r="V152" s="2"/>
      <c r="W152" s="2"/>
      <c r="X152" s="2"/>
    </row>
    <row r="153" spans="4:24" ht="15.75" thickBot="1" x14ac:dyDescent="0.3">
      <c r="D153" s="2"/>
      <c r="E153" s="2"/>
      <c r="F153" s="2"/>
      <c r="G153" s="2"/>
      <c r="H153" s="2"/>
      <c r="I153" s="2"/>
      <c r="J153" s="2"/>
      <c r="K153" s="2"/>
      <c r="L153" s="2"/>
      <c r="M153" s="2"/>
      <c r="N153" s="2"/>
      <c r="O153" s="2"/>
      <c r="P153" s="2"/>
      <c r="Q153" s="2"/>
      <c r="R153" s="2"/>
      <c r="S153" s="2"/>
      <c r="T153" s="2"/>
      <c r="U153" s="2"/>
      <c r="V153" s="2"/>
      <c r="W153" s="2"/>
      <c r="X153" s="2"/>
    </row>
    <row r="154" spans="4:24" x14ac:dyDescent="0.25">
      <c r="D154" s="2"/>
      <c r="E154" s="2"/>
      <c r="F154" s="2"/>
      <c r="G154" s="2"/>
      <c r="H154" s="2"/>
      <c r="I154" s="2"/>
      <c r="J154" s="2"/>
      <c r="K154" s="2"/>
      <c r="L154" s="2"/>
      <c r="M154" s="2"/>
      <c r="N154" s="2"/>
      <c r="O154" s="2"/>
      <c r="P154" s="2"/>
      <c r="Q154" s="2"/>
      <c r="R154" s="2"/>
      <c r="S154" s="2"/>
      <c r="T154" s="2"/>
      <c r="U154" s="2"/>
      <c r="V154" s="2"/>
      <c r="W154" s="2"/>
      <c r="X154" s="2"/>
    </row>
    <row r="155" spans="4:24" x14ac:dyDescent="0.25">
      <c r="D155" s="2"/>
      <c r="E155" s="2"/>
      <c r="F155" s="2"/>
      <c r="G155" s="2"/>
      <c r="H155" s="2"/>
      <c r="I155" s="2"/>
      <c r="J155" s="2"/>
      <c r="K155" s="2"/>
      <c r="L155" s="2"/>
      <c r="M155" s="2"/>
      <c r="N155" s="2"/>
      <c r="O155" s="2"/>
      <c r="P155" s="2"/>
      <c r="Q155" s="2"/>
      <c r="R155" s="2"/>
      <c r="S155" s="2"/>
      <c r="T155" s="2"/>
      <c r="U155" s="2"/>
      <c r="V155" s="2"/>
      <c r="W155" s="2"/>
      <c r="X155" s="2"/>
    </row>
    <row r="156" spans="4:24" x14ac:dyDescent="0.25">
      <c r="D156" s="2"/>
      <c r="E156" s="2"/>
      <c r="F156" s="2"/>
      <c r="G156" s="2"/>
      <c r="H156" s="2"/>
      <c r="I156" s="2"/>
      <c r="J156" s="2"/>
      <c r="K156" s="2"/>
      <c r="L156" s="2"/>
      <c r="M156" s="2"/>
      <c r="N156" s="2"/>
      <c r="O156" s="2"/>
      <c r="P156" s="2"/>
      <c r="Q156" s="2"/>
      <c r="R156" s="2"/>
      <c r="S156" s="2"/>
      <c r="T156" s="2"/>
      <c r="U156" s="2"/>
      <c r="V156" s="2"/>
      <c r="W156" s="2"/>
      <c r="X156" s="2"/>
    </row>
    <row r="157" spans="4:24" x14ac:dyDescent="0.25">
      <c r="D157" s="2"/>
      <c r="E157" s="2"/>
      <c r="F157" s="2"/>
      <c r="G157" s="2"/>
      <c r="H157" s="2"/>
      <c r="I157" s="2"/>
      <c r="J157" s="2"/>
      <c r="K157" s="2"/>
      <c r="L157" s="2"/>
      <c r="M157" s="2"/>
      <c r="N157" s="2"/>
      <c r="O157" s="2"/>
      <c r="P157" s="2"/>
      <c r="Q157" s="2"/>
      <c r="R157" s="2"/>
      <c r="S157" s="2"/>
      <c r="T157" s="2"/>
      <c r="U157" s="2"/>
      <c r="V157" s="2"/>
      <c r="W157" s="2"/>
      <c r="X157" s="2"/>
    </row>
    <row r="158" spans="4:24" x14ac:dyDescent="0.25">
      <c r="D158" s="2"/>
      <c r="E158" s="2"/>
      <c r="F158" s="2"/>
      <c r="G158" s="2"/>
      <c r="H158" s="2"/>
      <c r="I158" s="2"/>
      <c r="J158" s="2"/>
      <c r="K158" s="2"/>
      <c r="L158" s="2"/>
      <c r="M158" s="2"/>
      <c r="N158" s="2"/>
      <c r="O158" s="2"/>
      <c r="P158" s="2"/>
      <c r="Q158" s="2"/>
      <c r="R158" s="2"/>
      <c r="S158" s="2"/>
      <c r="T158" s="2"/>
      <c r="U158" s="2"/>
      <c r="V158" s="2"/>
      <c r="W158" s="2"/>
      <c r="X158" s="2"/>
    </row>
    <row r="159" spans="4:24" x14ac:dyDescent="0.25">
      <c r="D159" s="2"/>
      <c r="E159" s="2"/>
      <c r="F159" s="2"/>
      <c r="G159" s="2"/>
      <c r="H159" s="2"/>
      <c r="I159" s="2"/>
      <c r="J159" s="2"/>
      <c r="K159" s="2"/>
      <c r="L159" s="2"/>
      <c r="M159" s="2"/>
      <c r="N159" s="2"/>
      <c r="O159" s="2"/>
      <c r="P159" s="2"/>
      <c r="Q159" s="2"/>
      <c r="R159" s="2"/>
      <c r="S159" s="2"/>
      <c r="T159" s="2"/>
      <c r="U159" s="2"/>
      <c r="V159" s="2"/>
      <c r="W159" s="2"/>
      <c r="X159" s="2"/>
    </row>
    <row r="160" spans="4:24" x14ac:dyDescent="0.25">
      <c r="D160" s="2"/>
      <c r="E160" s="2"/>
      <c r="F160" s="2"/>
      <c r="G160" s="2"/>
      <c r="H160" s="2"/>
      <c r="I160" s="2"/>
      <c r="J160" s="2"/>
      <c r="K160" s="2"/>
      <c r="L160" s="2"/>
      <c r="M160" s="2"/>
      <c r="N160" s="2"/>
      <c r="O160" s="2"/>
      <c r="P160" s="2"/>
      <c r="Q160" s="2"/>
      <c r="R160" s="2"/>
      <c r="S160" s="2"/>
      <c r="T160" s="2"/>
      <c r="U160" s="2"/>
      <c r="V160" s="2"/>
      <c r="W160" s="2"/>
      <c r="X160" s="2"/>
    </row>
    <row r="161" spans="2:24" x14ac:dyDescent="0.25">
      <c r="D161" s="2"/>
      <c r="E161" s="2"/>
      <c r="F161" s="2"/>
      <c r="G161" s="2"/>
      <c r="H161" s="2"/>
      <c r="I161" s="2"/>
      <c r="J161" s="2"/>
      <c r="K161" s="2"/>
      <c r="L161" s="2"/>
      <c r="M161" s="2"/>
      <c r="N161" s="2"/>
      <c r="O161" s="2"/>
      <c r="P161" s="2"/>
      <c r="Q161" s="2"/>
      <c r="R161" s="2"/>
      <c r="S161" s="2"/>
      <c r="T161" s="2"/>
      <c r="U161" s="2"/>
      <c r="V161" s="2"/>
      <c r="W161" s="2"/>
      <c r="X161" s="2"/>
    </row>
    <row r="162" spans="2:24" x14ac:dyDescent="0.25">
      <c r="D162" s="2"/>
      <c r="E162" s="2"/>
      <c r="F162" s="2"/>
      <c r="G162" s="2"/>
      <c r="H162" s="2"/>
      <c r="I162" s="2"/>
      <c r="J162" s="2"/>
      <c r="K162" s="2"/>
      <c r="L162" s="2"/>
      <c r="M162" s="2"/>
      <c r="N162" s="2"/>
      <c r="O162" s="2"/>
      <c r="P162" s="2"/>
      <c r="Q162" s="2"/>
      <c r="R162" s="2"/>
      <c r="S162" s="2"/>
      <c r="T162" s="2"/>
      <c r="U162" s="2"/>
      <c r="V162" s="2"/>
      <c r="W162" s="2"/>
      <c r="X162" s="2"/>
    </row>
    <row r="163" spans="2:24" x14ac:dyDescent="0.25">
      <c r="D163" s="2"/>
      <c r="E163" s="2"/>
      <c r="F163" s="2"/>
      <c r="G163" s="2"/>
      <c r="H163" s="2"/>
      <c r="I163" s="2"/>
      <c r="J163" s="2"/>
      <c r="K163" s="2"/>
      <c r="L163" s="2"/>
      <c r="M163" s="2"/>
      <c r="N163" s="2"/>
      <c r="O163" s="2"/>
      <c r="P163" s="2"/>
      <c r="Q163" s="2"/>
      <c r="R163" s="2"/>
      <c r="S163" s="2"/>
      <c r="T163" s="2"/>
      <c r="U163" s="2"/>
      <c r="V163" s="2"/>
      <c r="W163" s="2"/>
      <c r="X163" s="2"/>
    </row>
    <row r="164" spans="2:24" x14ac:dyDescent="0.25">
      <c r="D164" s="2"/>
      <c r="E164" s="2"/>
      <c r="F164" s="2"/>
      <c r="G164" s="2"/>
      <c r="H164" s="2"/>
      <c r="I164" s="2"/>
      <c r="J164" s="2"/>
      <c r="K164" s="2"/>
      <c r="L164" s="2"/>
      <c r="M164" s="2"/>
      <c r="N164" s="2"/>
      <c r="O164" s="2"/>
      <c r="P164" s="2"/>
      <c r="Q164" s="2"/>
      <c r="R164" s="2"/>
      <c r="S164" s="2"/>
      <c r="T164" s="2"/>
      <c r="U164" s="2"/>
      <c r="V164" s="2"/>
      <c r="W164" s="2"/>
      <c r="X164" s="2"/>
    </row>
    <row r="165" spans="2:24" x14ac:dyDescent="0.25">
      <c r="D165" s="2"/>
      <c r="E165" s="2"/>
      <c r="F165" s="2"/>
      <c r="G165" s="2"/>
      <c r="H165" s="2"/>
      <c r="I165" s="2"/>
      <c r="J165" s="2"/>
      <c r="K165" s="2"/>
      <c r="L165" s="2"/>
      <c r="M165" s="2"/>
      <c r="N165" s="2"/>
      <c r="O165" s="2"/>
      <c r="P165" s="2"/>
      <c r="Q165" s="2"/>
      <c r="R165" s="2"/>
      <c r="S165" s="2"/>
      <c r="T165" s="2"/>
      <c r="U165" s="2"/>
      <c r="V165" s="2"/>
      <c r="W165" s="2"/>
      <c r="X165" s="2"/>
    </row>
    <row r="166" spans="2:24" x14ac:dyDescent="0.25">
      <c r="D166" s="2"/>
      <c r="E166" s="2"/>
      <c r="F166" s="2"/>
      <c r="G166" s="2"/>
      <c r="H166" s="2"/>
      <c r="I166" s="2"/>
      <c r="J166" s="2"/>
      <c r="K166" s="2"/>
      <c r="L166" s="2"/>
      <c r="M166" s="2"/>
      <c r="N166" s="2"/>
      <c r="O166" s="2"/>
      <c r="P166" s="2"/>
      <c r="Q166" s="2"/>
      <c r="R166" s="2"/>
      <c r="S166" s="2"/>
      <c r="T166" s="2"/>
      <c r="U166" s="2"/>
      <c r="V166" s="2"/>
      <c r="W166" s="2"/>
      <c r="X166" s="2"/>
    </row>
    <row r="167" spans="2:24" x14ac:dyDescent="0.25">
      <c r="D167" s="2"/>
      <c r="E167" s="2"/>
      <c r="F167" s="2"/>
      <c r="G167" s="2"/>
      <c r="H167" s="2"/>
      <c r="I167" s="2"/>
      <c r="J167" s="2"/>
      <c r="K167" s="2"/>
      <c r="L167" s="2"/>
      <c r="M167" s="2"/>
      <c r="N167" s="2"/>
      <c r="O167" s="2"/>
      <c r="P167" s="2"/>
      <c r="Q167" s="2"/>
      <c r="R167" s="2"/>
      <c r="S167" s="2"/>
      <c r="T167" s="2"/>
      <c r="U167" s="2"/>
      <c r="V167" s="2"/>
      <c r="W167" s="2"/>
      <c r="X167" s="2"/>
    </row>
    <row r="168" spans="2:24" x14ac:dyDescent="0.25">
      <c r="D168" s="2"/>
      <c r="E168" s="2"/>
      <c r="F168" s="2"/>
      <c r="G168" s="2"/>
      <c r="H168" s="2"/>
      <c r="I168" s="2"/>
      <c r="J168" s="2"/>
      <c r="K168" s="2"/>
      <c r="L168" s="2"/>
      <c r="M168" s="2"/>
      <c r="N168" s="2"/>
      <c r="O168" s="2"/>
      <c r="P168" s="2"/>
      <c r="Q168" s="2"/>
      <c r="R168" s="2"/>
      <c r="S168" s="2"/>
      <c r="T168" s="2"/>
      <c r="U168" s="2"/>
      <c r="V168" s="2"/>
      <c r="W168" s="2"/>
      <c r="X168" s="2"/>
    </row>
    <row r="169" spans="2:24" x14ac:dyDescent="0.25">
      <c r="D169" s="2"/>
      <c r="E169" s="2"/>
      <c r="F169" s="2"/>
      <c r="G169" s="2"/>
      <c r="H169" s="2"/>
      <c r="I169" s="2"/>
      <c r="J169" s="2"/>
      <c r="K169" s="2"/>
      <c r="L169" s="2"/>
      <c r="M169" s="2"/>
      <c r="N169" s="2"/>
      <c r="O169" s="2"/>
      <c r="P169" s="2"/>
      <c r="Q169" s="2"/>
      <c r="R169" s="2"/>
      <c r="S169" s="2"/>
      <c r="T169" s="2"/>
      <c r="U169" s="2"/>
      <c r="V169" s="2"/>
      <c r="W169" s="2"/>
      <c r="X169" s="2"/>
    </row>
    <row r="170" spans="2:24" x14ac:dyDescent="0.25">
      <c r="D170" s="2"/>
      <c r="E170" s="2"/>
      <c r="F170" s="2"/>
      <c r="G170" s="2"/>
      <c r="H170" s="2"/>
      <c r="I170" s="2"/>
      <c r="J170" s="2"/>
      <c r="K170" s="2"/>
      <c r="L170" s="2"/>
      <c r="M170" s="2"/>
      <c r="N170" s="2"/>
      <c r="O170" s="2"/>
      <c r="P170" s="2"/>
      <c r="Q170" s="2"/>
      <c r="R170" s="2"/>
      <c r="S170" s="2"/>
      <c r="T170" s="2"/>
      <c r="U170" s="2"/>
      <c r="V170" s="2"/>
      <c r="W170" s="2"/>
      <c r="X170" s="2"/>
    </row>
    <row r="171" spans="2:24" ht="15.75" thickBot="1" x14ac:dyDescent="0.3">
      <c r="D171" s="2"/>
      <c r="E171" s="2"/>
      <c r="F171" s="2"/>
      <c r="G171" s="2"/>
      <c r="H171" s="2"/>
      <c r="I171" s="2"/>
      <c r="J171" s="2"/>
      <c r="K171" s="2"/>
      <c r="L171" s="2"/>
      <c r="M171" s="2"/>
      <c r="N171" s="2"/>
      <c r="O171" s="2"/>
      <c r="P171" s="2"/>
      <c r="Q171" s="2"/>
      <c r="R171" s="2"/>
      <c r="S171" s="2"/>
      <c r="T171" s="2"/>
      <c r="U171" s="2"/>
      <c r="V171" s="2"/>
      <c r="W171" s="2"/>
      <c r="X171" s="2"/>
    </row>
    <row r="172" spans="2:24" ht="15.75" thickBot="1" x14ac:dyDescent="0.3">
      <c r="D172" s="2"/>
      <c r="E172" s="2"/>
      <c r="F172" s="2"/>
      <c r="G172" s="2"/>
      <c r="H172" s="2"/>
      <c r="I172" s="2"/>
      <c r="J172" s="2"/>
      <c r="K172" s="2"/>
      <c r="L172" s="2"/>
      <c r="M172" s="2"/>
      <c r="N172" s="2"/>
      <c r="O172" s="2"/>
      <c r="P172" s="2"/>
      <c r="Q172" s="2"/>
      <c r="R172" s="2"/>
      <c r="S172" s="2"/>
      <c r="T172" s="2"/>
      <c r="U172" s="2"/>
      <c r="V172" s="2"/>
      <c r="W172" s="2"/>
      <c r="X172" s="2"/>
    </row>
    <row r="173" spans="2:24" x14ac:dyDescent="0.25">
      <c r="B173" s="2"/>
      <c r="C173" s="2"/>
      <c r="D173" s="2"/>
      <c r="E173" s="2"/>
      <c r="F173" s="2"/>
      <c r="G173" s="2"/>
      <c r="H173" s="2"/>
      <c r="I173" s="2"/>
      <c r="J173" s="2"/>
      <c r="K173" s="2"/>
      <c r="L173" s="2"/>
      <c r="M173" s="2"/>
      <c r="N173" s="2"/>
      <c r="O173" s="2"/>
      <c r="P173" s="2"/>
      <c r="Q173" s="2"/>
      <c r="R173" s="2"/>
      <c r="S173" s="2"/>
      <c r="T173" s="2"/>
      <c r="U173" s="2"/>
      <c r="V173" s="2"/>
      <c r="W173" s="2"/>
      <c r="X173" s="2"/>
    </row>
    <row r="174" spans="2:24" ht="15.75" thickBot="1" x14ac:dyDescent="0.3"/>
    <row r="175" spans="2:24" ht="15.75" thickBot="1" x14ac:dyDescent="0.3"/>
  </sheetData>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Button 1">
              <controlPr defaultSize="0" print="0" autoFill="0" autoPict="0" macro="[0]!ENTEREDON">
                <anchor moveWithCells="1" sizeWithCells="1">
                  <from>
                    <xdr:col>10</xdr:col>
                    <xdr:colOff>438150</xdr:colOff>
                    <xdr:row>0</xdr:row>
                    <xdr:rowOff>85725</xdr:rowOff>
                  </from>
                  <to>
                    <xdr:col>11</xdr:col>
                    <xdr:colOff>923925</xdr:colOff>
                    <xdr:row>0</xdr:row>
                    <xdr:rowOff>266700</xdr:rowOff>
                  </to>
                </anchor>
              </controlPr>
            </control>
          </mc:Choice>
        </mc:AlternateContent>
        <mc:AlternateContent xmlns:mc="http://schemas.openxmlformats.org/markup-compatibility/2006">
          <mc:Choice Requires="x14">
            <control shapeId="1028" r:id="rId10" name="Button 4">
              <controlPr defaultSize="0" print="0" autoFill="0" autoPict="0" macro="[0]!Refresh">
                <anchor moveWithCells="1" sizeWithCells="1">
                  <from>
                    <xdr:col>17</xdr:col>
                    <xdr:colOff>314325</xdr:colOff>
                    <xdr:row>0</xdr:row>
                    <xdr:rowOff>85725</xdr:rowOff>
                  </from>
                  <to>
                    <xdr:col>19</xdr:col>
                    <xdr:colOff>495300</xdr:colOff>
                    <xdr:row>0</xdr:row>
                    <xdr:rowOff>257175</xdr:rowOff>
                  </to>
                </anchor>
              </controlPr>
            </control>
          </mc:Choice>
        </mc:AlternateContent>
        <mc:AlternateContent xmlns:mc="http://schemas.openxmlformats.org/markup-compatibility/2006">
          <mc:Choice Requires="x14">
            <control shapeId="1029" r:id="rId11" name="Button 5">
              <controlPr defaultSize="0" print="0" autoFill="0" autoPict="0" macro="[0]!_xludf.CLEAR">
                <anchor moveWithCells="1" sizeWithCells="1">
                  <from>
                    <xdr:col>2</xdr:col>
                    <xdr:colOff>981075</xdr:colOff>
                    <xdr:row>0</xdr:row>
                    <xdr:rowOff>66675</xdr:rowOff>
                  </from>
                  <to>
                    <xdr:col>3</xdr:col>
                    <xdr:colOff>800100</xdr:colOff>
                    <xdr:row>0</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theme="1"/>
  </sheetPr>
  <dimension ref="A1:X353"/>
  <sheetViews>
    <sheetView showGridLines="0" topLeftCell="A16" zoomScale="98" zoomScaleNormal="98" workbookViewId="0">
      <selection activeCell="K1" sqref="K1"/>
    </sheetView>
  </sheetViews>
  <sheetFormatPr defaultRowHeight="15" x14ac:dyDescent="0.25"/>
  <cols>
    <col min="1" max="1" width="22.5703125" bestFit="1" customWidth="1"/>
    <col min="2" max="2" width="19.140625" bestFit="1" customWidth="1"/>
    <col min="3" max="3" width="17.7109375" bestFit="1" customWidth="1"/>
    <col min="4" max="4" width="11.5703125" bestFit="1" customWidth="1"/>
    <col min="5" max="5" width="11.140625" bestFit="1" customWidth="1"/>
    <col min="6" max="6" width="11.85546875" bestFit="1" customWidth="1"/>
    <col min="7" max="7" width="11.140625" bestFit="1" customWidth="1"/>
    <col min="8" max="8" width="11.7109375" bestFit="1" customWidth="1"/>
    <col min="9" max="9" width="11.85546875" bestFit="1" customWidth="1"/>
    <col min="10" max="10" width="11.140625" bestFit="1" customWidth="1"/>
    <col min="11" max="11" width="17" customWidth="1"/>
    <col min="12" max="12" width="16.85546875" customWidth="1"/>
    <col min="13" max="13" width="25.140625" customWidth="1"/>
    <col min="14" max="14" width="11" bestFit="1" customWidth="1"/>
    <col min="16" max="16" width="8.140625" customWidth="1"/>
    <col min="19" max="19" width="14.42578125" bestFit="1" customWidth="1"/>
    <col min="20" max="20" width="22.5703125" bestFit="1" customWidth="1"/>
    <col min="21" max="21" width="15.7109375" bestFit="1" customWidth="1"/>
    <col min="22" max="22" width="11.5703125" bestFit="1" customWidth="1"/>
    <col min="25" max="25" width="9.140625" customWidth="1"/>
  </cols>
  <sheetData>
    <row r="1" spans="1:16" ht="50.25" customHeight="1" x14ac:dyDescent="0.35">
      <c r="A1" s="55" t="s">
        <v>92</v>
      </c>
      <c r="B1" s="53"/>
      <c r="C1" s="53"/>
      <c r="D1" s="53"/>
      <c r="E1" s="53"/>
      <c r="F1" s="53"/>
      <c r="G1" s="54"/>
      <c r="H1" s="53"/>
      <c r="I1" s="53"/>
      <c r="J1" s="53"/>
      <c r="K1" s="53"/>
      <c r="L1" s="53"/>
      <c r="M1" s="53"/>
      <c r="N1" s="53"/>
      <c r="O1" s="53"/>
      <c r="P1" s="95"/>
    </row>
    <row r="2" spans="1:16" x14ac:dyDescent="0.25">
      <c r="A2" s="56"/>
      <c r="B2" s="57"/>
      <c r="C2" s="57"/>
      <c r="D2" s="57"/>
      <c r="E2" s="57"/>
      <c r="F2" s="57"/>
      <c r="G2" s="57"/>
      <c r="H2" s="57"/>
      <c r="I2" s="57"/>
      <c r="J2" s="57"/>
      <c r="K2" s="57"/>
      <c r="L2" s="57"/>
      <c r="M2" s="57"/>
      <c r="N2" s="57"/>
      <c r="O2" s="57"/>
      <c r="P2" s="96"/>
    </row>
    <row r="3" spans="1:16" x14ac:dyDescent="0.25">
      <c r="A3" s="56"/>
      <c r="B3" s="57"/>
      <c r="C3" s="57"/>
      <c r="D3" s="57"/>
      <c r="E3" s="57"/>
      <c r="F3" s="57"/>
      <c r="G3" s="57"/>
      <c r="H3" s="57"/>
      <c r="I3" s="57"/>
      <c r="J3" s="57"/>
      <c r="K3" s="57"/>
      <c r="L3" s="57"/>
      <c r="M3" s="57"/>
      <c r="N3" s="57"/>
      <c r="O3" s="57"/>
      <c r="P3" s="96"/>
    </row>
    <row r="4" spans="1:16" x14ac:dyDescent="0.25">
      <c r="A4" s="56"/>
      <c r="B4" s="57"/>
      <c r="C4" s="57"/>
      <c r="D4" s="57"/>
      <c r="E4" s="57"/>
      <c r="F4" s="57"/>
      <c r="G4" s="57"/>
      <c r="H4" s="57"/>
      <c r="I4" s="57"/>
      <c r="J4" s="57"/>
      <c r="K4" s="57"/>
      <c r="L4" s="57"/>
      <c r="M4" s="57"/>
      <c r="N4" s="57"/>
      <c r="O4" s="57"/>
      <c r="P4" s="96"/>
    </row>
    <row r="5" spans="1:16" x14ac:dyDescent="0.25">
      <c r="A5" s="56"/>
      <c r="B5" s="57"/>
      <c r="C5" s="57"/>
      <c r="D5" s="57"/>
      <c r="E5" s="57"/>
      <c r="F5" s="57"/>
      <c r="G5" s="57"/>
      <c r="H5" s="57"/>
      <c r="I5" s="57"/>
      <c r="J5" s="57"/>
      <c r="K5" s="57"/>
      <c r="L5" s="57"/>
      <c r="M5" s="57"/>
      <c r="N5" s="57"/>
      <c r="O5" s="57"/>
      <c r="P5" s="96"/>
    </row>
    <row r="6" spans="1:16" x14ac:dyDescent="0.25">
      <c r="A6" s="56"/>
      <c r="B6" s="57"/>
      <c r="C6" s="57"/>
      <c r="D6" s="57"/>
      <c r="E6" s="57"/>
      <c r="F6" s="57"/>
      <c r="G6" s="57"/>
      <c r="H6" s="57"/>
      <c r="I6" s="57"/>
      <c r="J6" s="57"/>
      <c r="K6" s="57"/>
      <c r="L6" s="57"/>
      <c r="M6" s="57"/>
      <c r="N6" s="57"/>
      <c r="O6" s="57"/>
      <c r="P6" s="96"/>
    </row>
    <row r="7" spans="1:16" x14ac:dyDescent="0.25">
      <c r="A7" s="56"/>
      <c r="B7" s="57"/>
      <c r="C7" s="57"/>
      <c r="D7" s="57"/>
      <c r="E7" s="57"/>
      <c r="F7" s="57"/>
      <c r="G7" s="57"/>
      <c r="H7" s="57"/>
      <c r="I7" s="57"/>
      <c r="J7" s="57"/>
      <c r="K7" s="57"/>
      <c r="L7" s="57"/>
      <c r="M7" s="57"/>
      <c r="N7" s="57"/>
      <c r="O7" s="57"/>
      <c r="P7" s="96"/>
    </row>
    <row r="8" spans="1:16" x14ac:dyDescent="0.25">
      <c r="A8" s="56"/>
      <c r="B8" s="57"/>
      <c r="C8" s="57"/>
      <c r="D8" s="57"/>
      <c r="E8" s="57"/>
      <c r="F8" s="57"/>
      <c r="G8" s="57"/>
      <c r="H8" s="57"/>
      <c r="I8" s="57"/>
      <c r="J8" s="57"/>
      <c r="K8" s="57"/>
      <c r="L8" s="57"/>
      <c r="M8" s="57"/>
      <c r="N8" s="57"/>
      <c r="O8" s="57"/>
      <c r="P8" s="96"/>
    </row>
    <row r="9" spans="1:16" x14ac:dyDescent="0.25">
      <c r="A9" s="56"/>
      <c r="B9" s="57"/>
      <c r="C9" s="57"/>
      <c r="D9" s="57"/>
      <c r="E9" s="57"/>
      <c r="F9" s="57"/>
      <c r="G9" s="57"/>
      <c r="H9" s="57"/>
      <c r="I9" s="57"/>
      <c r="J9" s="57"/>
      <c r="K9" s="57"/>
      <c r="L9" s="57"/>
      <c r="M9" s="57"/>
      <c r="N9" s="57"/>
      <c r="O9" s="57"/>
      <c r="P9" s="96"/>
    </row>
    <row r="10" spans="1:16" x14ac:dyDescent="0.25">
      <c r="A10" s="56"/>
      <c r="B10" s="57"/>
      <c r="C10" s="57"/>
      <c r="D10" s="57"/>
      <c r="E10" s="57"/>
      <c r="F10" s="57"/>
      <c r="G10" s="57"/>
      <c r="H10" s="57"/>
      <c r="I10" s="57"/>
      <c r="J10" s="57"/>
      <c r="K10" s="57"/>
      <c r="L10" s="57"/>
      <c r="M10" s="57"/>
      <c r="N10" s="57"/>
      <c r="O10" s="57"/>
      <c r="P10" s="96"/>
    </row>
    <row r="11" spans="1:16" x14ac:dyDescent="0.25">
      <c r="A11" s="56"/>
      <c r="B11" s="57"/>
      <c r="C11" s="57"/>
      <c r="D11" s="57"/>
      <c r="E11" s="57"/>
      <c r="F11" s="57"/>
      <c r="G11" s="57"/>
      <c r="H11" s="57"/>
      <c r="I11" s="57"/>
      <c r="J11" s="57"/>
      <c r="K11" s="57"/>
      <c r="L11" s="57"/>
      <c r="M11" s="57"/>
      <c r="N11" s="57"/>
      <c r="O11" s="57"/>
      <c r="P11" s="96"/>
    </row>
    <row r="12" spans="1:16" x14ac:dyDescent="0.25">
      <c r="A12" s="56"/>
      <c r="B12" s="57"/>
      <c r="C12" s="57"/>
      <c r="D12" s="57"/>
      <c r="E12" s="57"/>
      <c r="F12" s="57"/>
      <c r="G12" s="57"/>
      <c r="H12" s="57"/>
      <c r="I12" s="57"/>
      <c r="J12" s="57"/>
      <c r="K12" s="57"/>
      <c r="L12" s="57"/>
      <c r="M12" s="57"/>
      <c r="N12" s="57"/>
      <c r="O12" s="57"/>
      <c r="P12" s="96"/>
    </row>
    <row r="13" spans="1:16" x14ac:dyDescent="0.25">
      <c r="A13" s="56"/>
      <c r="B13" s="57"/>
      <c r="C13" s="57"/>
      <c r="D13" s="57"/>
      <c r="E13" s="57"/>
      <c r="F13" s="57"/>
      <c r="G13" s="57"/>
      <c r="H13" s="57"/>
      <c r="I13" s="57"/>
      <c r="J13" s="57"/>
      <c r="K13" s="57"/>
      <c r="L13" s="57"/>
      <c r="M13" s="57"/>
      <c r="N13" s="57"/>
      <c r="O13" s="57"/>
      <c r="P13" s="96"/>
    </row>
    <row r="14" spans="1:16" x14ac:dyDescent="0.25">
      <c r="A14" s="56"/>
      <c r="B14" s="57"/>
      <c r="C14" s="57"/>
      <c r="D14" s="57"/>
      <c r="E14" s="57"/>
      <c r="F14" s="57"/>
      <c r="G14" s="57"/>
      <c r="H14" s="57"/>
      <c r="I14" s="57"/>
      <c r="J14" s="57"/>
      <c r="K14" s="57"/>
      <c r="L14" s="57"/>
      <c r="M14" s="57"/>
      <c r="N14" s="57"/>
      <c r="O14" s="57"/>
      <c r="P14" s="96"/>
    </row>
    <row r="15" spans="1:16" x14ac:dyDescent="0.25">
      <c r="A15" s="56"/>
      <c r="B15" s="57"/>
      <c r="C15" s="57"/>
      <c r="D15" s="57"/>
      <c r="E15" s="57"/>
      <c r="F15" s="57"/>
      <c r="G15" s="57"/>
      <c r="H15" s="57"/>
      <c r="I15" s="57"/>
      <c r="J15" s="57"/>
      <c r="K15" s="57"/>
      <c r="L15" s="57"/>
      <c r="M15" s="57"/>
      <c r="N15" s="57"/>
      <c r="O15" s="57"/>
      <c r="P15" s="96"/>
    </row>
    <row r="16" spans="1:16" x14ac:dyDescent="0.25">
      <c r="A16" s="56"/>
      <c r="B16" s="57"/>
      <c r="C16" s="57"/>
      <c r="D16" s="57"/>
      <c r="E16" s="57"/>
      <c r="F16" s="57"/>
      <c r="G16" s="57"/>
      <c r="H16" s="57"/>
      <c r="I16" s="57"/>
      <c r="J16" s="57"/>
      <c r="K16" s="57"/>
      <c r="L16" s="57"/>
      <c r="M16" s="57"/>
      <c r="N16" s="57"/>
      <c r="O16" s="57"/>
      <c r="P16" s="96"/>
    </row>
    <row r="17" spans="1:19" x14ac:dyDescent="0.25">
      <c r="A17" s="56"/>
      <c r="B17" s="57"/>
      <c r="C17" s="57"/>
      <c r="D17" s="57"/>
      <c r="E17" s="57"/>
      <c r="F17" s="57"/>
      <c r="G17" s="57"/>
      <c r="H17" s="57"/>
      <c r="I17" s="57"/>
      <c r="J17" s="57"/>
      <c r="K17" s="57"/>
      <c r="L17" s="57"/>
      <c r="M17" s="57"/>
      <c r="N17" s="57"/>
      <c r="O17" s="57"/>
      <c r="P17" s="96"/>
    </row>
    <row r="18" spans="1:19" x14ac:dyDescent="0.25">
      <c r="A18" s="56"/>
      <c r="B18" s="57"/>
      <c r="C18" s="57"/>
      <c r="D18" s="57"/>
      <c r="E18" s="57"/>
      <c r="F18" s="57"/>
      <c r="G18" s="57"/>
      <c r="H18" s="57"/>
      <c r="I18" s="57"/>
      <c r="J18" s="57"/>
      <c r="K18" s="57"/>
      <c r="L18" s="57"/>
      <c r="M18" s="57"/>
      <c r="N18" s="57"/>
      <c r="O18" s="57"/>
      <c r="P18" s="96"/>
    </row>
    <row r="19" spans="1:19" x14ac:dyDescent="0.25">
      <c r="A19" s="56"/>
      <c r="B19" s="57"/>
      <c r="C19" s="57"/>
      <c r="D19" s="57"/>
      <c r="E19" s="57"/>
      <c r="F19" s="57"/>
      <c r="G19" s="57"/>
      <c r="H19" s="57"/>
      <c r="I19" s="57"/>
      <c r="J19" s="57"/>
      <c r="K19" s="57"/>
      <c r="L19" s="57"/>
      <c r="M19" s="57"/>
      <c r="N19" s="57"/>
      <c r="O19" s="57"/>
      <c r="P19" s="96"/>
    </row>
    <row r="20" spans="1:19" x14ac:dyDescent="0.25">
      <c r="A20" s="56"/>
      <c r="B20" s="57"/>
      <c r="C20" s="57"/>
      <c r="D20" s="57"/>
      <c r="E20" s="57"/>
      <c r="F20" s="57"/>
      <c r="G20" s="57"/>
      <c r="H20" s="57"/>
      <c r="I20" s="57"/>
      <c r="J20" s="57"/>
      <c r="K20" s="57"/>
      <c r="L20" s="57"/>
      <c r="M20" s="57"/>
      <c r="N20" s="57"/>
      <c r="O20" s="57"/>
      <c r="P20" s="96"/>
    </row>
    <row r="21" spans="1:19" x14ac:dyDescent="0.25">
      <c r="A21" s="56"/>
      <c r="B21" s="57"/>
      <c r="C21" s="57"/>
      <c r="D21" s="57"/>
      <c r="E21" s="57"/>
      <c r="F21" s="57"/>
      <c r="G21" s="57"/>
      <c r="H21" s="57"/>
      <c r="I21" s="57"/>
      <c r="J21" s="57"/>
      <c r="K21" s="57"/>
      <c r="L21" s="57"/>
      <c r="M21" s="57"/>
      <c r="N21" s="57"/>
      <c r="O21" s="57"/>
      <c r="P21" s="96"/>
    </row>
    <row r="22" spans="1:19" x14ac:dyDescent="0.25">
      <c r="A22" s="56"/>
      <c r="B22" s="57"/>
      <c r="C22" s="57"/>
      <c r="D22" s="57"/>
      <c r="E22" s="57"/>
      <c r="F22" s="57"/>
      <c r="G22" s="57"/>
      <c r="H22" s="57"/>
      <c r="I22" s="57"/>
      <c r="J22" s="57"/>
      <c r="K22" s="57"/>
      <c r="L22" s="57"/>
      <c r="M22" s="57"/>
      <c r="N22" s="57"/>
      <c r="O22" s="57"/>
      <c r="P22" s="96"/>
    </row>
    <row r="23" spans="1:19" x14ac:dyDescent="0.25">
      <c r="A23" s="56"/>
      <c r="B23" s="57"/>
      <c r="C23" s="57"/>
      <c r="D23" s="57"/>
      <c r="E23" s="57"/>
      <c r="F23" s="57"/>
      <c r="G23" s="57"/>
      <c r="H23" s="57"/>
      <c r="I23" s="57"/>
      <c r="J23" s="57"/>
      <c r="K23" s="57"/>
      <c r="L23" s="57"/>
      <c r="M23" s="57"/>
      <c r="N23" s="57"/>
      <c r="O23" s="57"/>
      <c r="P23" s="96"/>
    </row>
    <row r="24" spans="1:19" x14ac:dyDescent="0.25">
      <c r="A24" s="56"/>
      <c r="B24" s="57"/>
      <c r="C24" s="57"/>
      <c r="D24" s="57"/>
      <c r="E24" s="57"/>
      <c r="F24" s="57"/>
      <c r="G24" s="57"/>
      <c r="H24" s="57"/>
      <c r="I24" s="57"/>
      <c r="J24" s="57"/>
      <c r="K24" s="57"/>
      <c r="L24" s="57"/>
      <c r="M24" s="57"/>
      <c r="N24" s="57"/>
      <c r="O24" s="57"/>
      <c r="P24" s="96"/>
    </row>
    <row r="25" spans="1:19" x14ac:dyDescent="0.25">
      <c r="A25" s="56"/>
      <c r="B25" s="57"/>
      <c r="C25" s="57"/>
      <c r="D25" s="57"/>
      <c r="E25" s="57"/>
      <c r="F25" s="57"/>
      <c r="G25" s="57"/>
      <c r="H25" s="57"/>
      <c r="I25" s="57"/>
      <c r="J25" s="57"/>
      <c r="K25" s="57"/>
      <c r="L25" s="57"/>
      <c r="M25" s="57"/>
      <c r="N25" s="57"/>
      <c r="O25" s="57"/>
      <c r="P25" s="96"/>
    </row>
    <row r="26" spans="1:19" x14ac:dyDescent="0.25">
      <c r="A26" s="56"/>
      <c r="B26" s="57"/>
      <c r="C26" s="57"/>
      <c r="D26" s="57"/>
      <c r="E26" s="57"/>
      <c r="F26" s="57"/>
      <c r="G26" s="57"/>
      <c r="H26" s="57"/>
      <c r="I26" s="57"/>
      <c r="J26" s="57"/>
      <c r="K26" s="57"/>
      <c r="L26" s="57"/>
      <c r="M26" s="57"/>
      <c r="N26" s="57"/>
      <c r="O26" s="57"/>
      <c r="P26" s="96"/>
    </row>
    <row r="27" spans="1:19" ht="15.75" thickBot="1" x14ac:dyDescent="0.3">
      <c r="A27" s="58"/>
      <c r="B27" s="59"/>
      <c r="C27" s="59"/>
      <c r="D27" s="59"/>
      <c r="E27" s="59"/>
      <c r="F27" s="59"/>
      <c r="G27" s="59"/>
      <c r="H27" s="59"/>
      <c r="I27" s="59"/>
      <c r="J27" s="59"/>
      <c r="K27" s="59"/>
      <c r="L27" s="59"/>
      <c r="M27" s="59"/>
      <c r="N27" s="59"/>
      <c r="O27" s="59"/>
      <c r="P27" s="97"/>
    </row>
    <row r="30" spans="1:19" x14ac:dyDescent="0.25">
      <c r="C30" s="103">
        <f>$D$131/$D$59</f>
        <v>334.39</v>
      </c>
    </row>
    <row r="32" spans="1:19" x14ac:dyDescent="0.25">
      <c r="S32" t="s">
        <v>91</v>
      </c>
    </row>
    <row r="33" spans="1:22" x14ac:dyDescent="0.25">
      <c r="S33" s="134">
        <v>18391.45</v>
      </c>
      <c r="V33" s="36">
        <f>GETPIVOTDATA("Amount",$S$32)</f>
        <v>18391.45</v>
      </c>
    </row>
    <row r="34" spans="1:22" x14ac:dyDescent="0.25">
      <c r="A34" t="str">
        <f>A37</f>
        <v>M&amp;C / RESV/ OTHERS</v>
      </c>
    </row>
    <row r="36" spans="1:22" x14ac:dyDescent="0.25">
      <c r="A36" s="133" t="s">
        <v>89</v>
      </c>
      <c r="B36" s="133" t="s">
        <v>88</v>
      </c>
    </row>
    <row r="37" spans="1:22" x14ac:dyDescent="0.25">
      <c r="A37" s="153" t="s">
        <v>118</v>
      </c>
      <c r="B37" s="154">
        <v>0</v>
      </c>
    </row>
    <row r="38" spans="1:22" x14ac:dyDescent="0.25">
      <c r="A38" s="153" t="s">
        <v>165</v>
      </c>
      <c r="B38" s="154">
        <v>12</v>
      </c>
    </row>
    <row r="39" spans="1:22" x14ac:dyDescent="0.25">
      <c r="A39" s="153" t="s">
        <v>182</v>
      </c>
      <c r="B39" s="154">
        <v>7</v>
      </c>
    </row>
    <row r="40" spans="1:22" x14ac:dyDescent="0.25">
      <c r="A40" s="153" t="s">
        <v>167</v>
      </c>
      <c r="B40" s="154">
        <v>2</v>
      </c>
      <c r="S40" t="s">
        <v>78</v>
      </c>
    </row>
    <row r="41" spans="1:22" x14ac:dyDescent="0.25">
      <c r="A41" s="153" t="s">
        <v>194</v>
      </c>
      <c r="B41" s="154">
        <v>1</v>
      </c>
      <c r="S41" s="134">
        <v>55</v>
      </c>
      <c r="V41">
        <f>GETPIVOTDATA("NIGHTS",$S$40)</f>
        <v>55</v>
      </c>
    </row>
    <row r="42" spans="1:22" x14ac:dyDescent="0.25">
      <c r="A42" s="153" t="s">
        <v>198</v>
      </c>
      <c r="B42" s="154">
        <v>1</v>
      </c>
    </row>
    <row r="43" spans="1:22" x14ac:dyDescent="0.25">
      <c r="A43" s="153" t="s">
        <v>207</v>
      </c>
      <c r="B43" s="154">
        <v>1</v>
      </c>
    </row>
    <row r="44" spans="1:22" x14ac:dyDescent="0.25">
      <c r="A44" s="153" t="s">
        <v>217</v>
      </c>
      <c r="B44" s="154">
        <v>8</v>
      </c>
    </row>
    <row r="45" spans="1:22" x14ac:dyDescent="0.25">
      <c r="A45" s="153" t="s">
        <v>226</v>
      </c>
      <c r="B45" s="154">
        <v>10</v>
      </c>
    </row>
    <row r="46" spans="1:22" x14ac:dyDescent="0.25">
      <c r="A46" s="153" t="s">
        <v>236</v>
      </c>
      <c r="B46" s="154">
        <v>3</v>
      </c>
      <c r="S46" s="20" t="s">
        <v>77</v>
      </c>
      <c r="T46" t="s">
        <v>95</v>
      </c>
    </row>
    <row r="47" spans="1:22" x14ac:dyDescent="0.25">
      <c r="A47" s="153" t="s">
        <v>241</v>
      </c>
      <c r="B47" s="154">
        <v>5</v>
      </c>
      <c r="S47" s="14" t="s">
        <v>118</v>
      </c>
      <c r="T47" s="23">
        <v>0</v>
      </c>
    </row>
    <row r="48" spans="1:22" x14ac:dyDescent="0.25">
      <c r="A48" s="153" t="s">
        <v>248</v>
      </c>
      <c r="B48" s="154">
        <v>5</v>
      </c>
      <c r="S48" s="14" t="s">
        <v>165</v>
      </c>
      <c r="T48" s="23">
        <v>6.3488904193314877E-2</v>
      </c>
    </row>
    <row r="49" spans="1:20" x14ac:dyDescent="0.25">
      <c r="A49" s="153" t="s">
        <v>50</v>
      </c>
      <c r="B49" s="154">
        <v>55</v>
      </c>
      <c r="S49" s="14" t="s">
        <v>182</v>
      </c>
      <c r="T49" s="23">
        <v>3.8309992126636105E-2</v>
      </c>
    </row>
    <row r="50" spans="1:20" x14ac:dyDescent="0.25">
      <c r="S50" s="14" t="s">
        <v>167</v>
      </c>
      <c r="T50" s="23">
        <v>1.0550659900623E-2</v>
      </c>
    </row>
    <row r="51" spans="1:20" x14ac:dyDescent="0.25">
      <c r="S51" s="14" t="s">
        <v>194</v>
      </c>
      <c r="T51" s="23">
        <v>8.2679127835599935E-3</v>
      </c>
    </row>
    <row r="52" spans="1:20" x14ac:dyDescent="0.25">
      <c r="S52" s="14" t="s">
        <v>198</v>
      </c>
      <c r="T52" s="23">
        <v>1.210948026991371E-2</v>
      </c>
    </row>
    <row r="53" spans="1:20" x14ac:dyDescent="0.25">
      <c r="S53" s="14" t="s">
        <v>207</v>
      </c>
      <c r="T53" s="23">
        <v>9.3573256631151406E-3</v>
      </c>
    </row>
    <row r="54" spans="1:20" x14ac:dyDescent="0.25">
      <c r="S54" s="14" t="s">
        <v>217</v>
      </c>
      <c r="T54" s="23">
        <v>8.806894741755425E-2</v>
      </c>
    </row>
    <row r="55" spans="1:20" x14ac:dyDescent="0.25">
      <c r="S55" s="14" t="s">
        <v>226</v>
      </c>
      <c r="T55" s="23">
        <v>7.3383010090940004E-2</v>
      </c>
    </row>
    <row r="56" spans="1:20" x14ac:dyDescent="0.25">
      <c r="S56" s="14" t="s">
        <v>236</v>
      </c>
      <c r="T56" s="23">
        <v>1.9287099484444382E-2</v>
      </c>
    </row>
    <row r="57" spans="1:20" x14ac:dyDescent="0.25">
      <c r="S57" s="14" t="s">
        <v>241</v>
      </c>
      <c r="T57" s="23">
        <v>1.7973771306080105E-2</v>
      </c>
    </row>
    <row r="58" spans="1:20" x14ac:dyDescent="0.25">
      <c r="S58" s="14" t="s">
        <v>248</v>
      </c>
      <c r="T58" s="23">
        <v>2.7320088350768049E-2</v>
      </c>
    </row>
    <row r="59" spans="1:20" x14ac:dyDescent="0.25">
      <c r="D59">
        <f>GETPIVOTDATA("NIGHTS",$A$36)</f>
        <v>55</v>
      </c>
      <c r="S59" s="14" t="s">
        <v>50</v>
      </c>
      <c r="T59" s="23">
        <v>0.36811719158694967</v>
      </c>
    </row>
    <row r="72" spans="23:23" x14ac:dyDescent="0.25">
      <c r="W72" s="29">
        <f>GETPIVOTDATA("Share Rev ",$S$46)</f>
        <v>0.36811719158694967</v>
      </c>
    </row>
    <row r="81" spans="1:14" x14ac:dyDescent="0.25">
      <c r="A81" s="76"/>
      <c r="B81" s="77" t="s">
        <v>79</v>
      </c>
      <c r="C81" s="76"/>
      <c r="D81" s="76"/>
      <c r="E81" s="76"/>
      <c r="F81" s="76"/>
      <c r="G81" s="76"/>
      <c r="H81" s="76"/>
      <c r="I81" s="76"/>
      <c r="J81" s="76"/>
      <c r="K81" s="76"/>
      <c r="L81" s="76"/>
      <c r="M81" s="76"/>
      <c r="N81" s="76"/>
    </row>
    <row r="82" spans="1:14" x14ac:dyDescent="0.25">
      <c r="A82" s="77" t="s">
        <v>81</v>
      </c>
      <c r="B82" s="76" t="s">
        <v>198</v>
      </c>
      <c r="C82" s="76" t="s">
        <v>217</v>
      </c>
      <c r="D82" s="76" t="s">
        <v>207</v>
      </c>
      <c r="E82" s="76" t="s">
        <v>118</v>
      </c>
      <c r="F82" s="76" t="s">
        <v>167</v>
      </c>
      <c r="G82" s="76" t="s">
        <v>241</v>
      </c>
      <c r="H82" s="76" t="s">
        <v>165</v>
      </c>
      <c r="I82" s="76" t="s">
        <v>194</v>
      </c>
      <c r="J82" s="76" t="s">
        <v>226</v>
      </c>
      <c r="K82" s="76" t="s">
        <v>182</v>
      </c>
      <c r="L82" s="76" t="s">
        <v>248</v>
      </c>
      <c r="M82" s="76" t="s">
        <v>236</v>
      </c>
      <c r="N82" s="76" t="s">
        <v>87</v>
      </c>
    </row>
    <row r="83" spans="1:14" x14ac:dyDescent="0.25">
      <c r="A83" s="78" t="s">
        <v>83</v>
      </c>
      <c r="B83" s="142">
        <v>1</v>
      </c>
      <c r="C83" s="142">
        <v>8</v>
      </c>
      <c r="D83" s="142">
        <v>1</v>
      </c>
      <c r="E83" s="142">
        <v>0</v>
      </c>
      <c r="F83" s="142">
        <v>2</v>
      </c>
      <c r="G83" s="142">
        <v>0</v>
      </c>
      <c r="H83" s="142">
        <v>5</v>
      </c>
      <c r="I83" s="142">
        <v>0</v>
      </c>
      <c r="J83" s="142">
        <v>6</v>
      </c>
      <c r="K83" s="142">
        <v>7</v>
      </c>
      <c r="L83" s="142">
        <v>0</v>
      </c>
      <c r="M83" s="142">
        <v>0</v>
      </c>
      <c r="N83" s="142">
        <v>30</v>
      </c>
    </row>
    <row r="84" spans="1:14" x14ac:dyDescent="0.25">
      <c r="A84" s="78" t="s">
        <v>82</v>
      </c>
      <c r="B84" s="142">
        <v>0</v>
      </c>
      <c r="C84" s="142">
        <v>0</v>
      </c>
      <c r="D84" s="142">
        <v>0</v>
      </c>
      <c r="E84" s="142">
        <v>0</v>
      </c>
      <c r="F84" s="142">
        <v>0</v>
      </c>
      <c r="G84" s="142">
        <v>5</v>
      </c>
      <c r="H84" s="142">
        <v>7</v>
      </c>
      <c r="I84" s="142">
        <v>0</v>
      </c>
      <c r="J84" s="142">
        <v>1</v>
      </c>
      <c r="K84" s="142">
        <v>0</v>
      </c>
      <c r="L84" s="142">
        <v>3</v>
      </c>
      <c r="M84" s="142">
        <v>3</v>
      </c>
      <c r="N84" s="142">
        <v>19</v>
      </c>
    </row>
    <row r="85" spans="1:14" x14ac:dyDescent="0.25">
      <c r="A85" s="78" t="s">
        <v>84</v>
      </c>
      <c r="B85" s="142">
        <v>0</v>
      </c>
      <c r="C85" s="142">
        <v>0</v>
      </c>
      <c r="D85" s="142">
        <v>0</v>
      </c>
      <c r="E85" s="142">
        <v>0</v>
      </c>
      <c r="F85" s="142">
        <v>0</v>
      </c>
      <c r="G85" s="142">
        <v>0</v>
      </c>
      <c r="H85" s="142">
        <v>0</v>
      </c>
      <c r="I85" s="142">
        <v>1</v>
      </c>
      <c r="J85" s="142">
        <v>0</v>
      </c>
      <c r="K85" s="142">
        <v>0</v>
      </c>
      <c r="L85" s="142">
        <v>2</v>
      </c>
      <c r="M85" s="142">
        <v>0</v>
      </c>
      <c r="N85" s="142">
        <v>3</v>
      </c>
    </row>
    <row r="86" spans="1:14" x14ac:dyDescent="0.25">
      <c r="A86" s="78" t="s">
        <v>85</v>
      </c>
      <c r="B86" s="142">
        <v>0</v>
      </c>
      <c r="C86" s="142">
        <v>0</v>
      </c>
      <c r="D86" s="142">
        <v>0</v>
      </c>
      <c r="E86" s="142">
        <v>0</v>
      </c>
      <c r="F86" s="142">
        <v>0</v>
      </c>
      <c r="G86" s="142">
        <v>0</v>
      </c>
      <c r="H86" s="142">
        <v>0</v>
      </c>
      <c r="I86" s="142">
        <v>0</v>
      </c>
      <c r="J86" s="142">
        <v>0</v>
      </c>
      <c r="K86" s="142">
        <v>0</v>
      </c>
      <c r="L86" s="142">
        <v>0</v>
      </c>
      <c r="M86" s="142">
        <v>0</v>
      </c>
      <c r="N86" s="142">
        <v>0</v>
      </c>
    </row>
    <row r="87" spans="1:14" x14ac:dyDescent="0.25">
      <c r="A87" s="78" t="s">
        <v>86</v>
      </c>
      <c r="B87" s="142">
        <v>0</v>
      </c>
      <c r="C87" s="142">
        <v>0</v>
      </c>
      <c r="D87" s="142">
        <v>0</v>
      </c>
      <c r="E87" s="142">
        <v>0</v>
      </c>
      <c r="F87" s="142">
        <v>0</v>
      </c>
      <c r="G87" s="142">
        <v>0</v>
      </c>
      <c r="H87" s="142">
        <v>0</v>
      </c>
      <c r="I87" s="142">
        <v>0</v>
      </c>
      <c r="J87" s="142">
        <v>0</v>
      </c>
      <c r="K87" s="142">
        <v>0</v>
      </c>
      <c r="L87" s="142">
        <v>0</v>
      </c>
      <c r="M87" s="142">
        <v>0</v>
      </c>
      <c r="N87" s="142">
        <v>0</v>
      </c>
    </row>
    <row r="102" spans="1:2" x14ac:dyDescent="0.25">
      <c r="A102" s="77" t="s">
        <v>77</v>
      </c>
      <c r="B102" s="76" t="s">
        <v>91</v>
      </c>
    </row>
    <row r="103" spans="1:2" x14ac:dyDescent="0.25">
      <c r="A103" s="78" t="s">
        <v>118</v>
      </c>
      <c r="B103" s="142">
        <v>0</v>
      </c>
    </row>
    <row r="104" spans="1:2" x14ac:dyDescent="0.25">
      <c r="A104" s="78" t="s">
        <v>165</v>
      </c>
      <c r="B104" s="142">
        <v>3171.96</v>
      </c>
    </row>
    <row r="105" spans="1:2" x14ac:dyDescent="0.25">
      <c r="A105" s="78" t="s">
        <v>182</v>
      </c>
      <c r="B105" s="142">
        <v>1914</v>
      </c>
    </row>
    <row r="106" spans="1:2" x14ac:dyDescent="0.25">
      <c r="A106" s="78" t="s">
        <v>167</v>
      </c>
      <c r="B106" s="142">
        <v>527.12</v>
      </c>
    </row>
    <row r="107" spans="1:2" x14ac:dyDescent="0.25">
      <c r="A107" s="78" t="s">
        <v>194</v>
      </c>
      <c r="B107" s="142">
        <v>413.072</v>
      </c>
    </row>
    <row r="108" spans="1:2" x14ac:dyDescent="0.25">
      <c r="A108" s="78" t="s">
        <v>198</v>
      </c>
      <c r="B108" s="142">
        <v>605</v>
      </c>
    </row>
    <row r="109" spans="1:2" x14ac:dyDescent="0.25">
      <c r="A109" s="78" t="s">
        <v>207</v>
      </c>
      <c r="B109" s="142">
        <v>467.50000000000006</v>
      </c>
    </row>
    <row r="110" spans="1:2" x14ac:dyDescent="0.25">
      <c r="A110" s="78" t="s">
        <v>217</v>
      </c>
      <c r="B110" s="142">
        <v>4400</v>
      </c>
    </row>
    <row r="111" spans="1:2" x14ac:dyDescent="0.25">
      <c r="A111" s="78" t="s">
        <v>226</v>
      </c>
      <c r="B111" s="142">
        <v>3666.2780000000002</v>
      </c>
    </row>
    <row r="112" spans="1:2" x14ac:dyDescent="0.25">
      <c r="A112" s="78" t="s">
        <v>236</v>
      </c>
      <c r="B112" s="142">
        <v>963.6</v>
      </c>
    </row>
    <row r="113" spans="1:2" x14ac:dyDescent="0.25">
      <c r="A113" s="78" t="s">
        <v>241</v>
      </c>
      <c r="B113" s="142">
        <v>897.98500000000013</v>
      </c>
    </row>
    <row r="114" spans="1:2" x14ac:dyDescent="0.25">
      <c r="A114" s="78" t="s">
        <v>248</v>
      </c>
      <c r="B114" s="142">
        <v>1364.9349999999999</v>
      </c>
    </row>
    <row r="115" spans="1:2" x14ac:dyDescent="0.25">
      <c r="A115" s="78" t="s">
        <v>50</v>
      </c>
      <c r="B115" s="142">
        <v>18391.45</v>
      </c>
    </row>
    <row r="131" spans="4:21" x14ac:dyDescent="0.25">
      <c r="D131" s="36">
        <f>GETPIVOTDATA("Amount",$A$102)</f>
        <v>18391.45</v>
      </c>
    </row>
    <row r="142" spans="4:21" x14ac:dyDescent="0.25">
      <c r="T142" s="20" t="s">
        <v>77</v>
      </c>
      <c r="U142" t="s">
        <v>96</v>
      </c>
    </row>
    <row r="143" spans="4:21" x14ac:dyDescent="0.25">
      <c r="T143" s="14" t="s">
        <v>118</v>
      </c>
      <c r="U143" s="23">
        <v>0</v>
      </c>
    </row>
    <row r="144" spans="4:21" x14ac:dyDescent="0.25">
      <c r="T144" s="14" t="s">
        <v>165</v>
      </c>
      <c r="U144" s="23">
        <v>7.3619631901840496E-2</v>
      </c>
    </row>
    <row r="145" spans="20:21" x14ac:dyDescent="0.25">
      <c r="T145" s="14" t="s">
        <v>182</v>
      </c>
      <c r="U145" s="23">
        <v>4.2944785276073622E-2</v>
      </c>
    </row>
    <row r="146" spans="20:21" x14ac:dyDescent="0.25">
      <c r="T146" s="14" t="s">
        <v>167</v>
      </c>
      <c r="U146" s="23">
        <v>1.2269938650306749E-2</v>
      </c>
    </row>
    <row r="147" spans="20:21" x14ac:dyDescent="0.25">
      <c r="T147" s="14" t="s">
        <v>194</v>
      </c>
      <c r="U147" s="23">
        <v>6.1349693251533744E-3</v>
      </c>
    </row>
    <row r="148" spans="20:21" x14ac:dyDescent="0.25">
      <c r="T148" s="14" t="s">
        <v>198</v>
      </c>
      <c r="U148" s="23">
        <v>6.1349693251533744E-3</v>
      </c>
    </row>
    <row r="149" spans="20:21" x14ac:dyDescent="0.25">
      <c r="T149" s="14" t="s">
        <v>207</v>
      </c>
      <c r="U149" s="23">
        <v>6.1349693251533744E-3</v>
      </c>
    </row>
    <row r="150" spans="20:21" x14ac:dyDescent="0.25">
      <c r="T150" s="14" t="s">
        <v>217</v>
      </c>
      <c r="U150" s="23">
        <v>4.9079754601226995E-2</v>
      </c>
    </row>
    <row r="151" spans="20:21" x14ac:dyDescent="0.25">
      <c r="T151" s="14" t="s">
        <v>226</v>
      </c>
      <c r="U151" s="23">
        <v>6.1349693251533749E-2</v>
      </c>
    </row>
    <row r="152" spans="20:21" x14ac:dyDescent="0.25">
      <c r="T152" s="14" t="s">
        <v>236</v>
      </c>
      <c r="U152" s="23">
        <v>1.8404907975460124E-2</v>
      </c>
    </row>
    <row r="153" spans="20:21" x14ac:dyDescent="0.25">
      <c r="T153" s="14" t="s">
        <v>241</v>
      </c>
      <c r="U153" s="23">
        <v>3.0674846625766874E-2</v>
      </c>
    </row>
    <row r="154" spans="20:21" x14ac:dyDescent="0.25">
      <c r="T154" s="14" t="s">
        <v>248</v>
      </c>
      <c r="U154" s="23">
        <v>3.0674846625766871E-2</v>
      </c>
    </row>
    <row r="155" spans="20:21" x14ac:dyDescent="0.25">
      <c r="T155" s="14" t="s">
        <v>50</v>
      </c>
      <c r="U155" s="23">
        <v>0.33742331288343552</v>
      </c>
    </row>
    <row r="168" spans="24:24" x14ac:dyDescent="0.25">
      <c r="X168" s="29">
        <f>GETPIVOTDATA("Share RN",$T$142)</f>
        <v>0.33742331288343552</v>
      </c>
    </row>
    <row r="327" spans="1:1" x14ac:dyDescent="0.25">
      <c r="A327" s="77" t="s">
        <v>77</v>
      </c>
    </row>
    <row r="328" spans="1:1" x14ac:dyDescent="0.25">
      <c r="A328" s="78" t="s">
        <v>118</v>
      </c>
    </row>
    <row r="329" spans="1:1" x14ac:dyDescent="0.25">
      <c r="A329" s="78" t="s">
        <v>165</v>
      </c>
    </row>
    <row r="330" spans="1:1" x14ac:dyDescent="0.25">
      <c r="A330" s="78" t="s">
        <v>182</v>
      </c>
    </row>
    <row r="331" spans="1:1" x14ac:dyDescent="0.25">
      <c r="A331" s="78" t="s">
        <v>167</v>
      </c>
    </row>
    <row r="332" spans="1:1" x14ac:dyDescent="0.25">
      <c r="A332" s="78" t="s">
        <v>194</v>
      </c>
    </row>
    <row r="333" spans="1:1" x14ac:dyDescent="0.25">
      <c r="A333" s="78" t="s">
        <v>198</v>
      </c>
    </row>
    <row r="334" spans="1:1" x14ac:dyDescent="0.25">
      <c r="A334" s="78" t="s">
        <v>207</v>
      </c>
    </row>
    <row r="335" spans="1:1" x14ac:dyDescent="0.25">
      <c r="A335" s="78" t="s">
        <v>217</v>
      </c>
    </row>
    <row r="336" spans="1:1" x14ac:dyDescent="0.25">
      <c r="A336" s="78" t="s">
        <v>226</v>
      </c>
    </row>
    <row r="337" spans="1:1" x14ac:dyDescent="0.25">
      <c r="A337" s="78" t="s">
        <v>236</v>
      </c>
    </row>
    <row r="338" spans="1:1" x14ac:dyDescent="0.25">
      <c r="A338" s="78" t="s">
        <v>241</v>
      </c>
    </row>
    <row r="339" spans="1:1" x14ac:dyDescent="0.25">
      <c r="A339" s="78" t="s">
        <v>248</v>
      </c>
    </row>
    <row r="340" spans="1:1" x14ac:dyDescent="0.25">
      <c r="A340" s="78" t="s">
        <v>50</v>
      </c>
    </row>
    <row r="353" spans="4:4" x14ac:dyDescent="0.25">
      <c r="D353" s="25" t="e">
        <f>GETPIVOTDATA("Column1",$A$327)</f>
        <v>#REF!</v>
      </c>
    </row>
  </sheetData>
  <pageMargins left="0.7" right="0.7" top="0.75" bottom="0.75" header="0.3" footer="0.3"/>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RefreshDYNAMIC">
                <anchor moveWithCells="1" sizeWithCells="1">
                  <from>
                    <xdr:col>13</xdr:col>
                    <xdr:colOff>133350</xdr:colOff>
                    <xdr:row>25</xdr:row>
                    <xdr:rowOff>133350</xdr:rowOff>
                  </from>
                  <to>
                    <xdr:col>15</xdr:col>
                    <xdr:colOff>390525</xdr:colOff>
                    <xdr:row>26</xdr:row>
                    <xdr:rowOff>114300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FF99"/>
  </sheetPr>
  <dimension ref="A1:V201"/>
  <sheetViews>
    <sheetView showGridLines="0" tabSelected="1" zoomScale="95" zoomScaleNormal="95" zoomScaleSheetLayoutView="100" workbookViewId="0">
      <selection activeCell="M7" sqref="M7"/>
    </sheetView>
  </sheetViews>
  <sheetFormatPr defaultRowHeight="15" x14ac:dyDescent="0.25"/>
  <cols>
    <col min="1" max="1" width="30.140625" customWidth="1"/>
    <col min="2" max="2" width="19.5703125" customWidth="1"/>
    <col min="3" max="3" width="10.85546875" customWidth="1"/>
    <col min="4" max="4" width="13.7109375" customWidth="1"/>
    <col min="5" max="5" width="7.42578125" customWidth="1"/>
    <col min="6" max="6" width="6" customWidth="1"/>
    <col min="7" max="7" width="8.85546875" customWidth="1"/>
    <col min="8" max="8" width="6.7109375" bestFit="1" customWidth="1"/>
    <col min="9" max="9" width="11.7109375" style="123" customWidth="1"/>
    <col min="10" max="10" width="9" bestFit="1" customWidth="1"/>
    <col min="11" max="11" width="13.85546875" bestFit="1" customWidth="1"/>
    <col min="12" max="12" width="15.28515625" customWidth="1"/>
    <col min="13" max="13" width="21.7109375" customWidth="1"/>
    <col min="14" max="14" width="5.7109375" customWidth="1"/>
    <col min="15" max="15" width="7.140625" customWidth="1"/>
    <col min="16" max="16" width="11.28515625" customWidth="1"/>
    <col min="17" max="17" width="34.42578125" bestFit="1" customWidth="1"/>
    <col min="18" max="18" width="11.5703125" customWidth="1"/>
    <col min="19" max="19" width="16.7109375" customWidth="1"/>
    <col min="20" max="20" width="11.85546875" customWidth="1"/>
    <col min="21" max="21" width="19.140625" customWidth="1"/>
    <col min="22" max="22" width="15.140625" customWidth="1"/>
  </cols>
  <sheetData>
    <row r="1" spans="1:22" x14ac:dyDescent="0.25">
      <c r="A1" s="117" t="s">
        <v>16</v>
      </c>
      <c r="B1" s="115" t="s">
        <v>49</v>
      </c>
      <c r="C1" s="115" t="s">
        <v>28</v>
      </c>
      <c r="D1" s="115" t="s">
        <v>17</v>
      </c>
      <c r="E1" s="115" t="s">
        <v>29</v>
      </c>
      <c r="F1" s="115" t="s">
        <v>18</v>
      </c>
      <c r="G1" s="115" t="s">
        <v>15</v>
      </c>
      <c r="H1" s="115" t="s">
        <v>46</v>
      </c>
      <c r="I1" s="120" t="s">
        <v>47</v>
      </c>
      <c r="J1" s="115" t="s">
        <v>48</v>
      </c>
      <c r="K1" s="115" t="s">
        <v>22</v>
      </c>
      <c r="L1" s="115" t="s">
        <v>23</v>
      </c>
      <c r="M1" s="115" t="s">
        <v>32</v>
      </c>
      <c r="N1" s="115" t="s">
        <v>33</v>
      </c>
      <c r="O1" s="115" t="s">
        <v>120</v>
      </c>
      <c r="P1" s="115" t="s">
        <v>44</v>
      </c>
      <c r="Q1" s="115" t="s">
        <v>121</v>
      </c>
      <c r="R1" s="116" t="s">
        <v>62</v>
      </c>
      <c r="S1" s="109" t="s">
        <v>112</v>
      </c>
      <c r="T1" s="110" t="s">
        <v>152</v>
      </c>
      <c r="U1" s="110" t="s">
        <v>155</v>
      </c>
      <c r="V1" s="111" t="s">
        <v>156</v>
      </c>
    </row>
    <row r="2" spans="1:22" x14ac:dyDescent="0.25">
      <c r="A2" s="18" t="s">
        <v>200</v>
      </c>
      <c r="B2" s="76" t="s">
        <v>201</v>
      </c>
      <c r="C2" s="80">
        <v>45892</v>
      </c>
      <c r="D2" s="80">
        <v>45893</v>
      </c>
      <c r="E2" s="76">
        <v>1</v>
      </c>
      <c r="F2" s="76">
        <v>1</v>
      </c>
      <c r="G2" s="76" t="s">
        <v>170</v>
      </c>
      <c r="H2" s="76">
        <v>20</v>
      </c>
      <c r="I2" s="121">
        <v>379.83575000000002</v>
      </c>
      <c r="J2" s="79">
        <v>399.83575000000002</v>
      </c>
      <c r="K2" s="76" t="s">
        <v>177</v>
      </c>
      <c r="L2" s="76" t="s">
        <v>38</v>
      </c>
      <c r="M2" s="76" t="s">
        <v>167</v>
      </c>
      <c r="N2" s="76" t="s">
        <v>119</v>
      </c>
      <c r="O2" s="79">
        <v>310.07</v>
      </c>
      <c r="P2" s="79">
        <v>310.07</v>
      </c>
      <c r="Q2" s="76"/>
      <c r="R2" s="17"/>
      <c r="S2" s="107" t="s">
        <v>261</v>
      </c>
      <c r="T2" s="76" t="str">
        <f t="shared" ref="T2:T66" si="0">IF(OR(AND(ISNUMBER(C2), OR(MONTH(C2)&lt;=4, MONTH(C2)&gt;=10)), AND(ISNUMBER(D2), OR(MONTH(D2)&lt;=4, MONTH(D2)&gt;=10))), "Winter", IF(OR(AND(ISNUMBER(C2), MONTH(C2)&gt;=5, MONTH(C2)&lt;=9), AND(ISNUMBER(D2), MONTH(D2)&gt;=5, MONTH(D2)&lt;=9)), "Summer", ""))</f>
        <v>Summer</v>
      </c>
      <c r="U2" s="106">
        <f t="shared" ref="U2:U65" ca="1" si="1">IF(ISNUMBER(C2), C2 - TODAY(), "")</f>
        <v>0</v>
      </c>
      <c r="V2" s="108" t="str">
        <f t="shared" ref="V2:V65" si="2">IF(AND(C2&gt;=DATE(2025,1,26),C2&lt;=DATE(2025,1,31)),"Arab Health",
IF(AND(C2&gt;=DATE(2025,2,16),C2&lt;=DATE(2025,2,21)),"Gulf Food",
IF(AND(C2&gt;=DATE(2025,3,1),C2&lt;=DATE(2025,3,29)),"Ramadan",
IF(AND(C2&gt;=DATE(2025,3,30),C2&lt;=DATE(2025,4,2)),"Eid Al Fitr",
IF(AND(C2&gt;=DATE(2025,6,6),C2&lt;=DATE(2025,6,9)),"Eid Al Adha",
IF(AND(C2&gt;=DATE(2025,10,12),C2&lt;=DATE(2025,10,17)),"GITEX",
IF(AND(C2&gt;=DATE(2025,11,3),C2&lt;=DATE(2025,11,7)),"Gulf Food Manufacturing",
IF(AND(C2&gt;=DATE(2025,11,16),C2&lt;=DATE(2025,11,21)),"Air Show",
IF(AND(C2&gt;=DATE(2025,11,23),C2&lt;=DATE(2025,11,28)),"Big 5",
IF(AND(C2&gt;=DATE(2025,11,29),C2&lt;=DATE(2025,12,2)),"National Day Holidays",
IF(AND(C2&gt;=DATE(2025,12,4),C2&lt;=DATE(2025,12,7)),"F1 Yas Island",
IF(AND(C2&gt;=DATE(2025,12,26),C2&lt;=DATE(2025,12,31)),"New Year's Eve",""))))))))))))</f>
        <v/>
      </c>
    </row>
    <row r="3" spans="1:22" hidden="1" x14ac:dyDescent="0.25">
      <c r="A3" s="18" t="s">
        <v>202</v>
      </c>
      <c r="B3" s="76"/>
      <c r="C3" s="80">
        <v>45892</v>
      </c>
      <c r="D3" s="80">
        <v>45892</v>
      </c>
      <c r="E3" s="79">
        <v>0</v>
      </c>
      <c r="F3" s="76">
        <v>0</v>
      </c>
      <c r="G3" s="76" t="s">
        <v>178</v>
      </c>
      <c r="H3" s="76">
        <v>0</v>
      </c>
      <c r="I3" s="112">
        <v>0</v>
      </c>
      <c r="J3" s="79">
        <v>0</v>
      </c>
      <c r="K3" s="76" t="s">
        <v>178</v>
      </c>
      <c r="L3" s="76" t="s">
        <v>195</v>
      </c>
      <c r="M3" s="76"/>
      <c r="N3" s="76" t="s">
        <v>119</v>
      </c>
      <c r="O3" s="79">
        <v>0</v>
      </c>
      <c r="P3" s="79">
        <v>0</v>
      </c>
      <c r="Q3" s="76"/>
      <c r="R3" s="17"/>
      <c r="S3" s="107" t="s">
        <v>262</v>
      </c>
      <c r="T3" s="76" t="str">
        <f t="shared" si="0"/>
        <v>Summer</v>
      </c>
      <c r="U3" s="106">
        <f t="shared" ca="1" si="1"/>
        <v>0</v>
      </c>
      <c r="V3" s="108" t="str">
        <f t="shared" si="2"/>
        <v/>
      </c>
    </row>
    <row r="4" spans="1:22" x14ac:dyDescent="0.25">
      <c r="A4" s="18" t="s">
        <v>284</v>
      </c>
      <c r="B4" s="76" t="s">
        <v>285</v>
      </c>
      <c r="C4" s="80">
        <v>45892</v>
      </c>
      <c r="D4" s="80">
        <v>45893</v>
      </c>
      <c r="E4" s="79">
        <v>1</v>
      </c>
      <c r="F4" s="76">
        <v>1</v>
      </c>
      <c r="G4" s="76" t="s">
        <v>190</v>
      </c>
      <c r="H4" s="76">
        <v>20</v>
      </c>
      <c r="I4" s="121">
        <v>520.625</v>
      </c>
      <c r="J4" s="79">
        <v>540.625</v>
      </c>
      <c r="K4" s="76" t="s">
        <v>205</v>
      </c>
      <c r="L4" s="76" t="s">
        <v>191</v>
      </c>
      <c r="M4" s="76" t="s">
        <v>207</v>
      </c>
      <c r="N4" s="76" t="s">
        <v>188</v>
      </c>
      <c r="O4" s="79">
        <v>425</v>
      </c>
      <c r="P4" s="79">
        <v>425</v>
      </c>
      <c r="Q4" s="76"/>
      <c r="R4" s="17"/>
      <c r="S4" s="107" t="s">
        <v>263</v>
      </c>
      <c r="T4" s="76" t="str">
        <f t="shared" si="0"/>
        <v>Summer</v>
      </c>
      <c r="U4" s="106">
        <f t="shared" ca="1" si="1"/>
        <v>0</v>
      </c>
      <c r="V4" s="108" t="str">
        <f t="shared" si="2"/>
        <v/>
      </c>
    </row>
    <row r="5" spans="1:22" hidden="1" x14ac:dyDescent="0.25">
      <c r="A5" s="18" t="s">
        <v>196</v>
      </c>
      <c r="B5" s="76"/>
      <c r="C5" s="80">
        <v>45892</v>
      </c>
      <c r="D5" s="80">
        <v>45892</v>
      </c>
      <c r="E5" s="79">
        <v>0</v>
      </c>
      <c r="F5" s="76">
        <v>0</v>
      </c>
      <c r="G5" s="76" t="s">
        <v>178</v>
      </c>
      <c r="H5" s="76">
        <v>0</v>
      </c>
      <c r="I5" s="121">
        <v>0</v>
      </c>
      <c r="J5" s="79">
        <v>0</v>
      </c>
      <c r="K5" s="76" t="s">
        <v>178</v>
      </c>
      <c r="L5" s="76" t="s">
        <v>195</v>
      </c>
      <c r="M5" s="76"/>
      <c r="N5" s="76" t="s">
        <v>172</v>
      </c>
      <c r="O5" s="79">
        <v>0</v>
      </c>
      <c r="P5" s="79">
        <v>0</v>
      </c>
      <c r="Q5" s="76"/>
      <c r="R5" s="17"/>
      <c r="S5" s="107" t="s">
        <v>264</v>
      </c>
      <c r="T5" s="76" t="str">
        <f t="shared" si="0"/>
        <v>Summer</v>
      </c>
      <c r="U5" s="106">
        <f t="shared" ca="1" si="1"/>
        <v>0</v>
      </c>
      <c r="V5" s="108" t="str">
        <f t="shared" si="2"/>
        <v/>
      </c>
    </row>
    <row r="6" spans="1:22" x14ac:dyDescent="0.25">
      <c r="A6" s="18" t="s">
        <v>286</v>
      </c>
      <c r="B6" s="76" t="s">
        <v>287</v>
      </c>
      <c r="C6" s="80">
        <v>45892</v>
      </c>
      <c r="D6" s="80">
        <v>45893</v>
      </c>
      <c r="E6" s="76">
        <v>1</v>
      </c>
      <c r="F6" s="76">
        <v>2</v>
      </c>
      <c r="G6" s="76" t="s">
        <v>209</v>
      </c>
      <c r="H6" s="76">
        <v>20</v>
      </c>
      <c r="I6" s="121">
        <v>207.18425000000002</v>
      </c>
      <c r="J6" s="79">
        <v>227.18425000000002</v>
      </c>
      <c r="K6" s="76" t="s">
        <v>177</v>
      </c>
      <c r="L6" s="76" t="s">
        <v>38</v>
      </c>
      <c r="M6" s="76" t="s">
        <v>167</v>
      </c>
      <c r="N6" s="76" t="s">
        <v>119</v>
      </c>
      <c r="O6" s="79">
        <v>169.13</v>
      </c>
      <c r="P6" s="79">
        <v>169.13</v>
      </c>
      <c r="Q6" s="76"/>
      <c r="R6" s="17"/>
      <c r="S6" s="107" t="s">
        <v>265</v>
      </c>
      <c r="T6" s="76" t="str">
        <f t="shared" si="0"/>
        <v>Summer</v>
      </c>
      <c r="U6" s="106">
        <f t="shared" ca="1" si="1"/>
        <v>0</v>
      </c>
      <c r="V6" s="108" t="str">
        <f t="shared" si="2"/>
        <v/>
      </c>
    </row>
    <row r="7" spans="1:22" x14ac:dyDescent="0.25">
      <c r="A7" s="18" t="s">
        <v>288</v>
      </c>
      <c r="B7" s="76" t="s">
        <v>289</v>
      </c>
      <c r="C7" s="80">
        <v>45892</v>
      </c>
      <c r="D7" s="80">
        <v>45892</v>
      </c>
      <c r="E7" s="76">
        <v>0</v>
      </c>
      <c r="F7" s="76">
        <v>1</v>
      </c>
      <c r="G7" s="76" t="s">
        <v>170</v>
      </c>
      <c r="H7" s="76">
        <v>0</v>
      </c>
      <c r="I7" s="121">
        <v>0</v>
      </c>
      <c r="J7" s="79">
        <v>0</v>
      </c>
      <c r="K7" s="79" t="s">
        <v>162</v>
      </c>
      <c r="L7" s="76" t="s">
        <v>38</v>
      </c>
      <c r="M7" s="76" t="s">
        <v>165</v>
      </c>
      <c r="N7" s="76" t="s">
        <v>119</v>
      </c>
      <c r="O7" s="79">
        <v>0</v>
      </c>
      <c r="P7" s="79">
        <v>0</v>
      </c>
      <c r="Q7" s="76"/>
      <c r="R7" s="17"/>
      <c r="S7" s="107" t="s">
        <v>266</v>
      </c>
      <c r="T7" s="76" t="str">
        <f t="shared" si="0"/>
        <v>Summer</v>
      </c>
      <c r="U7" s="106">
        <f t="shared" ca="1" si="1"/>
        <v>0</v>
      </c>
      <c r="V7" s="108" t="str">
        <f t="shared" si="2"/>
        <v/>
      </c>
    </row>
    <row r="8" spans="1:22" x14ac:dyDescent="0.25">
      <c r="A8" s="18" t="s">
        <v>288</v>
      </c>
      <c r="B8" s="76" t="s">
        <v>289</v>
      </c>
      <c r="C8" s="80">
        <v>45892</v>
      </c>
      <c r="D8" s="80">
        <v>45892</v>
      </c>
      <c r="E8" s="76">
        <v>0</v>
      </c>
      <c r="F8" s="76">
        <v>1</v>
      </c>
      <c r="G8" s="76" t="s">
        <v>170</v>
      </c>
      <c r="H8" s="76">
        <v>0</v>
      </c>
      <c r="I8" s="121">
        <v>0</v>
      </c>
      <c r="J8" s="79">
        <v>0</v>
      </c>
      <c r="K8" s="76" t="s">
        <v>162</v>
      </c>
      <c r="L8" s="76" t="s">
        <v>38</v>
      </c>
      <c r="M8" s="76" t="s">
        <v>165</v>
      </c>
      <c r="N8" s="76" t="s">
        <v>119</v>
      </c>
      <c r="O8" s="79">
        <v>0</v>
      </c>
      <c r="P8" s="79">
        <v>0</v>
      </c>
      <c r="Q8" s="76"/>
      <c r="R8" s="17"/>
      <c r="S8" s="107" t="s">
        <v>267</v>
      </c>
      <c r="T8" s="76" t="str">
        <f t="shared" si="0"/>
        <v>Summer</v>
      </c>
      <c r="U8" s="106">
        <f t="shared" ca="1" si="1"/>
        <v>0</v>
      </c>
      <c r="V8" s="108" t="str">
        <f t="shared" si="2"/>
        <v/>
      </c>
    </row>
    <row r="9" spans="1:22" x14ac:dyDescent="0.25">
      <c r="A9" s="18" t="s">
        <v>290</v>
      </c>
      <c r="B9" s="76" t="s">
        <v>291</v>
      </c>
      <c r="C9" s="80">
        <v>45893</v>
      </c>
      <c r="D9" s="80">
        <v>45895</v>
      </c>
      <c r="E9" s="76">
        <v>2</v>
      </c>
      <c r="F9" s="76">
        <v>1</v>
      </c>
      <c r="G9" s="76" t="s">
        <v>43</v>
      </c>
      <c r="H9" s="76">
        <v>40</v>
      </c>
      <c r="I9" s="121">
        <v>661.5</v>
      </c>
      <c r="J9" s="79">
        <v>701.5</v>
      </c>
      <c r="K9" s="76" t="s">
        <v>212</v>
      </c>
      <c r="L9" s="76" t="s">
        <v>38</v>
      </c>
      <c r="M9" s="76" t="s">
        <v>182</v>
      </c>
      <c r="N9" s="76" t="s">
        <v>169</v>
      </c>
      <c r="O9" s="79">
        <v>270</v>
      </c>
      <c r="P9" s="76">
        <v>540</v>
      </c>
      <c r="Q9" s="76"/>
      <c r="R9" s="17"/>
      <c r="S9" s="107" t="s">
        <v>268</v>
      </c>
      <c r="T9" s="76" t="str">
        <f t="shared" si="0"/>
        <v>Summer</v>
      </c>
      <c r="U9" s="106">
        <f t="shared" ca="1" si="1"/>
        <v>1</v>
      </c>
      <c r="V9" s="108" t="str">
        <f t="shared" si="2"/>
        <v/>
      </c>
    </row>
    <row r="10" spans="1:22" x14ac:dyDescent="0.25">
      <c r="A10" s="18" t="s">
        <v>292</v>
      </c>
      <c r="B10" s="76" t="s">
        <v>293</v>
      </c>
      <c r="C10" s="80">
        <v>45893</v>
      </c>
      <c r="D10" s="80">
        <v>45897</v>
      </c>
      <c r="E10" s="79">
        <v>4</v>
      </c>
      <c r="F10" s="76">
        <v>1</v>
      </c>
      <c r="G10" s="76" t="s">
        <v>190</v>
      </c>
      <c r="H10" s="76">
        <v>80</v>
      </c>
      <c r="I10" s="121">
        <v>2450</v>
      </c>
      <c r="J10" s="79">
        <v>2530</v>
      </c>
      <c r="K10" s="76" t="s">
        <v>214</v>
      </c>
      <c r="L10" s="76" t="s">
        <v>175</v>
      </c>
      <c r="M10" s="76" t="s">
        <v>217</v>
      </c>
      <c r="N10" s="76" t="s">
        <v>157</v>
      </c>
      <c r="O10" s="79">
        <v>500</v>
      </c>
      <c r="P10" s="79">
        <v>2000</v>
      </c>
      <c r="Q10" s="76"/>
      <c r="R10" s="17"/>
      <c r="S10" s="107" t="s">
        <v>269</v>
      </c>
      <c r="T10" s="76" t="str">
        <f t="shared" si="0"/>
        <v>Summer</v>
      </c>
      <c r="U10" s="106">
        <f t="shared" ca="1" si="1"/>
        <v>1</v>
      </c>
      <c r="V10" s="108" t="str">
        <f t="shared" si="2"/>
        <v/>
      </c>
    </row>
    <row r="11" spans="1:22" x14ac:dyDescent="0.25">
      <c r="A11" s="18" t="s">
        <v>294</v>
      </c>
      <c r="B11" s="76" t="s">
        <v>295</v>
      </c>
      <c r="C11" s="80">
        <v>45893</v>
      </c>
      <c r="D11" s="80">
        <v>45895</v>
      </c>
      <c r="E11" s="76">
        <v>2</v>
      </c>
      <c r="F11" s="76">
        <v>1</v>
      </c>
      <c r="G11" s="76" t="s">
        <v>43</v>
      </c>
      <c r="H11" s="76">
        <v>40</v>
      </c>
      <c r="I11" s="121">
        <v>617.40000000000009</v>
      </c>
      <c r="J11" s="79">
        <v>657.40000000000009</v>
      </c>
      <c r="K11" s="79" t="s">
        <v>180</v>
      </c>
      <c r="L11" s="76" t="s">
        <v>38</v>
      </c>
      <c r="M11" s="76" t="s">
        <v>165</v>
      </c>
      <c r="N11" s="76" t="s">
        <v>40</v>
      </c>
      <c r="O11" s="79">
        <v>252</v>
      </c>
      <c r="P11" s="79">
        <v>504</v>
      </c>
      <c r="Q11" s="76"/>
      <c r="R11" s="17"/>
      <c r="S11" s="107" t="s">
        <v>270</v>
      </c>
      <c r="T11" s="76" t="str">
        <f t="shared" si="0"/>
        <v>Summer</v>
      </c>
      <c r="U11" s="106">
        <f t="shared" ca="1" si="1"/>
        <v>1</v>
      </c>
      <c r="V11" s="108" t="str">
        <f t="shared" si="2"/>
        <v/>
      </c>
    </row>
    <row r="12" spans="1:22" x14ac:dyDescent="0.25">
      <c r="A12" s="18" t="s">
        <v>296</v>
      </c>
      <c r="B12" s="76" t="s">
        <v>297</v>
      </c>
      <c r="C12" s="80">
        <v>45893</v>
      </c>
      <c r="D12" s="80">
        <v>45894</v>
      </c>
      <c r="E12" s="79">
        <v>1</v>
      </c>
      <c r="F12" s="76">
        <v>2</v>
      </c>
      <c r="G12" s="76" t="s">
        <v>190</v>
      </c>
      <c r="H12" s="76">
        <v>20</v>
      </c>
      <c r="I12" s="121">
        <v>673.75</v>
      </c>
      <c r="J12" s="79">
        <v>693.75</v>
      </c>
      <c r="K12" s="76" t="s">
        <v>220</v>
      </c>
      <c r="L12" s="76" t="s">
        <v>191</v>
      </c>
      <c r="M12" s="76" t="s">
        <v>198</v>
      </c>
      <c r="N12" s="76" t="s">
        <v>157</v>
      </c>
      <c r="O12" s="79">
        <v>550</v>
      </c>
      <c r="P12" s="79">
        <v>550</v>
      </c>
      <c r="Q12" s="76"/>
      <c r="R12" s="17"/>
      <c r="S12" s="107" t="s">
        <v>271</v>
      </c>
      <c r="T12" s="76" t="str">
        <f t="shared" si="0"/>
        <v>Summer</v>
      </c>
      <c r="U12" s="106">
        <f t="shared" ca="1" si="1"/>
        <v>1</v>
      </c>
      <c r="V12" s="108" t="str">
        <f t="shared" si="2"/>
        <v/>
      </c>
    </row>
    <row r="13" spans="1:22" x14ac:dyDescent="0.25">
      <c r="A13" s="18" t="s">
        <v>298</v>
      </c>
      <c r="B13" s="76" t="s">
        <v>299</v>
      </c>
      <c r="C13" s="80">
        <v>45893</v>
      </c>
      <c r="D13" s="80">
        <v>45898</v>
      </c>
      <c r="E13" s="76">
        <v>5</v>
      </c>
      <c r="F13" s="76">
        <v>1</v>
      </c>
      <c r="G13" s="76" t="s">
        <v>43</v>
      </c>
      <c r="H13" s="76">
        <v>100</v>
      </c>
      <c r="I13" s="121">
        <v>1470</v>
      </c>
      <c r="J13" s="79">
        <v>1570</v>
      </c>
      <c r="K13" s="76" t="s">
        <v>212</v>
      </c>
      <c r="L13" s="76" t="s">
        <v>38</v>
      </c>
      <c r="M13" s="76" t="s">
        <v>182</v>
      </c>
      <c r="N13" s="76" t="s">
        <v>40</v>
      </c>
      <c r="O13" s="79">
        <v>240</v>
      </c>
      <c r="P13" s="79">
        <v>1200</v>
      </c>
      <c r="Q13" s="76"/>
      <c r="R13" s="17"/>
      <c r="S13" s="107" t="s">
        <v>272</v>
      </c>
      <c r="T13" s="76" t="str">
        <f t="shared" si="0"/>
        <v>Summer</v>
      </c>
      <c r="U13" s="106">
        <f t="shared" ca="1" si="1"/>
        <v>1</v>
      </c>
      <c r="V13" s="108" t="str">
        <f t="shared" si="2"/>
        <v/>
      </c>
    </row>
    <row r="14" spans="1:22" x14ac:dyDescent="0.25">
      <c r="A14" s="18" t="s">
        <v>300</v>
      </c>
      <c r="B14" s="76" t="s">
        <v>301</v>
      </c>
      <c r="C14" s="80">
        <v>45894</v>
      </c>
      <c r="D14" s="80">
        <v>45898</v>
      </c>
      <c r="E14" s="76">
        <v>4</v>
      </c>
      <c r="F14" s="76">
        <v>1</v>
      </c>
      <c r="G14" s="76" t="s">
        <v>190</v>
      </c>
      <c r="H14" s="76">
        <v>80</v>
      </c>
      <c r="I14" s="121">
        <v>2450</v>
      </c>
      <c r="J14" s="79">
        <v>2530</v>
      </c>
      <c r="K14" s="76" t="s">
        <v>214</v>
      </c>
      <c r="L14" s="76" t="s">
        <v>175</v>
      </c>
      <c r="M14" s="76" t="s">
        <v>217</v>
      </c>
      <c r="N14" s="76" t="s">
        <v>157</v>
      </c>
      <c r="O14" s="79">
        <v>500</v>
      </c>
      <c r="P14" s="79">
        <v>2000</v>
      </c>
      <c r="Q14" s="76"/>
      <c r="R14" s="17"/>
      <c r="S14" s="107" t="s">
        <v>273</v>
      </c>
      <c r="T14" s="76" t="str">
        <f t="shared" si="0"/>
        <v>Summer</v>
      </c>
      <c r="U14" s="106">
        <f t="shared" ca="1" si="1"/>
        <v>2</v>
      </c>
      <c r="V14" s="108" t="str">
        <f t="shared" si="2"/>
        <v/>
      </c>
    </row>
    <row r="15" spans="1:22" x14ac:dyDescent="0.25">
      <c r="A15" s="18" t="s">
        <v>302</v>
      </c>
      <c r="B15" s="76" t="s">
        <v>303</v>
      </c>
      <c r="C15" s="80">
        <v>45895</v>
      </c>
      <c r="D15" s="80">
        <v>45902</v>
      </c>
      <c r="E15" s="76">
        <v>7</v>
      </c>
      <c r="F15" s="76">
        <v>1</v>
      </c>
      <c r="G15" s="76" t="s">
        <v>43</v>
      </c>
      <c r="H15" s="76">
        <v>140</v>
      </c>
      <c r="I15" s="121">
        <v>1952.8705000000002</v>
      </c>
      <c r="J15" s="79">
        <v>2092.8705</v>
      </c>
      <c r="K15" s="76" t="s">
        <v>159</v>
      </c>
      <c r="L15" s="76" t="s">
        <v>175</v>
      </c>
      <c r="M15" s="76" t="s">
        <v>226</v>
      </c>
      <c r="N15" s="76" t="s">
        <v>158</v>
      </c>
      <c r="O15" s="79">
        <v>227.74</v>
      </c>
      <c r="P15" s="79">
        <v>1594.18</v>
      </c>
      <c r="Q15" s="76"/>
      <c r="R15" s="17"/>
      <c r="S15" s="107" t="s">
        <v>274</v>
      </c>
      <c r="T15" s="76" t="str">
        <f t="shared" si="0"/>
        <v>Summer</v>
      </c>
      <c r="U15" s="106">
        <f t="shared" ca="1" si="1"/>
        <v>3</v>
      </c>
      <c r="V15" s="108" t="str">
        <f t="shared" si="2"/>
        <v/>
      </c>
    </row>
    <row r="16" spans="1:22" x14ac:dyDescent="0.25">
      <c r="A16" s="18" t="s">
        <v>304</v>
      </c>
      <c r="B16" s="76" t="s">
        <v>305</v>
      </c>
      <c r="C16" s="80">
        <v>45897</v>
      </c>
      <c r="D16" s="80">
        <v>45898</v>
      </c>
      <c r="E16" s="76">
        <v>1</v>
      </c>
      <c r="F16" s="76">
        <v>1</v>
      </c>
      <c r="G16" s="76" t="s">
        <v>43</v>
      </c>
      <c r="H16" s="76">
        <v>20</v>
      </c>
      <c r="I16" s="121">
        <v>308.70000000000005</v>
      </c>
      <c r="J16" s="79">
        <v>328.70000000000005</v>
      </c>
      <c r="K16" s="79" t="s">
        <v>180</v>
      </c>
      <c r="L16" s="76" t="s">
        <v>38</v>
      </c>
      <c r="M16" s="76" t="s">
        <v>165</v>
      </c>
      <c r="N16" s="76" t="s">
        <v>40</v>
      </c>
      <c r="O16" s="79">
        <v>252</v>
      </c>
      <c r="P16" s="79">
        <v>252</v>
      </c>
      <c r="Q16" s="76"/>
      <c r="R16" s="17"/>
      <c r="S16" s="107" t="s">
        <v>275</v>
      </c>
      <c r="T16" s="76" t="str">
        <f t="shared" si="0"/>
        <v>Summer</v>
      </c>
      <c r="U16" s="106">
        <f t="shared" ca="1" si="1"/>
        <v>5</v>
      </c>
      <c r="V16" s="108" t="str">
        <f t="shared" si="2"/>
        <v/>
      </c>
    </row>
    <row r="17" spans="1:22" x14ac:dyDescent="0.25">
      <c r="A17" s="18" t="s">
        <v>306</v>
      </c>
      <c r="B17" s="76" t="s">
        <v>307</v>
      </c>
      <c r="C17" s="80">
        <v>45897</v>
      </c>
      <c r="D17" s="80">
        <v>45899</v>
      </c>
      <c r="E17" s="79">
        <v>2</v>
      </c>
      <c r="F17" s="76">
        <v>2</v>
      </c>
      <c r="G17" s="76" t="s">
        <v>43</v>
      </c>
      <c r="H17" s="76">
        <v>40</v>
      </c>
      <c r="I17" s="121">
        <v>529.20000000000005</v>
      </c>
      <c r="J17" s="79">
        <v>569.20000000000005</v>
      </c>
      <c r="K17" s="76" t="s">
        <v>162</v>
      </c>
      <c r="L17" s="76" t="s">
        <v>38</v>
      </c>
      <c r="M17" s="76" t="s">
        <v>165</v>
      </c>
      <c r="N17" s="76" t="s">
        <v>40</v>
      </c>
      <c r="O17" s="79">
        <v>216</v>
      </c>
      <c r="P17" s="79">
        <v>432</v>
      </c>
      <c r="Q17" s="76"/>
      <c r="R17" s="17"/>
      <c r="S17" s="107" t="s">
        <v>276</v>
      </c>
      <c r="T17" s="76" t="str">
        <f t="shared" si="0"/>
        <v>Summer</v>
      </c>
      <c r="U17" s="106">
        <f t="shared" ca="1" si="1"/>
        <v>5</v>
      </c>
      <c r="V17" s="108" t="str">
        <f t="shared" si="2"/>
        <v/>
      </c>
    </row>
    <row r="18" spans="1:22" x14ac:dyDescent="0.25">
      <c r="A18" s="18" t="s">
        <v>308</v>
      </c>
      <c r="B18" s="76" t="s">
        <v>309</v>
      </c>
      <c r="C18" s="80">
        <v>45901</v>
      </c>
      <c r="D18" s="80">
        <v>45908</v>
      </c>
      <c r="E18" s="76">
        <v>7</v>
      </c>
      <c r="F18" s="76">
        <v>2</v>
      </c>
      <c r="G18" s="76" t="s">
        <v>43</v>
      </c>
      <c r="H18" s="76">
        <v>140</v>
      </c>
      <c r="I18" s="121">
        <v>2077.11</v>
      </c>
      <c r="J18" s="79">
        <v>2217.11</v>
      </c>
      <c r="K18" s="79" t="s">
        <v>162</v>
      </c>
      <c r="L18" s="76" t="s">
        <v>38</v>
      </c>
      <c r="M18" s="76" t="s">
        <v>165</v>
      </c>
      <c r="N18" s="76" t="s">
        <v>40</v>
      </c>
      <c r="O18" s="79">
        <v>242.22857142857143</v>
      </c>
      <c r="P18" s="79">
        <v>1695.6</v>
      </c>
      <c r="Q18" s="76"/>
      <c r="R18" s="17"/>
      <c r="S18" s="107" t="s">
        <v>277</v>
      </c>
      <c r="T18" s="76" t="str">
        <f t="shared" si="0"/>
        <v>Summer</v>
      </c>
      <c r="U18" s="106">
        <f t="shared" ca="1" si="1"/>
        <v>9</v>
      </c>
      <c r="V18" s="108" t="str">
        <f t="shared" si="2"/>
        <v/>
      </c>
    </row>
    <row r="19" spans="1:22" x14ac:dyDescent="0.25">
      <c r="A19" s="18" t="s">
        <v>310</v>
      </c>
      <c r="B19" s="76" t="s">
        <v>311</v>
      </c>
      <c r="C19" s="80">
        <v>45907</v>
      </c>
      <c r="D19" s="80">
        <v>45910</v>
      </c>
      <c r="E19" s="76">
        <v>3</v>
      </c>
      <c r="F19" s="76">
        <v>1</v>
      </c>
      <c r="G19" s="76" t="s">
        <v>43</v>
      </c>
      <c r="H19" s="76">
        <v>60</v>
      </c>
      <c r="I19" s="121">
        <v>1073.1000000000001</v>
      </c>
      <c r="J19" s="79">
        <v>1133.1000000000001</v>
      </c>
      <c r="K19" s="76" t="s">
        <v>234</v>
      </c>
      <c r="L19" s="76" t="s">
        <v>38</v>
      </c>
      <c r="M19" s="76" t="s">
        <v>236</v>
      </c>
      <c r="N19" s="76" t="s">
        <v>40</v>
      </c>
      <c r="O19" s="79">
        <v>292</v>
      </c>
      <c r="P19" s="79">
        <v>876</v>
      </c>
      <c r="Q19" s="76"/>
      <c r="R19" s="17"/>
      <c r="S19" s="107" t="s">
        <v>278</v>
      </c>
      <c r="T19" s="76" t="str">
        <f t="shared" si="0"/>
        <v>Summer</v>
      </c>
      <c r="U19" s="106">
        <f t="shared" ca="1" si="1"/>
        <v>15</v>
      </c>
      <c r="V19" s="108" t="str">
        <f t="shared" si="2"/>
        <v/>
      </c>
    </row>
    <row r="20" spans="1:22" x14ac:dyDescent="0.25">
      <c r="A20" s="18" t="s">
        <v>312</v>
      </c>
      <c r="B20" s="76" t="s">
        <v>288</v>
      </c>
      <c r="C20" s="80">
        <v>45924</v>
      </c>
      <c r="D20" s="80">
        <v>45927</v>
      </c>
      <c r="E20" s="76">
        <v>3</v>
      </c>
      <c r="F20" s="76">
        <v>1</v>
      </c>
      <c r="G20" s="76" t="s">
        <v>43</v>
      </c>
      <c r="H20" s="76">
        <v>60</v>
      </c>
      <c r="I20" s="121">
        <v>600.01724999999999</v>
      </c>
      <c r="J20" s="79">
        <v>660.01724999999999</v>
      </c>
      <c r="K20" s="76" t="s">
        <v>159</v>
      </c>
      <c r="L20" s="76" t="s">
        <v>175</v>
      </c>
      <c r="M20" s="76" t="s">
        <v>241</v>
      </c>
      <c r="N20" s="76" t="s">
        <v>158</v>
      </c>
      <c r="O20" s="79">
        <v>163.27000000000001</v>
      </c>
      <c r="P20" s="79">
        <v>489.81</v>
      </c>
      <c r="Q20" s="76"/>
      <c r="R20" s="17"/>
      <c r="S20" s="107" t="s">
        <v>279</v>
      </c>
      <c r="T20" s="76" t="str">
        <f t="shared" si="0"/>
        <v>Summer</v>
      </c>
      <c r="U20" s="106">
        <f t="shared" ca="1" si="1"/>
        <v>32</v>
      </c>
      <c r="V20" s="108" t="str">
        <f t="shared" si="2"/>
        <v/>
      </c>
    </row>
    <row r="21" spans="1:22" x14ac:dyDescent="0.25">
      <c r="A21" s="18" t="s">
        <v>312</v>
      </c>
      <c r="B21" s="76" t="s">
        <v>313</v>
      </c>
      <c r="C21" s="80">
        <v>45924</v>
      </c>
      <c r="D21" s="80">
        <v>45926</v>
      </c>
      <c r="E21" s="76">
        <v>2</v>
      </c>
      <c r="F21" s="76">
        <v>2</v>
      </c>
      <c r="G21" s="76" t="s">
        <v>43</v>
      </c>
      <c r="H21" s="76">
        <v>40</v>
      </c>
      <c r="I21" s="121">
        <v>400.01150000000007</v>
      </c>
      <c r="J21" s="79">
        <v>440.01150000000007</v>
      </c>
      <c r="K21" s="76" t="s">
        <v>159</v>
      </c>
      <c r="L21" s="76" t="s">
        <v>175</v>
      </c>
      <c r="M21" s="76" t="s">
        <v>241</v>
      </c>
      <c r="N21" s="76" t="s">
        <v>158</v>
      </c>
      <c r="O21" s="79">
        <v>163.27000000000001</v>
      </c>
      <c r="P21" s="79">
        <v>326.54000000000002</v>
      </c>
      <c r="Q21" s="76"/>
      <c r="R21" s="17"/>
      <c r="S21" s="107" t="s">
        <v>280</v>
      </c>
      <c r="T21" s="76" t="str">
        <f t="shared" si="0"/>
        <v>Summer</v>
      </c>
      <c r="U21" s="106">
        <f t="shared" ca="1" si="1"/>
        <v>32</v>
      </c>
      <c r="V21" s="108" t="str">
        <f t="shared" si="2"/>
        <v/>
      </c>
    </row>
    <row r="22" spans="1:22" x14ac:dyDescent="0.25">
      <c r="A22" s="18" t="s">
        <v>314</v>
      </c>
      <c r="B22" s="76" t="s">
        <v>315</v>
      </c>
      <c r="C22" s="80">
        <v>45928</v>
      </c>
      <c r="D22" s="80">
        <v>45933</v>
      </c>
      <c r="E22" s="76">
        <v>5</v>
      </c>
      <c r="F22" s="76">
        <v>2</v>
      </c>
      <c r="G22" s="76" t="s">
        <v>43</v>
      </c>
      <c r="H22" s="76">
        <v>100</v>
      </c>
      <c r="I22" s="121">
        <v>1520.04125</v>
      </c>
      <c r="J22" s="79">
        <v>1620.04125</v>
      </c>
      <c r="K22" s="76" t="s">
        <v>159</v>
      </c>
      <c r="L22" s="76" t="s">
        <v>175</v>
      </c>
      <c r="M22" s="76" t="s">
        <v>248</v>
      </c>
      <c r="N22" s="76" t="s">
        <v>157</v>
      </c>
      <c r="O22" s="79">
        <v>248.17</v>
      </c>
      <c r="P22" s="79">
        <v>1240.8499999999999</v>
      </c>
      <c r="Q22" s="76"/>
      <c r="R22" s="17"/>
      <c r="S22" s="107" t="s">
        <v>281</v>
      </c>
      <c r="T22" s="76" t="str">
        <f t="shared" si="0"/>
        <v>Winter</v>
      </c>
      <c r="U22" s="106">
        <f t="shared" ca="1" si="1"/>
        <v>36</v>
      </c>
      <c r="V22" s="108" t="str">
        <f t="shared" si="2"/>
        <v/>
      </c>
    </row>
    <row r="23" spans="1:22" x14ac:dyDescent="0.25">
      <c r="A23" s="18" t="s">
        <v>316</v>
      </c>
      <c r="B23" s="76" t="s">
        <v>317</v>
      </c>
      <c r="C23" s="80">
        <v>45931</v>
      </c>
      <c r="D23" s="80">
        <v>45932</v>
      </c>
      <c r="E23" s="79">
        <v>1</v>
      </c>
      <c r="F23" s="76">
        <v>2</v>
      </c>
      <c r="G23" s="76" t="s">
        <v>43</v>
      </c>
      <c r="H23" s="76">
        <v>20</v>
      </c>
      <c r="I23" s="121">
        <v>460.012</v>
      </c>
      <c r="J23" s="79">
        <v>480.012</v>
      </c>
      <c r="K23" s="76" t="s">
        <v>159</v>
      </c>
      <c r="L23" s="76" t="s">
        <v>175</v>
      </c>
      <c r="M23" s="76" t="s">
        <v>194</v>
      </c>
      <c r="N23" s="76" t="s">
        <v>158</v>
      </c>
      <c r="O23" s="79">
        <v>375.52</v>
      </c>
      <c r="P23" s="79">
        <v>375.52</v>
      </c>
      <c r="Q23" s="76"/>
      <c r="R23" s="17"/>
      <c r="S23" s="107" t="s">
        <v>282</v>
      </c>
      <c r="T23" s="76" t="str">
        <f t="shared" si="0"/>
        <v>Winter</v>
      </c>
      <c r="U23" s="106">
        <f t="shared" ca="1" si="1"/>
        <v>39</v>
      </c>
      <c r="V23" s="108" t="str">
        <f t="shared" si="2"/>
        <v/>
      </c>
    </row>
    <row r="24" spans="1:22" x14ac:dyDescent="0.25">
      <c r="A24" s="18" t="s">
        <v>318</v>
      </c>
      <c r="B24" s="76" t="s">
        <v>319</v>
      </c>
      <c r="C24" s="80">
        <v>46050</v>
      </c>
      <c r="D24" s="80">
        <v>46053</v>
      </c>
      <c r="E24" s="79">
        <v>3</v>
      </c>
      <c r="F24" s="76">
        <v>2</v>
      </c>
      <c r="G24" s="76" t="s">
        <v>43</v>
      </c>
      <c r="H24" s="76">
        <v>60</v>
      </c>
      <c r="I24" s="121">
        <v>2130.0300000000002</v>
      </c>
      <c r="J24" s="79">
        <v>2190.0300000000002</v>
      </c>
      <c r="K24" s="76" t="s">
        <v>255</v>
      </c>
      <c r="L24" s="76" t="s">
        <v>175</v>
      </c>
      <c r="M24" s="76" t="s">
        <v>226</v>
      </c>
      <c r="N24" s="76" t="s">
        <v>158</v>
      </c>
      <c r="O24" s="79">
        <v>579.6</v>
      </c>
      <c r="P24" s="79">
        <v>1738.8</v>
      </c>
      <c r="Q24" s="76"/>
      <c r="R24" s="17"/>
      <c r="S24" s="107" t="s">
        <v>283</v>
      </c>
      <c r="T24" s="76" t="str">
        <f t="shared" si="0"/>
        <v>Winter</v>
      </c>
      <c r="U24" s="106">
        <f t="shared" ca="1" si="1"/>
        <v>158</v>
      </c>
      <c r="V24" s="108" t="str">
        <f t="shared" si="2"/>
        <v/>
      </c>
    </row>
    <row r="25" spans="1:22" x14ac:dyDescent="0.25">
      <c r="A25" s="18"/>
      <c r="B25" s="76"/>
      <c r="C25" s="80"/>
      <c r="D25" s="80"/>
      <c r="E25" s="76"/>
      <c r="F25" s="76"/>
      <c r="G25" s="76"/>
      <c r="H25" s="76"/>
      <c r="I25" s="121"/>
      <c r="J25" s="79"/>
      <c r="K25" s="76"/>
      <c r="L25" s="76"/>
      <c r="M25" s="76"/>
      <c r="N25" s="76"/>
      <c r="O25" s="79"/>
      <c r="P25" s="79"/>
      <c r="Q25" s="76"/>
      <c r="R25" s="17"/>
      <c r="S25" s="107"/>
      <c r="T25" s="76" t="str">
        <f t="shared" si="0"/>
        <v/>
      </c>
      <c r="U25" s="106" t="str">
        <f t="shared" ca="1" si="1"/>
        <v/>
      </c>
      <c r="V25" s="108" t="str">
        <f t="shared" si="2"/>
        <v/>
      </c>
    </row>
    <row r="26" spans="1:22" x14ac:dyDescent="0.25">
      <c r="A26" s="18"/>
      <c r="B26" s="76"/>
      <c r="C26" s="80"/>
      <c r="D26" s="80"/>
      <c r="E26" s="79"/>
      <c r="F26" s="76"/>
      <c r="G26" s="76"/>
      <c r="H26" s="76"/>
      <c r="I26" s="121"/>
      <c r="J26" s="79"/>
      <c r="K26" s="76"/>
      <c r="L26" s="76"/>
      <c r="M26" s="76"/>
      <c r="N26" s="76"/>
      <c r="O26" s="79"/>
      <c r="P26" s="79"/>
      <c r="Q26" s="76"/>
      <c r="R26" s="17"/>
      <c r="S26" s="107"/>
      <c r="T26" s="76" t="str">
        <f t="shared" si="0"/>
        <v/>
      </c>
      <c r="U26" s="106" t="str">
        <f t="shared" ca="1" si="1"/>
        <v/>
      </c>
      <c r="V26" s="108" t="str">
        <f t="shared" si="2"/>
        <v/>
      </c>
    </row>
    <row r="27" spans="1:22" x14ac:dyDescent="0.25">
      <c r="A27" s="18"/>
      <c r="B27" s="76"/>
      <c r="C27" s="80"/>
      <c r="D27" s="80"/>
      <c r="E27" s="76"/>
      <c r="F27" s="76"/>
      <c r="G27" s="76"/>
      <c r="H27" s="76"/>
      <c r="I27" s="121"/>
      <c r="J27" s="79"/>
      <c r="K27" s="76"/>
      <c r="L27" s="76"/>
      <c r="M27" s="76"/>
      <c r="N27" s="76"/>
      <c r="O27" s="79"/>
      <c r="P27" s="79"/>
      <c r="Q27" s="76"/>
      <c r="R27" s="17"/>
      <c r="S27" s="107"/>
      <c r="T27" s="76" t="str">
        <f t="shared" si="0"/>
        <v/>
      </c>
      <c r="U27" s="106" t="str">
        <f t="shared" ca="1" si="1"/>
        <v/>
      </c>
      <c r="V27" s="108" t="str">
        <f t="shared" si="2"/>
        <v/>
      </c>
    </row>
    <row r="28" spans="1:22" x14ac:dyDescent="0.25">
      <c r="A28" s="18"/>
      <c r="B28" s="76"/>
      <c r="C28" s="80"/>
      <c r="D28" s="80"/>
      <c r="E28" s="76"/>
      <c r="F28" s="76"/>
      <c r="G28" s="76"/>
      <c r="H28" s="76"/>
      <c r="I28" s="121"/>
      <c r="J28" s="79"/>
      <c r="K28" s="76"/>
      <c r="L28" s="76"/>
      <c r="M28" s="76"/>
      <c r="N28" s="76"/>
      <c r="O28" s="79"/>
      <c r="P28" s="79"/>
      <c r="Q28" s="76"/>
      <c r="R28" s="17"/>
      <c r="S28" s="107"/>
      <c r="T28" s="76" t="str">
        <f t="shared" si="0"/>
        <v/>
      </c>
      <c r="U28" s="106" t="str">
        <f t="shared" ca="1" si="1"/>
        <v/>
      </c>
      <c r="V28" s="108" t="str">
        <f t="shared" si="2"/>
        <v/>
      </c>
    </row>
    <row r="29" spans="1:22" x14ac:dyDescent="0.25">
      <c r="A29" s="18"/>
      <c r="B29" s="76"/>
      <c r="C29" s="80"/>
      <c r="D29" s="80"/>
      <c r="E29" s="79"/>
      <c r="F29" s="76"/>
      <c r="G29" s="76"/>
      <c r="H29" s="76"/>
      <c r="I29" s="121"/>
      <c r="J29" s="79"/>
      <c r="K29" s="76"/>
      <c r="L29" s="76"/>
      <c r="M29" s="76"/>
      <c r="N29" s="76"/>
      <c r="O29" s="79"/>
      <c r="P29" s="79"/>
      <c r="Q29" s="76"/>
      <c r="R29" s="17"/>
      <c r="S29" s="107"/>
      <c r="T29" s="76" t="str">
        <f t="shared" si="0"/>
        <v/>
      </c>
      <c r="U29" s="106" t="str">
        <f t="shared" ca="1" si="1"/>
        <v/>
      </c>
      <c r="V29" s="108" t="str">
        <f t="shared" si="2"/>
        <v/>
      </c>
    </row>
    <row r="30" spans="1:22" x14ac:dyDescent="0.25">
      <c r="A30" s="18"/>
      <c r="B30" s="76"/>
      <c r="C30" s="80"/>
      <c r="D30" s="80"/>
      <c r="E30" s="79"/>
      <c r="F30" s="76"/>
      <c r="G30" s="76"/>
      <c r="H30" s="76"/>
      <c r="I30" s="121"/>
      <c r="J30" s="79"/>
      <c r="K30" s="76"/>
      <c r="L30" s="76"/>
      <c r="M30" s="76"/>
      <c r="N30" s="76"/>
      <c r="O30" s="79"/>
      <c r="P30" s="79"/>
      <c r="Q30" s="76"/>
      <c r="R30" s="17"/>
      <c r="S30" s="107"/>
      <c r="T30" s="76" t="str">
        <f t="shared" si="0"/>
        <v/>
      </c>
      <c r="U30" s="106" t="str">
        <f t="shared" ca="1" si="1"/>
        <v/>
      </c>
      <c r="V30" s="108" t="str">
        <f t="shared" si="2"/>
        <v/>
      </c>
    </row>
    <row r="31" spans="1:22" x14ac:dyDescent="0.25">
      <c r="A31" s="18"/>
      <c r="B31" s="76"/>
      <c r="C31" s="80"/>
      <c r="D31" s="80"/>
      <c r="E31" s="79"/>
      <c r="F31" s="76"/>
      <c r="G31" s="76"/>
      <c r="H31" s="76"/>
      <c r="I31" s="121"/>
      <c r="J31" s="79"/>
      <c r="K31" s="76"/>
      <c r="L31" s="76"/>
      <c r="M31" s="76"/>
      <c r="N31" s="76"/>
      <c r="O31" s="79"/>
      <c r="P31" s="79"/>
      <c r="Q31" s="76"/>
      <c r="R31" s="17"/>
      <c r="S31" s="107"/>
      <c r="T31" s="76" t="str">
        <f t="shared" si="0"/>
        <v/>
      </c>
      <c r="U31" s="106" t="str">
        <f t="shared" ca="1" si="1"/>
        <v/>
      </c>
      <c r="V31" s="108" t="str">
        <f t="shared" si="2"/>
        <v/>
      </c>
    </row>
    <row r="32" spans="1:22" x14ac:dyDescent="0.25">
      <c r="A32" s="18"/>
      <c r="B32" s="76"/>
      <c r="C32" s="80"/>
      <c r="D32" s="80"/>
      <c r="E32" s="76"/>
      <c r="F32" s="76"/>
      <c r="G32" s="76"/>
      <c r="H32" s="76"/>
      <c r="I32" s="121"/>
      <c r="J32" s="79"/>
      <c r="K32" s="76"/>
      <c r="L32" s="76"/>
      <c r="M32" s="76"/>
      <c r="N32" s="76"/>
      <c r="O32" s="79"/>
      <c r="P32" s="79"/>
      <c r="Q32" s="76"/>
      <c r="R32" s="17"/>
      <c r="S32" s="107"/>
      <c r="T32" s="76" t="str">
        <f t="shared" si="0"/>
        <v/>
      </c>
      <c r="U32" s="106" t="str">
        <f t="shared" ca="1" si="1"/>
        <v/>
      </c>
      <c r="V32" s="108" t="str">
        <f t="shared" si="2"/>
        <v/>
      </c>
    </row>
    <row r="33" spans="1:22" x14ac:dyDescent="0.25">
      <c r="A33" s="18"/>
      <c r="B33" s="76"/>
      <c r="C33" s="80"/>
      <c r="D33" s="80"/>
      <c r="E33" s="76"/>
      <c r="F33" s="76"/>
      <c r="G33" s="76"/>
      <c r="H33" s="76"/>
      <c r="I33" s="121"/>
      <c r="J33" s="79"/>
      <c r="K33" s="76"/>
      <c r="L33" s="76"/>
      <c r="M33" s="76"/>
      <c r="N33" s="76"/>
      <c r="O33" s="79"/>
      <c r="P33" s="79"/>
      <c r="Q33" s="76"/>
      <c r="R33" s="17"/>
      <c r="S33" s="107"/>
      <c r="T33" s="76" t="str">
        <f t="shared" si="0"/>
        <v/>
      </c>
      <c r="U33" s="106" t="str">
        <f t="shared" ca="1" si="1"/>
        <v/>
      </c>
      <c r="V33" s="108" t="str">
        <f t="shared" si="2"/>
        <v/>
      </c>
    </row>
    <row r="34" spans="1:22" x14ac:dyDescent="0.25">
      <c r="A34" s="18"/>
      <c r="B34" s="76"/>
      <c r="C34" s="80"/>
      <c r="D34" s="80"/>
      <c r="E34" s="79"/>
      <c r="F34" s="76"/>
      <c r="G34" s="76"/>
      <c r="H34" s="76"/>
      <c r="I34" s="121"/>
      <c r="J34" s="79"/>
      <c r="K34" s="76"/>
      <c r="L34" s="76"/>
      <c r="M34" s="76"/>
      <c r="N34" s="76"/>
      <c r="O34" s="79"/>
      <c r="P34" s="79"/>
      <c r="Q34" s="76"/>
      <c r="R34" s="17"/>
      <c r="S34" s="107"/>
      <c r="T34" s="76" t="str">
        <f t="shared" si="0"/>
        <v/>
      </c>
      <c r="U34" s="106" t="str">
        <f t="shared" ca="1" si="1"/>
        <v/>
      </c>
      <c r="V34" s="108" t="str">
        <f t="shared" si="2"/>
        <v/>
      </c>
    </row>
    <row r="35" spans="1:22" x14ac:dyDescent="0.25">
      <c r="A35" s="18"/>
      <c r="B35" s="76"/>
      <c r="C35" s="80"/>
      <c r="D35" s="80"/>
      <c r="E35" s="76"/>
      <c r="F35" s="76"/>
      <c r="G35" s="76"/>
      <c r="H35" s="76"/>
      <c r="I35" s="121"/>
      <c r="J35" s="79"/>
      <c r="K35" s="76"/>
      <c r="L35" s="76"/>
      <c r="M35" s="76"/>
      <c r="N35" s="76"/>
      <c r="O35" s="79"/>
      <c r="P35" s="79"/>
      <c r="Q35" s="76"/>
      <c r="R35" s="17"/>
      <c r="S35" s="107"/>
      <c r="T35" s="76" t="str">
        <f t="shared" si="0"/>
        <v/>
      </c>
      <c r="U35" s="106" t="str">
        <f t="shared" ca="1" si="1"/>
        <v/>
      </c>
      <c r="V35" s="108" t="str">
        <f t="shared" si="2"/>
        <v/>
      </c>
    </row>
    <row r="36" spans="1:22" x14ac:dyDescent="0.25">
      <c r="A36" s="18"/>
      <c r="B36" s="76"/>
      <c r="C36" s="80"/>
      <c r="D36" s="80"/>
      <c r="E36" s="79"/>
      <c r="F36" s="76"/>
      <c r="G36" s="76"/>
      <c r="H36" s="76"/>
      <c r="I36" s="121"/>
      <c r="J36" s="79"/>
      <c r="K36" s="76"/>
      <c r="L36" s="76"/>
      <c r="M36" s="76"/>
      <c r="N36" s="76"/>
      <c r="O36" s="79"/>
      <c r="P36" s="79"/>
      <c r="Q36" s="76"/>
      <c r="R36" s="17"/>
      <c r="S36" s="107"/>
      <c r="T36" s="76" t="str">
        <f t="shared" si="0"/>
        <v/>
      </c>
      <c r="U36" s="106" t="str">
        <f t="shared" ca="1" si="1"/>
        <v/>
      </c>
      <c r="V36" s="108" t="str">
        <f t="shared" si="2"/>
        <v/>
      </c>
    </row>
    <row r="37" spans="1:22" x14ac:dyDescent="0.25">
      <c r="A37" s="18"/>
      <c r="B37" s="76"/>
      <c r="C37" s="80"/>
      <c r="D37" s="80"/>
      <c r="E37" s="79"/>
      <c r="F37" s="76"/>
      <c r="G37" s="76"/>
      <c r="H37" s="76"/>
      <c r="I37" s="121"/>
      <c r="J37" s="79"/>
      <c r="K37" s="76"/>
      <c r="L37" s="76"/>
      <c r="M37" s="76"/>
      <c r="N37" s="76"/>
      <c r="O37" s="79"/>
      <c r="P37" s="79"/>
      <c r="Q37" s="76"/>
      <c r="R37" s="17"/>
      <c r="S37" s="107"/>
      <c r="T37" s="76" t="str">
        <f t="shared" si="0"/>
        <v/>
      </c>
      <c r="U37" s="106" t="str">
        <f t="shared" ca="1" si="1"/>
        <v/>
      </c>
      <c r="V37" s="108" t="str">
        <f t="shared" si="2"/>
        <v/>
      </c>
    </row>
    <row r="38" spans="1:22" x14ac:dyDescent="0.25">
      <c r="A38" s="18"/>
      <c r="B38" s="76"/>
      <c r="C38" s="80"/>
      <c r="D38" s="80"/>
      <c r="E38" s="76"/>
      <c r="F38" s="76"/>
      <c r="G38" s="76"/>
      <c r="H38" s="76"/>
      <c r="I38" s="121"/>
      <c r="J38" s="79"/>
      <c r="K38" s="76"/>
      <c r="L38" s="76"/>
      <c r="M38" s="76"/>
      <c r="N38" s="76"/>
      <c r="O38" s="79"/>
      <c r="P38" s="79"/>
      <c r="Q38" s="76"/>
      <c r="R38" s="17"/>
      <c r="S38" s="107"/>
      <c r="T38" s="76" t="str">
        <f t="shared" si="0"/>
        <v/>
      </c>
      <c r="U38" s="106" t="str">
        <f t="shared" ca="1" si="1"/>
        <v/>
      </c>
      <c r="V38" s="108" t="str">
        <f t="shared" si="2"/>
        <v/>
      </c>
    </row>
    <row r="39" spans="1:22" x14ac:dyDescent="0.25">
      <c r="A39" s="18"/>
      <c r="B39" s="76"/>
      <c r="C39" s="80"/>
      <c r="D39" s="80"/>
      <c r="E39" s="76"/>
      <c r="F39" s="76"/>
      <c r="G39" s="76"/>
      <c r="H39" s="76"/>
      <c r="I39" s="121"/>
      <c r="J39" s="79"/>
      <c r="K39" s="76"/>
      <c r="L39" s="76"/>
      <c r="M39" s="76"/>
      <c r="N39" s="76"/>
      <c r="O39" s="76"/>
      <c r="P39" s="79"/>
      <c r="Q39" s="76"/>
      <c r="R39" s="17"/>
      <c r="S39" s="107"/>
      <c r="T39" s="76" t="str">
        <f t="shared" si="0"/>
        <v/>
      </c>
      <c r="U39" s="106" t="str">
        <f t="shared" ca="1" si="1"/>
        <v/>
      </c>
      <c r="V39" s="108" t="str">
        <f t="shared" si="2"/>
        <v/>
      </c>
    </row>
    <row r="40" spans="1:22" x14ac:dyDescent="0.25">
      <c r="A40" s="18"/>
      <c r="B40" s="76"/>
      <c r="C40" s="80"/>
      <c r="D40" s="80"/>
      <c r="E40" s="76"/>
      <c r="F40" s="76"/>
      <c r="G40" s="76"/>
      <c r="H40" s="76"/>
      <c r="I40" s="121"/>
      <c r="J40" s="79"/>
      <c r="K40" s="79"/>
      <c r="L40" s="76"/>
      <c r="M40" s="76"/>
      <c r="N40" s="76"/>
      <c r="O40" s="76"/>
      <c r="P40" s="79"/>
      <c r="Q40" s="76"/>
      <c r="R40" s="17"/>
      <c r="S40" s="107"/>
      <c r="T40" s="76" t="str">
        <f t="shared" si="0"/>
        <v/>
      </c>
      <c r="U40" s="106" t="str">
        <f t="shared" ca="1" si="1"/>
        <v/>
      </c>
      <c r="V40" s="108" t="str">
        <f t="shared" si="2"/>
        <v/>
      </c>
    </row>
    <row r="41" spans="1:22" x14ac:dyDescent="0.25">
      <c r="A41" s="18"/>
      <c r="B41" s="76"/>
      <c r="C41" s="80"/>
      <c r="D41" s="80"/>
      <c r="E41" s="76"/>
      <c r="F41" s="76"/>
      <c r="G41" s="76"/>
      <c r="H41" s="76"/>
      <c r="I41" s="121"/>
      <c r="J41" s="79"/>
      <c r="K41" s="79"/>
      <c r="L41" s="76"/>
      <c r="M41" s="76"/>
      <c r="N41" s="76"/>
      <c r="O41" s="79"/>
      <c r="P41" s="79"/>
      <c r="Q41" s="76"/>
      <c r="R41" s="17"/>
      <c r="S41" s="107"/>
      <c r="T41" s="76" t="str">
        <f t="shared" si="0"/>
        <v/>
      </c>
      <c r="U41" s="106" t="str">
        <f t="shared" ca="1" si="1"/>
        <v/>
      </c>
      <c r="V41" s="108" t="str">
        <f t="shared" si="2"/>
        <v/>
      </c>
    </row>
    <row r="42" spans="1:22" x14ac:dyDescent="0.25">
      <c r="A42" s="18"/>
      <c r="B42" s="76"/>
      <c r="C42" s="80"/>
      <c r="D42" s="80"/>
      <c r="E42" s="79"/>
      <c r="F42" s="76"/>
      <c r="G42" s="76"/>
      <c r="H42" s="76"/>
      <c r="I42" s="121"/>
      <c r="J42" s="79"/>
      <c r="K42" s="76"/>
      <c r="L42" s="76"/>
      <c r="M42" s="76"/>
      <c r="N42" s="76"/>
      <c r="O42" s="79"/>
      <c r="P42" s="79"/>
      <c r="Q42" s="76"/>
      <c r="R42" s="17"/>
      <c r="S42" s="107"/>
      <c r="T42" s="76" t="str">
        <f t="shared" si="0"/>
        <v/>
      </c>
      <c r="U42" s="106" t="str">
        <f t="shared" ca="1" si="1"/>
        <v/>
      </c>
      <c r="V42" s="108" t="str">
        <f t="shared" si="2"/>
        <v/>
      </c>
    </row>
    <row r="43" spans="1:22" x14ac:dyDescent="0.25">
      <c r="A43" s="18"/>
      <c r="B43" s="76"/>
      <c r="C43" s="80"/>
      <c r="D43" s="80"/>
      <c r="E43" s="79"/>
      <c r="F43" s="76"/>
      <c r="G43" s="76"/>
      <c r="H43" s="76"/>
      <c r="I43" s="121"/>
      <c r="J43" s="79"/>
      <c r="K43" s="76"/>
      <c r="L43" s="76"/>
      <c r="M43" s="76"/>
      <c r="N43" s="76"/>
      <c r="O43" s="79"/>
      <c r="P43" s="79"/>
      <c r="Q43" s="76"/>
      <c r="R43" s="17"/>
      <c r="S43" s="107"/>
      <c r="T43" s="76" t="str">
        <f t="shared" si="0"/>
        <v/>
      </c>
      <c r="U43" s="106" t="str">
        <f t="shared" ca="1" si="1"/>
        <v/>
      </c>
      <c r="V43" s="108" t="str">
        <f t="shared" si="2"/>
        <v/>
      </c>
    </row>
    <row r="44" spans="1:22" x14ac:dyDescent="0.25">
      <c r="A44" s="18"/>
      <c r="B44" s="76"/>
      <c r="C44" s="80"/>
      <c r="D44" s="80"/>
      <c r="E44" s="76"/>
      <c r="F44" s="76"/>
      <c r="G44" s="76"/>
      <c r="H44" s="76"/>
      <c r="I44" s="121"/>
      <c r="J44" s="79"/>
      <c r="K44" s="76"/>
      <c r="L44" s="76"/>
      <c r="M44" s="76"/>
      <c r="N44" s="76"/>
      <c r="O44" s="79"/>
      <c r="P44" s="79"/>
      <c r="Q44" s="76"/>
      <c r="R44" s="17"/>
      <c r="S44" s="107"/>
      <c r="T44" s="76" t="str">
        <f t="shared" si="0"/>
        <v/>
      </c>
      <c r="U44" s="106" t="str">
        <f t="shared" ca="1" si="1"/>
        <v/>
      </c>
      <c r="V44" s="108" t="str">
        <f t="shared" si="2"/>
        <v/>
      </c>
    </row>
    <row r="45" spans="1:22" x14ac:dyDescent="0.25">
      <c r="A45" s="18"/>
      <c r="B45" s="76"/>
      <c r="C45" s="80"/>
      <c r="D45" s="80"/>
      <c r="E45" s="79"/>
      <c r="F45" s="76"/>
      <c r="G45" s="76"/>
      <c r="H45" s="76"/>
      <c r="I45" s="121"/>
      <c r="J45" s="79"/>
      <c r="K45" s="76"/>
      <c r="L45" s="76"/>
      <c r="M45" s="76"/>
      <c r="N45" s="76"/>
      <c r="O45" s="79"/>
      <c r="P45" s="79"/>
      <c r="Q45" s="76"/>
      <c r="R45" s="17"/>
      <c r="S45" s="107"/>
      <c r="T45" s="76" t="str">
        <f t="shared" si="0"/>
        <v/>
      </c>
      <c r="U45" s="106" t="str">
        <f t="shared" ca="1" si="1"/>
        <v/>
      </c>
      <c r="V45" s="108" t="str">
        <f t="shared" si="2"/>
        <v/>
      </c>
    </row>
    <row r="46" spans="1:22" x14ac:dyDescent="0.25">
      <c r="A46" s="18"/>
      <c r="B46" s="76"/>
      <c r="C46" s="80"/>
      <c r="D46" s="80"/>
      <c r="E46" s="76"/>
      <c r="F46" s="76"/>
      <c r="G46" s="76"/>
      <c r="H46" s="76"/>
      <c r="I46" s="121"/>
      <c r="J46" s="79"/>
      <c r="K46" s="76"/>
      <c r="L46" s="76"/>
      <c r="M46" s="76"/>
      <c r="N46" s="76"/>
      <c r="O46" s="79"/>
      <c r="P46" s="79"/>
      <c r="Q46" s="76"/>
      <c r="R46" s="17"/>
      <c r="S46" s="107"/>
      <c r="T46" s="76" t="str">
        <f t="shared" si="0"/>
        <v/>
      </c>
      <c r="U46" s="106" t="str">
        <f t="shared" ca="1" si="1"/>
        <v/>
      </c>
      <c r="V46" s="108" t="str">
        <f t="shared" si="2"/>
        <v/>
      </c>
    </row>
    <row r="47" spans="1:22" x14ac:dyDescent="0.25">
      <c r="A47" s="18"/>
      <c r="B47" s="76"/>
      <c r="C47" s="80"/>
      <c r="D47" s="80"/>
      <c r="E47" s="76"/>
      <c r="F47" s="76"/>
      <c r="G47" s="76"/>
      <c r="H47" s="76"/>
      <c r="I47" s="121"/>
      <c r="J47" s="79"/>
      <c r="K47" s="79"/>
      <c r="L47" s="76"/>
      <c r="M47" s="76"/>
      <c r="N47" s="76"/>
      <c r="O47" s="79"/>
      <c r="P47" s="79"/>
      <c r="Q47" s="76"/>
      <c r="R47" s="17"/>
      <c r="S47" s="107"/>
      <c r="T47" s="76" t="str">
        <f t="shared" si="0"/>
        <v/>
      </c>
      <c r="U47" s="106" t="str">
        <f t="shared" ca="1" si="1"/>
        <v/>
      </c>
      <c r="V47" s="108" t="str">
        <f t="shared" si="2"/>
        <v/>
      </c>
    </row>
    <row r="48" spans="1:22" x14ac:dyDescent="0.25">
      <c r="A48" s="18"/>
      <c r="B48" s="76"/>
      <c r="C48" s="80"/>
      <c r="D48" s="80"/>
      <c r="E48" s="79"/>
      <c r="F48" s="76"/>
      <c r="G48" s="76"/>
      <c r="H48" s="76"/>
      <c r="I48" s="121"/>
      <c r="J48" s="79"/>
      <c r="K48" s="76"/>
      <c r="L48" s="76"/>
      <c r="M48" s="76"/>
      <c r="N48" s="76"/>
      <c r="O48" s="76"/>
      <c r="P48" s="79"/>
      <c r="Q48" s="76"/>
      <c r="R48" s="17"/>
      <c r="S48" s="107"/>
      <c r="T48" s="76" t="str">
        <f t="shared" si="0"/>
        <v/>
      </c>
      <c r="U48" s="106" t="str">
        <f t="shared" ca="1" si="1"/>
        <v/>
      </c>
      <c r="V48" s="108" t="str">
        <f t="shared" si="2"/>
        <v/>
      </c>
    </row>
    <row r="49" spans="1:22" x14ac:dyDescent="0.25">
      <c r="A49" s="18"/>
      <c r="B49" s="76"/>
      <c r="C49" s="80"/>
      <c r="D49" s="80"/>
      <c r="E49" s="76"/>
      <c r="F49" s="76"/>
      <c r="G49" s="76"/>
      <c r="H49" s="76"/>
      <c r="I49" s="121"/>
      <c r="J49" s="79"/>
      <c r="K49" s="79"/>
      <c r="L49" s="76"/>
      <c r="M49" s="76"/>
      <c r="N49" s="76"/>
      <c r="O49" s="79"/>
      <c r="P49" s="79"/>
      <c r="Q49" s="76"/>
      <c r="R49" s="17"/>
      <c r="S49" s="107"/>
      <c r="T49" s="76" t="str">
        <f t="shared" si="0"/>
        <v/>
      </c>
      <c r="U49" s="106" t="str">
        <f t="shared" ca="1" si="1"/>
        <v/>
      </c>
      <c r="V49" s="108" t="str">
        <f t="shared" si="2"/>
        <v/>
      </c>
    </row>
    <row r="50" spans="1:22" x14ac:dyDescent="0.25">
      <c r="A50" s="18"/>
      <c r="B50" s="76"/>
      <c r="C50" s="80"/>
      <c r="D50" s="80"/>
      <c r="E50" s="76"/>
      <c r="F50" s="76"/>
      <c r="G50" s="76"/>
      <c r="H50" s="76"/>
      <c r="I50" s="121"/>
      <c r="J50" s="79"/>
      <c r="K50" s="76"/>
      <c r="L50" s="76"/>
      <c r="M50" s="76"/>
      <c r="N50" s="76"/>
      <c r="O50" s="79"/>
      <c r="P50" s="79"/>
      <c r="Q50" s="76"/>
      <c r="R50" s="17"/>
      <c r="S50" s="107"/>
      <c r="T50" s="76" t="str">
        <f t="shared" si="0"/>
        <v/>
      </c>
      <c r="U50" s="106" t="str">
        <f t="shared" ca="1" si="1"/>
        <v/>
      </c>
      <c r="V50" s="108" t="str">
        <f t="shared" si="2"/>
        <v/>
      </c>
    </row>
    <row r="51" spans="1:22" x14ac:dyDescent="0.25">
      <c r="A51" s="18"/>
      <c r="B51" s="76"/>
      <c r="C51" s="80"/>
      <c r="D51" s="80"/>
      <c r="E51" s="76"/>
      <c r="F51" s="76"/>
      <c r="G51" s="76"/>
      <c r="H51" s="76"/>
      <c r="I51" s="121"/>
      <c r="J51" s="79"/>
      <c r="K51" s="76"/>
      <c r="L51" s="76"/>
      <c r="M51" s="76"/>
      <c r="N51" s="76"/>
      <c r="O51" s="76"/>
      <c r="P51" s="79"/>
      <c r="Q51" s="76"/>
      <c r="R51" s="17"/>
      <c r="S51" s="107"/>
      <c r="T51" s="76" t="str">
        <f t="shared" si="0"/>
        <v/>
      </c>
      <c r="U51" s="106" t="str">
        <f t="shared" ca="1" si="1"/>
        <v/>
      </c>
      <c r="V51" s="108" t="str">
        <f t="shared" si="2"/>
        <v/>
      </c>
    </row>
    <row r="52" spans="1:22" x14ac:dyDescent="0.25">
      <c r="A52" s="18"/>
      <c r="B52" s="76"/>
      <c r="C52" s="80"/>
      <c r="D52" s="80"/>
      <c r="E52" s="79"/>
      <c r="F52" s="76"/>
      <c r="G52" s="76"/>
      <c r="H52" s="76"/>
      <c r="I52" s="121"/>
      <c r="J52" s="79"/>
      <c r="K52" s="76"/>
      <c r="L52" s="76"/>
      <c r="M52" s="76"/>
      <c r="N52" s="76"/>
      <c r="O52" s="76"/>
      <c r="P52" s="76"/>
      <c r="Q52" s="76"/>
      <c r="R52" s="17"/>
      <c r="S52" s="107"/>
      <c r="T52" s="76" t="str">
        <f t="shared" si="0"/>
        <v/>
      </c>
      <c r="U52" s="106" t="str">
        <f t="shared" ca="1" si="1"/>
        <v/>
      </c>
      <c r="V52" s="108" t="str">
        <f t="shared" si="2"/>
        <v/>
      </c>
    </row>
    <row r="53" spans="1:22" x14ac:dyDescent="0.25">
      <c r="A53" s="18"/>
      <c r="B53" s="76"/>
      <c r="C53" s="80"/>
      <c r="D53" s="80"/>
      <c r="E53" s="79"/>
      <c r="F53" s="76"/>
      <c r="G53" s="76"/>
      <c r="H53" s="76"/>
      <c r="I53" s="121"/>
      <c r="J53" s="79"/>
      <c r="K53" s="76"/>
      <c r="L53" s="76"/>
      <c r="M53" s="76"/>
      <c r="N53" s="76"/>
      <c r="O53" s="76"/>
      <c r="P53" s="79"/>
      <c r="Q53" s="76"/>
      <c r="R53" s="17"/>
      <c r="S53" s="107"/>
      <c r="T53" s="76" t="str">
        <f t="shared" si="0"/>
        <v/>
      </c>
      <c r="U53" s="106" t="str">
        <f t="shared" ca="1" si="1"/>
        <v/>
      </c>
      <c r="V53" s="108" t="str">
        <f t="shared" si="2"/>
        <v/>
      </c>
    </row>
    <row r="54" spans="1:22" x14ac:dyDescent="0.25">
      <c r="A54" s="18"/>
      <c r="B54" s="76"/>
      <c r="C54" s="80"/>
      <c r="D54" s="80"/>
      <c r="E54" s="76"/>
      <c r="F54" s="76"/>
      <c r="G54" s="76"/>
      <c r="H54" s="76"/>
      <c r="I54" s="121"/>
      <c r="J54" s="79"/>
      <c r="K54" s="76"/>
      <c r="L54" s="76"/>
      <c r="M54" s="76"/>
      <c r="N54" s="76"/>
      <c r="O54" s="79"/>
      <c r="P54" s="79"/>
      <c r="Q54" s="76"/>
      <c r="R54" s="17"/>
      <c r="S54" s="107"/>
      <c r="T54" s="76" t="str">
        <f t="shared" si="0"/>
        <v/>
      </c>
      <c r="U54" s="106" t="str">
        <f t="shared" ca="1" si="1"/>
        <v/>
      </c>
      <c r="V54" s="108" t="str">
        <f t="shared" si="2"/>
        <v/>
      </c>
    </row>
    <row r="55" spans="1:22" x14ac:dyDescent="0.25">
      <c r="A55" s="18"/>
      <c r="B55" s="76"/>
      <c r="C55" s="80"/>
      <c r="D55" s="80"/>
      <c r="E55" s="76"/>
      <c r="F55" s="76"/>
      <c r="G55" s="76"/>
      <c r="H55" s="76"/>
      <c r="I55" s="121"/>
      <c r="J55" s="79"/>
      <c r="K55" s="79"/>
      <c r="L55" s="76"/>
      <c r="M55" s="76"/>
      <c r="N55" s="76"/>
      <c r="O55" s="79"/>
      <c r="P55" s="79"/>
      <c r="Q55" s="76"/>
      <c r="R55" s="17"/>
      <c r="S55" s="107"/>
      <c r="T55" s="76" t="str">
        <f t="shared" si="0"/>
        <v/>
      </c>
      <c r="U55" s="106" t="str">
        <f t="shared" ca="1" si="1"/>
        <v/>
      </c>
      <c r="V55" s="108" t="str">
        <f t="shared" si="2"/>
        <v/>
      </c>
    </row>
    <row r="56" spans="1:22" x14ac:dyDescent="0.25">
      <c r="A56" s="18"/>
      <c r="B56" s="76"/>
      <c r="C56" s="80"/>
      <c r="D56" s="80"/>
      <c r="E56" s="79"/>
      <c r="F56" s="76"/>
      <c r="G56" s="76"/>
      <c r="H56" s="76"/>
      <c r="I56" s="121"/>
      <c r="J56" s="79"/>
      <c r="K56" s="76"/>
      <c r="L56" s="76"/>
      <c r="M56" s="76"/>
      <c r="N56" s="76"/>
      <c r="O56" s="79"/>
      <c r="P56" s="79"/>
      <c r="Q56" s="76"/>
      <c r="R56" s="17"/>
      <c r="S56" s="107"/>
      <c r="T56" s="76" t="str">
        <f t="shared" si="0"/>
        <v/>
      </c>
      <c r="U56" s="106" t="str">
        <f t="shared" ca="1" si="1"/>
        <v/>
      </c>
      <c r="V56" s="108" t="str">
        <f t="shared" si="2"/>
        <v/>
      </c>
    </row>
    <row r="57" spans="1:22" x14ac:dyDescent="0.25">
      <c r="A57" s="18"/>
      <c r="B57" s="76"/>
      <c r="C57" s="80"/>
      <c r="D57" s="80"/>
      <c r="E57" s="79"/>
      <c r="F57" s="76"/>
      <c r="G57" s="76"/>
      <c r="H57" s="76"/>
      <c r="I57" s="121"/>
      <c r="J57" s="79"/>
      <c r="K57" s="76"/>
      <c r="L57" s="76"/>
      <c r="M57" s="76"/>
      <c r="N57" s="76"/>
      <c r="O57" s="76"/>
      <c r="P57" s="76"/>
      <c r="Q57" s="76"/>
      <c r="R57" s="17"/>
      <c r="S57" s="107"/>
      <c r="T57" s="76" t="str">
        <f t="shared" si="0"/>
        <v/>
      </c>
      <c r="U57" s="106" t="str">
        <f t="shared" ca="1" si="1"/>
        <v/>
      </c>
      <c r="V57" s="108" t="str">
        <f t="shared" si="2"/>
        <v/>
      </c>
    </row>
    <row r="58" spans="1:22" x14ac:dyDescent="0.25">
      <c r="A58" s="18"/>
      <c r="B58" s="76"/>
      <c r="C58" s="80"/>
      <c r="D58" s="80"/>
      <c r="E58" s="76"/>
      <c r="F58" s="76"/>
      <c r="G58" s="76"/>
      <c r="H58" s="76"/>
      <c r="I58" s="121"/>
      <c r="J58" s="79"/>
      <c r="K58" s="76"/>
      <c r="L58" s="76"/>
      <c r="M58" s="76"/>
      <c r="N58" s="76"/>
      <c r="O58" s="79"/>
      <c r="P58" s="79"/>
      <c r="Q58" s="76"/>
      <c r="R58" s="17"/>
      <c r="S58" s="107"/>
      <c r="T58" s="76" t="str">
        <f t="shared" si="0"/>
        <v/>
      </c>
      <c r="U58" s="106" t="str">
        <f t="shared" ca="1" si="1"/>
        <v/>
      </c>
      <c r="V58" s="108" t="str">
        <f t="shared" si="2"/>
        <v/>
      </c>
    </row>
    <row r="59" spans="1:22" x14ac:dyDescent="0.25">
      <c r="A59" s="18"/>
      <c r="B59" s="76"/>
      <c r="C59" s="80"/>
      <c r="D59" s="80"/>
      <c r="E59" s="79"/>
      <c r="F59" s="76"/>
      <c r="G59" s="76"/>
      <c r="H59" s="76"/>
      <c r="I59" s="121"/>
      <c r="J59" s="79"/>
      <c r="K59" s="76"/>
      <c r="L59" s="76"/>
      <c r="M59" s="76"/>
      <c r="N59" s="76"/>
      <c r="O59" s="79"/>
      <c r="P59" s="79"/>
      <c r="Q59" s="76"/>
      <c r="R59" s="17"/>
      <c r="S59" s="107"/>
      <c r="T59" s="76" t="str">
        <f t="shared" si="0"/>
        <v/>
      </c>
      <c r="U59" s="106" t="str">
        <f t="shared" ca="1" si="1"/>
        <v/>
      </c>
      <c r="V59" s="108" t="str">
        <f t="shared" si="2"/>
        <v/>
      </c>
    </row>
    <row r="60" spans="1:22" x14ac:dyDescent="0.25">
      <c r="A60" s="18"/>
      <c r="B60" s="76"/>
      <c r="C60" s="80"/>
      <c r="D60" s="80"/>
      <c r="E60" s="76"/>
      <c r="F60" s="76"/>
      <c r="G60" s="76"/>
      <c r="H60" s="76"/>
      <c r="I60" s="121"/>
      <c r="J60" s="79"/>
      <c r="K60" s="76"/>
      <c r="L60" s="76"/>
      <c r="M60" s="76"/>
      <c r="N60" s="76"/>
      <c r="O60" s="79"/>
      <c r="P60" s="79"/>
      <c r="Q60" s="76"/>
      <c r="R60" s="17"/>
      <c r="S60" s="107"/>
      <c r="T60" s="76" t="str">
        <f t="shared" si="0"/>
        <v/>
      </c>
      <c r="U60" s="106" t="str">
        <f t="shared" ca="1" si="1"/>
        <v/>
      </c>
      <c r="V60" s="108" t="str">
        <f t="shared" si="2"/>
        <v/>
      </c>
    </row>
    <row r="61" spans="1:22" x14ac:dyDescent="0.25">
      <c r="A61" s="18"/>
      <c r="B61" s="76"/>
      <c r="C61" s="80"/>
      <c r="D61" s="80"/>
      <c r="E61" s="76"/>
      <c r="F61" s="76"/>
      <c r="G61" s="76"/>
      <c r="H61" s="76"/>
      <c r="I61" s="121"/>
      <c r="J61" s="79"/>
      <c r="K61" s="76"/>
      <c r="L61" s="76"/>
      <c r="M61" s="76"/>
      <c r="N61" s="76"/>
      <c r="O61" s="79"/>
      <c r="P61" s="79"/>
      <c r="Q61" s="76"/>
      <c r="R61" s="17"/>
      <c r="S61" s="107"/>
      <c r="T61" s="76" t="str">
        <f t="shared" si="0"/>
        <v/>
      </c>
      <c r="U61" s="106" t="str">
        <f t="shared" ca="1" si="1"/>
        <v/>
      </c>
      <c r="V61" s="108" t="str">
        <f t="shared" si="2"/>
        <v/>
      </c>
    </row>
    <row r="62" spans="1:22" x14ac:dyDescent="0.25">
      <c r="A62" s="18"/>
      <c r="B62" s="76"/>
      <c r="C62" s="80"/>
      <c r="D62" s="80"/>
      <c r="E62" s="76"/>
      <c r="F62" s="76"/>
      <c r="G62" s="76"/>
      <c r="H62" s="76"/>
      <c r="I62" s="121"/>
      <c r="J62" s="79"/>
      <c r="K62" s="76"/>
      <c r="L62" s="76"/>
      <c r="M62" s="76"/>
      <c r="N62" s="76"/>
      <c r="O62" s="76"/>
      <c r="P62" s="76"/>
      <c r="Q62" s="76"/>
      <c r="R62" s="17"/>
      <c r="S62" s="107"/>
      <c r="T62" s="76" t="str">
        <f t="shared" si="0"/>
        <v/>
      </c>
      <c r="U62" s="106" t="str">
        <f t="shared" ca="1" si="1"/>
        <v/>
      </c>
      <c r="V62" s="108" t="str">
        <f t="shared" si="2"/>
        <v/>
      </c>
    </row>
    <row r="63" spans="1:22" x14ac:dyDescent="0.25">
      <c r="A63" s="18"/>
      <c r="B63" s="76"/>
      <c r="C63" s="80"/>
      <c r="D63" s="80"/>
      <c r="E63" s="76"/>
      <c r="F63" s="76"/>
      <c r="G63" s="76"/>
      <c r="H63" s="76"/>
      <c r="I63" s="121"/>
      <c r="J63" s="79"/>
      <c r="K63" s="76"/>
      <c r="L63" s="76"/>
      <c r="M63" s="76"/>
      <c r="N63" s="76"/>
      <c r="O63" s="79"/>
      <c r="P63" s="79"/>
      <c r="Q63" s="76"/>
      <c r="R63" s="17"/>
      <c r="S63" s="107"/>
      <c r="T63" s="76" t="str">
        <f t="shared" si="0"/>
        <v/>
      </c>
      <c r="U63" s="106" t="str">
        <f t="shared" ca="1" si="1"/>
        <v/>
      </c>
      <c r="V63" s="108" t="str">
        <f t="shared" si="2"/>
        <v/>
      </c>
    </row>
    <row r="64" spans="1:22" x14ac:dyDescent="0.25">
      <c r="A64" s="18"/>
      <c r="B64" s="76"/>
      <c r="C64" s="80"/>
      <c r="D64" s="80"/>
      <c r="E64" s="76"/>
      <c r="F64" s="76"/>
      <c r="G64" s="76"/>
      <c r="H64" s="76"/>
      <c r="I64" s="121"/>
      <c r="J64" s="79"/>
      <c r="K64" s="76"/>
      <c r="L64" s="76"/>
      <c r="M64" s="76"/>
      <c r="N64" s="76"/>
      <c r="O64" s="79"/>
      <c r="P64" s="79"/>
      <c r="Q64" s="76"/>
      <c r="R64" s="17"/>
      <c r="S64" s="107"/>
      <c r="T64" s="76" t="str">
        <f t="shared" si="0"/>
        <v/>
      </c>
      <c r="U64" s="106" t="str">
        <f t="shared" ca="1" si="1"/>
        <v/>
      </c>
      <c r="V64" s="108" t="str">
        <f t="shared" si="2"/>
        <v/>
      </c>
    </row>
    <row r="65" spans="1:22" x14ac:dyDescent="0.25">
      <c r="A65" s="18"/>
      <c r="B65" s="76"/>
      <c r="C65" s="80"/>
      <c r="D65" s="80"/>
      <c r="E65" s="76"/>
      <c r="F65" s="76"/>
      <c r="G65" s="76"/>
      <c r="H65" s="76"/>
      <c r="I65" s="121"/>
      <c r="J65" s="79"/>
      <c r="K65" s="76"/>
      <c r="L65" s="76"/>
      <c r="M65" s="76"/>
      <c r="N65" s="76"/>
      <c r="O65" s="79"/>
      <c r="P65" s="79"/>
      <c r="Q65" s="76"/>
      <c r="R65" s="17"/>
      <c r="S65" s="107"/>
      <c r="T65" s="76" t="str">
        <f t="shared" si="0"/>
        <v/>
      </c>
      <c r="U65" s="106" t="str">
        <f t="shared" ca="1" si="1"/>
        <v/>
      </c>
      <c r="V65" s="108" t="str">
        <f t="shared" si="2"/>
        <v/>
      </c>
    </row>
    <row r="66" spans="1:22" x14ac:dyDescent="0.25">
      <c r="A66" s="18"/>
      <c r="B66" s="76"/>
      <c r="C66" s="80"/>
      <c r="D66" s="80"/>
      <c r="E66" s="79"/>
      <c r="F66" s="76"/>
      <c r="G66" s="76"/>
      <c r="H66" s="76"/>
      <c r="I66" s="121"/>
      <c r="J66" s="79"/>
      <c r="K66" s="76"/>
      <c r="L66" s="76"/>
      <c r="M66" s="76"/>
      <c r="N66" s="76"/>
      <c r="O66" s="79"/>
      <c r="P66" s="79"/>
      <c r="Q66" s="76"/>
      <c r="R66" s="17"/>
      <c r="S66" s="107"/>
      <c r="T66" s="76" t="str">
        <f t="shared" si="0"/>
        <v/>
      </c>
      <c r="U66" s="106" t="str">
        <f t="shared" ref="U66:U129" ca="1" si="3">IF(ISNUMBER(C66), C66 - TODAY(), "")</f>
        <v/>
      </c>
      <c r="V66" s="108" t="str">
        <f t="shared" ref="V66:V129" si="4">IF(AND(C66&gt;=DATE(2025,1,26),C66&lt;=DATE(2025,1,31)),"Arab Health",
IF(AND(C66&gt;=DATE(2025,2,16),C66&lt;=DATE(2025,2,21)),"Gulf Food",
IF(AND(C66&gt;=DATE(2025,3,1),C66&lt;=DATE(2025,3,29)),"Ramadan",
IF(AND(C66&gt;=DATE(2025,3,30),C66&lt;=DATE(2025,4,2)),"Eid Al Fitr",
IF(AND(C66&gt;=DATE(2025,6,6),C66&lt;=DATE(2025,6,9)),"Eid Al Adha",
IF(AND(C66&gt;=DATE(2025,10,12),C66&lt;=DATE(2025,10,17)),"GITEX",
IF(AND(C66&gt;=DATE(2025,11,3),C66&lt;=DATE(2025,11,7)),"Gulf Food Manufacturing",
IF(AND(C66&gt;=DATE(2025,11,16),C66&lt;=DATE(2025,11,21)),"Air Show",
IF(AND(C66&gt;=DATE(2025,11,23),C66&lt;=DATE(2025,11,28)),"Big 5",
IF(AND(C66&gt;=DATE(2025,11,29),C66&lt;=DATE(2025,12,2)),"National Day Holidays",
IF(AND(C66&gt;=DATE(2025,12,4),C66&lt;=DATE(2025,12,7)),"F1 Yas Island",
IF(AND(C66&gt;=DATE(2025,12,26),C66&lt;=DATE(2025,12,31)),"New Year's Eve",""))))))))))))</f>
        <v/>
      </c>
    </row>
    <row r="67" spans="1:22" x14ac:dyDescent="0.25">
      <c r="A67" s="18"/>
      <c r="B67" s="76"/>
      <c r="C67" s="80"/>
      <c r="D67" s="80"/>
      <c r="E67" s="76"/>
      <c r="F67" s="76"/>
      <c r="G67" s="76"/>
      <c r="H67" s="76"/>
      <c r="I67" s="121"/>
      <c r="J67" s="79"/>
      <c r="K67" s="76"/>
      <c r="L67" s="76"/>
      <c r="M67" s="76"/>
      <c r="N67" s="76"/>
      <c r="O67" s="79"/>
      <c r="P67" s="79"/>
      <c r="Q67" s="76"/>
      <c r="R67" s="17"/>
      <c r="S67" s="107"/>
      <c r="T67" s="76" t="str">
        <f t="shared" ref="T67:T130" si="5">IF(OR(AND(ISNUMBER(C67), OR(MONTH(C67)&lt;=4, MONTH(C67)&gt;=10)), AND(ISNUMBER(D67), OR(MONTH(D67)&lt;=4, MONTH(D67)&gt;=10))), "Winter", IF(OR(AND(ISNUMBER(C67), MONTH(C67)&gt;=5, MONTH(C67)&lt;=9), AND(ISNUMBER(D67), MONTH(D67)&gt;=5, MONTH(D67)&lt;=9)), "Summer", ""))</f>
        <v/>
      </c>
      <c r="U67" s="106" t="str">
        <f t="shared" ca="1" si="3"/>
        <v/>
      </c>
      <c r="V67" s="108" t="str">
        <f t="shared" si="4"/>
        <v/>
      </c>
    </row>
    <row r="68" spans="1:22" x14ac:dyDescent="0.25">
      <c r="A68" s="18"/>
      <c r="B68" s="76"/>
      <c r="C68" s="80"/>
      <c r="D68" s="80"/>
      <c r="E68" s="76"/>
      <c r="F68" s="76"/>
      <c r="G68" s="76"/>
      <c r="H68" s="76"/>
      <c r="I68" s="121"/>
      <c r="J68" s="79"/>
      <c r="K68" s="76"/>
      <c r="L68" s="76"/>
      <c r="M68" s="76"/>
      <c r="N68" s="76"/>
      <c r="O68" s="79"/>
      <c r="P68" s="79"/>
      <c r="Q68" s="76"/>
      <c r="R68" s="17"/>
      <c r="S68" s="107"/>
      <c r="T68" s="76" t="str">
        <f t="shared" si="5"/>
        <v/>
      </c>
      <c r="U68" s="106" t="str">
        <f t="shared" ca="1" si="3"/>
        <v/>
      </c>
      <c r="V68" s="108" t="str">
        <f t="shared" si="4"/>
        <v/>
      </c>
    </row>
    <row r="69" spans="1:22" x14ac:dyDescent="0.25">
      <c r="A69" s="18"/>
      <c r="B69" s="76"/>
      <c r="C69" s="80"/>
      <c r="D69" s="80"/>
      <c r="E69" s="79"/>
      <c r="F69" s="76"/>
      <c r="G69" s="76"/>
      <c r="H69" s="76"/>
      <c r="I69" s="121"/>
      <c r="J69" s="79"/>
      <c r="K69" s="76"/>
      <c r="L69" s="76"/>
      <c r="M69" s="76"/>
      <c r="N69" s="76"/>
      <c r="O69" s="79"/>
      <c r="P69" s="79"/>
      <c r="Q69" s="76"/>
      <c r="R69" s="17"/>
      <c r="S69" s="107"/>
      <c r="T69" s="76" t="str">
        <f t="shared" si="5"/>
        <v/>
      </c>
      <c r="U69" s="106" t="str">
        <f t="shared" ca="1" si="3"/>
        <v/>
      </c>
      <c r="V69" s="108" t="str">
        <f t="shared" si="4"/>
        <v/>
      </c>
    </row>
    <row r="70" spans="1:22" x14ac:dyDescent="0.25">
      <c r="A70" s="18"/>
      <c r="B70" s="76"/>
      <c r="C70" s="80"/>
      <c r="D70" s="80"/>
      <c r="E70" s="76"/>
      <c r="F70" s="76"/>
      <c r="G70" s="76"/>
      <c r="H70" s="76"/>
      <c r="I70" s="121"/>
      <c r="J70" s="79"/>
      <c r="K70" s="79"/>
      <c r="L70" s="76"/>
      <c r="M70" s="76"/>
      <c r="N70" s="76"/>
      <c r="O70" s="79"/>
      <c r="P70" s="79"/>
      <c r="Q70" s="76"/>
      <c r="R70" s="17"/>
      <c r="S70" s="107"/>
      <c r="T70" s="76" t="str">
        <f t="shared" si="5"/>
        <v/>
      </c>
      <c r="U70" s="106" t="str">
        <f t="shared" ca="1" si="3"/>
        <v/>
      </c>
      <c r="V70" s="108" t="str">
        <f t="shared" si="4"/>
        <v/>
      </c>
    </row>
    <row r="71" spans="1:22" x14ac:dyDescent="0.25">
      <c r="A71" s="18"/>
      <c r="B71" s="76"/>
      <c r="C71" s="80"/>
      <c r="D71" s="80"/>
      <c r="E71" s="79"/>
      <c r="F71" s="76"/>
      <c r="G71" s="76"/>
      <c r="H71" s="76"/>
      <c r="I71" s="121"/>
      <c r="J71" s="79"/>
      <c r="K71" s="76"/>
      <c r="L71" s="76"/>
      <c r="M71" s="76"/>
      <c r="N71" s="76"/>
      <c r="O71" s="79"/>
      <c r="P71" s="79"/>
      <c r="Q71" s="76"/>
      <c r="R71" s="17"/>
      <c r="S71" s="107"/>
      <c r="T71" s="76" t="str">
        <f t="shared" si="5"/>
        <v/>
      </c>
      <c r="U71" s="106" t="str">
        <f t="shared" ca="1" si="3"/>
        <v/>
      </c>
      <c r="V71" s="108" t="str">
        <f t="shared" si="4"/>
        <v/>
      </c>
    </row>
    <row r="72" spans="1:22" x14ac:dyDescent="0.25">
      <c r="A72" s="18"/>
      <c r="B72" s="76"/>
      <c r="C72" s="80"/>
      <c r="D72" s="80"/>
      <c r="E72" s="79"/>
      <c r="F72" s="76"/>
      <c r="G72" s="76"/>
      <c r="H72" s="76"/>
      <c r="I72" s="121"/>
      <c r="J72" s="79"/>
      <c r="K72" s="76"/>
      <c r="L72" s="76"/>
      <c r="M72" s="76"/>
      <c r="N72" s="76"/>
      <c r="O72" s="79"/>
      <c r="P72" s="79"/>
      <c r="Q72" s="76"/>
      <c r="R72" s="17"/>
      <c r="S72" s="107"/>
      <c r="T72" s="76" t="str">
        <f t="shared" si="5"/>
        <v/>
      </c>
      <c r="U72" s="106" t="str">
        <f t="shared" ca="1" si="3"/>
        <v/>
      </c>
      <c r="V72" s="108" t="str">
        <f t="shared" si="4"/>
        <v/>
      </c>
    </row>
    <row r="73" spans="1:22" x14ac:dyDescent="0.25">
      <c r="A73" s="18"/>
      <c r="B73" s="76"/>
      <c r="C73" s="80"/>
      <c r="D73" s="80"/>
      <c r="E73" s="79"/>
      <c r="F73" s="76"/>
      <c r="G73" s="76"/>
      <c r="H73" s="76"/>
      <c r="I73" s="121"/>
      <c r="J73" s="79"/>
      <c r="K73" s="76"/>
      <c r="L73" s="76"/>
      <c r="M73" s="76"/>
      <c r="N73" s="76"/>
      <c r="O73" s="79"/>
      <c r="P73" s="79"/>
      <c r="Q73" s="76"/>
      <c r="R73" s="17"/>
      <c r="S73" s="107"/>
      <c r="T73" s="76" t="str">
        <f t="shared" si="5"/>
        <v/>
      </c>
      <c r="U73" s="106" t="str">
        <f t="shared" ca="1" si="3"/>
        <v/>
      </c>
      <c r="V73" s="108" t="str">
        <f t="shared" si="4"/>
        <v/>
      </c>
    </row>
    <row r="74" spans="1:22" x14ac:dyDescent="0.25">
      <c r="A74" s="18"/>
      <c r="B74" s="76"/>
      <c r="C74" s="80"/>
      <c r="D74" s="80"/>
      <c r="E74" s="79"/>
      <c r="F74" s="76"/>
      <c r="G74" s="76"/>
      <c r="H74" s="76"/>
      <c r="I74" s="121"/>
      <c r="J74" s="79"/>
      <c r="K74" s="76"/>
      <c r="L74" s="76"/>
      <c r="M74" s="76"/>
      <c r="N74" s="76"/>
      <c r="O74" s="79"/>
      <c r="P74" s="79"/>
      <c r="Q74" s="76"/>
      <c r="R74" s="17"/>
      <c r="S74" s="107"/>
      <c r="T74" s="76" t="str">
        <f t="shared" si="5"/>
        <v/>
      </c>
      <c r="U74" s="106" t="str">
        <f t="shared" ca="1" si="3"/>
        <v/>
      </c>
      <c r="V74" s="108" t="str">
        <f t="shared" si="4"/>
        <v/>
      </c>
    </row>
    <row r="75" spans="1:22" x14ac:dyDescent="0.25">
      <c r="A75" s="18"/>
      <c r="B75" s="76"/>
      <c r="C75" s="80"/>
      <c r="D75" s="80"/>
      <c r="E75" s="76"/>
      <c r="F75" s="76"/>
      <c r="G75" s="76"/>
      <c r="H75" s="76"/>
      <c r="I75" s="121"/>
      <c r="J75" s="79"/>
      <c r="K75" s="76"/>
      <c r="L75" s="76"/>
      <c r="M75" s="76"/>
      <c r="N75" s="76"/>
      <c r="O75" s="79"/>
      <c r="P75" s="79"/>
      <c r="Q75" s="76"/>
      <c r="R75" s="17"/>
      <c r="S75" s="107"/>
      <c r="T75" s="76" t="str">
        <f t="shared" si="5"/>
        <v/>
      </c>
      <c r="U75" s="106" t="str">
        <f t="shared" ca="1" si="3"/>
        <v/>
      </c>
      <c r="V75" s="108" t="str">
        <f t="shared" si="4"/>
        <v/>
      </c>
    </row>
    <row r="76" spans="1:22" x14ac:dyDescent="0.25">
      <c r="A76" s="18"/>
      <c r="B76" s="76"/>
      <c r="C76" s="80"/>
      <c r="D76" s="80"/>
      <c r="E76" s="76"/>
      <c r="F76" s="76"/>
      <c r="G76" s="76"/>
      <c r="H76" s="76"/>
      <c r="I76" s="121"/>
      <c r="J76" s="79"/>
      <c r="K76" s="76"/>
      <c r="L76" s="76"/>
      <c r="M76" s="76"/>
      <c r="N76" s="76"/>
      <c r="O76" s="79"/>
      <c r="P76" s="79"/>
      <c r="Q76" s="76"/>
      <c r="R76" s="17"/>
      <c r="S76" s="107"/>
      <c r="T76" s="76" t="str">
        <f t="shared" si="5"/>
        <v/>
      </c>
      <c r="U76" s="106" t="str">
        <f t="shared" ca="1" si="3"/>
        <v/>
      </c>
      <c r="V76" s="108" t="str">
        <f t="shared" si="4"/>
        <v/>
      </c>
    </row>
    <row r="77" spans="1:22" x14ac:dyDescent="0.25">
      <c r="A77" s="18"/>
      <c r="B77" s="76"/>
      <c r="C77" s="80"/>
      <c r="D77" s="80"/>
      <c r="E77" s="76"/>
      <c r="F77" s="76"/>
      <c r="G77" s="76"/>
      <c r="H77" s="76"/>
      <c r="I77" s="121"/>
      <c r="J77" s="79"/>
      <c r="K77" s="76"/>
      <c r="L77" s="76"/>
      <c r="M77" s="76"/>
      <c r="N77" s="76"/>
      <c r="O77" s="79"/>
      <c r="P77" s="79"/>
      <c r="Q77" s="76"/>
      <c r="R77" s="17"/>
      <c r="S77" s="107"/>
      <c r="T77" s="76" t="str">
        <f t="shared" si="5"/>
        <v/>
      </c>
      <c r="U77" s="106" t="str">
        <f t="shared" ca="1" si="3"/>
        <v/>
      </c>
      <c r="V77" s="108" t="str">
        <f t="shared" si="4"/>
        <v/>
      </c>
    </row>
    <row r="78" spans="1:22" x14ac:dyDescent="0.25">
      <c r="A78" s="18"/>
      <c r="B78" s="76"/>
      <c r="C78" s="80"/>
      <c r="D78" s="80"/>
      <c r="E78" s="79"/>
      <c r="F78" s="76"/>
      <c r="G78" s="76"/>
      <c r="H78" s="76"/>
      <c r="I78" s="121"/>
      <c r="J78" s="79"/>
      <c r="K78" s="76"/>
      <c r="L78" s="76"/>
      <c r="M78" s="76"/>
      <c r="N78" s="76"/>
      <c r="O78" s="79"/>
      <c r="P78" s="79"/>
      <c r="Q78" s="119"/>
      <c r="R78" s="17"/>
      <c r="S78" s="107"/>
      <c r="T78" s="76" t="str">
        <f t="shared" si="5"/>
        <v/>
      </c>
      <c r="U78" s="106" t="str">
        <f t="shared" ca="1" si="3"/>
        <v/>
      </c>
      <c r="V78" s="108" t="str">
        <f t="shared" si="4"/>
        <v/>
      </c>
    </row>
    <row r="79" spans="1:22" x14ac:dyDescent="0.25">
      <c r="A79" s="18"/>
      <c r="B79" s="76"/>
      <c r="C79" s="80"/>
      <c r="D79" s="80"/>
      <c r="E79" s="79"/>
      <c r="F79" s="76"/>
      <c r="G79" s="76"/>
      <c r="H79" s="76"/>
      <c r="I79" s="121"/>
      <c r="J79" s="79"/>
      <c r="K79" s="76"/>
      <c r="L79" s="76"/>
      <c r="M79" s="76"/>
      <c r="N79" s="76"/>
      <c r="O79" s="79"/>
      <c r="P79" s="79"/>
      <c r="Q79" s="76"/>
      <c r="R79" s="17"/>
      <c r="S79" s="107"/>
      <c r="T79" s="76" t="str">
        <f t="shared" si="5"/>
        <v/>
      </c>
      <c r="U79" s="106" t="str">
        <f t="shared" ca="1" si="3"/>
        <v/>
      </c>
      <c r="V79" s="108" t="str">
        <f t="shared" si="4"/>
        <v/>
      </c>
    </row>
    <row r="80" spans="1:22" x14ac:dyDescent="0.25">
      <c r="A80" s="18"/>
      <c r="B80" s="76"/>
      <c r="C80" s="80"/>
      <c r="D80" s="80"/>
      <c r="E80" s="79"/>
      <c r="F80" s="76"/>
      <c r="G80" s="76"/>
      <c r="H80" s="76"/>
      <c r="I80" s="121"/>
      <c r="J80" s="79"/>
      <c r="K80" s="76"/>
      <c r="L80" s="76"/>
      <c r="M80" s="76"/>
      <c r="N80" s="76"/>
      <c r="O80" s="79"/>
      <c r="P80" s="79"/>
      <c r="Q80" s="76"/>
      <c r="R80" s="17"/>
      <c r="S80" s="107"/>
      <c r="T80" s="76" t="str">
        <f t="shared" si="5"/>
        <v/>
      </c>
      <c r="U80" s="106" t="str">
        <f t="shared" ca="1" si="3"/>
        <v/>
      </c>
      <c r="V80" s="108" t="str">
        <f t="shared" si="4"/>
        <v/>
      </c>
    </row>
    <row r="81" spans="1:22" x14ac:dyDescent="0.25">
      <c r="A81" s="18"/>
      <c r="B81" s="76"/>
      <c r="C81" s="80"/>
      <c r="D81" s="80"/>
      <c r="E81" s="76"/>
      <c r="F81" s="76"/>
      <c r="G81" s="76"/>
      <c r="H81" s="76"/>
      <c r="I81" s="121"/>
      <c r="J81" s="79"/>
      <c r="K81" s="76"/>
      <c r="L81" s="76"/>
      <c r="M81" s="76"/>
      <c r="N81" s="76"/>
      <c r="O81" s="79"/>
      <c r="P81" s="79"/>
      <c r="Q81" s="76"/>
      <c r="R81" s="17"/>
      <c r="S81" s="107"/>
      <c r="T81" s="76" t="str">
        <f t="shared" si="5"/>
        <v/>
      </c>
      <c r="U81" s="106" t="str">
        <f t="shared" ca="1" si="3"/>
        <v/>
      </c>
      <c r="V81" s="108" t="str">
        <f t="shared" si="4"/>
        <v/>
      </c>
    </row>
    <row r="82" spans="1:22" x14ac:dyDescent="0.25">
      <c r="A82" s="18"/>
      <c r="B82" s="76"/>
      <c r="C82" s="80"/>
      <c r="D82" s="80"/>
      <c r="E82" s="79"/>
      <c r="F82" s="76"/>
      <c r="G82" s="76"/>
      <c r="H82" s="76"/>
      <c r="I82" s="121"/>
      <c r="J82" s="79"/>
      <c r="K82" s="76"/>
      <c r="L82" s="76"/>
      <c r="M82" s="76"/>
      <c r="N82" s="76"/>
      <c r="O82" s="79"/>
      <c r="P82" s="79"/>
      <c r="Q82" s="76"/>
      <c r="R82" s="17"/>
      <c r="S82" s="107"/>
      <c r="T82" s="76" t="str">
        <f t="shared" si="5"/>
        <v/>
      </c>
      <c r="U82" s="106" t="str">
        <f t="shared" ca="1" si="3"/>
        <v/>
      </c>
      <c r="V82" s="108" t="str">
        <f t="shared" si="4"/>
        <v/>
      </c>
    </row>
    <row r="83" spans="1:22" x14ac:dyDescent="0.25">
      <c r="A83" s="18"/>
      <c r="B83" s="76"/>
      <c r="C83" s="80"/>
      <c r="D83" s="80"/>
      <c r="E83" s="79"/>
      <c r="F83" s="76"/>
      <c r="G83" s="76"/>
      <c r="H83" s="76"/>
      <c r="I83" s="121"/>
      <c r="J83" s="79"/>
      <c r="K83" s="76"/>
      <c r="L83" s="76"/>
      <c r="M83" s="76"/>
      <c r="N83" s="76"/>
      <c r="O83" s="79"/>
      <c r="P83" s="79"/>
      <c r="Q83" s="76"/>
      <c r="R83" s="17"/>
      <c r="S83" s="107"/>
      <c r="T83" s="76" t="str">
        <f t="shared" si="5"/>
        <v/>
      </c>
      <c r="U83" s="106" t="str">
        <f t="shared" ca="1" si="3"/>
        <v/>
      </c>
      <c r="V83" s="108" t="str">
        <f t="shared" si="4"/>
        <v/>
      </c>
    </row>
    <row r="84" spans="1:22" x14ac:dyDescent="0.25">
      <c r="A84" s="18"/>
      <c r="B84" s="76"/>
      <c r="C84" s="80"/>
      <c r="D84" s="80"/>
      <c r="E84" s="76"/>
      <c r="F84" s="76"/>
      <c r="G84" s="76"/>
      <c r="H84" s="76"/>
      <c r="I84" s="121"/>
      <c r="J84" s="79"/>
      <c r="K84" s="76"/>
      <c r="L84" s="76"/>
      <c r="M84" s="76"/>
      <c r="N84" s="76"/>
      <c r="O84" s="79"/>
      <c r="P84" s="79"/>
      <c r="Q84" s="76"/>
      <c r="R84" s="17"/>
      <c r="S84" s="107"/>
      <c r="T84" s="76" t="str">
        <f t="shared" si="5"/>
        <v/>
      </c>
      <c r="U84" s="106" t="str">
        <f t="shared" ca="1" si="3"/>
        <v/>
      </c>
      <c r="V84" s="108" t="str">
        <f t="shared" si="4"/>
        <v/>
      </c>
    </row>
    <row r="85" spans="1:22" x14ac:dyDescent="0.25">
      <c r="A85" s="18"/>
      <c r="B85" s="76"/>
      <c r="C85" s="80"/>
      <c r="D85" s="80"/>
      <c r="E85" s="79"/>
      <c r="F85" s="76"/>
      <c r="G85" s="76"/>
      <c r="H85" s="76"/>
      <c r="I85" s="121"/>
      <c r="J85" s="79"/>
      <c r="K85" s="76"/>
      <c r="L85" s="76"/>
      <c r="M85" s="76"/>
      <c r="N85" s="76"/>
      <c r="O85" s="79"/>
      <c r="P85" s="79"/>
      <c r="Q85" s="76"/>
      <c r="R85" s="17"/>
      <c r="S85" s="107"/>
      <c r="T85" s="76" t="str">
        <f t="shared" si="5"/>
        <v/>
      </c>
      <c r="U85" s="106" t="str">
        <f t="shared" ca="1" si="3"/>
        <v/>
      </c>
      <c r="V85" s="108" t="str">
        <f t="shared" si="4"/>
        <v/>
      </c>
    </row>
    <row r="86" spans="1:22" x14ac:dyDescent="0.25">
      <c r="A86" s="18"/>
      <c r="B86" s="76"/>
      <c r="C86" s="80"/>
      <c r="D86" s="80"/>
      <c r="E86" s="76"/>
      <c r="F86" s="76"/>
      <c r="G86" s="76"/>
      <c r="H86" s="76"/>
      <c r="I86" s="121"/>
      <c r="J86" s="79"/>
      <c r="K86" s="76"/>
      <c r="L86" s="76"/>
      <c r="M86" s="76"/>
      <c r="N86" s="76"/>
      <c r="O86" s="76"/>
      <c r="P86" s="76"/>
      <c r="Q86" s="76"/>
      <c r="R86" s="17"/>
      <c r="S86" s="107"/>
      <c r="T86" s="76" t="str">
        <f t="shared" si="5"/>
        <v/>
      </c>
      <c r="U86" s="106" t="str">
        <f t="shared" ca="1" si="3"/>
        <v/>
      </c>
      <c r="V86" s="108" t="str">
        <f t="shared" si="4"/>
        <v/>
      </c>
    </row>
    <row r="87" spans="1:22" x14ac:dyDescent="0.25">
      <c r="A87" s="18"/>
      <c r="B87" s="76"/>
      <c r="C87" s="80"/>
      <c r="D87" s="80"/>
      <c r="E87" s="76"/>
      <c r="F87" s="76"/>
      <c r="G87" s="76"/>
      <c r="H87" s="76"/>
      <c r="I87" s="121"/>
      <c r="J87" s="79"/>
      <c r="K87" s="76"/>
      <c r="L87" s="76"/>
      <c r="M87" s="76"/>
      <c r="N87" s="76"/>
      <c r="O87" s="76"/>
      <c r="P87" s="76"/>
      <c r="Q87" s="76"/>
      <c r="R87" s="17"/>
      <c r="S87" s="107"/>
      <c r="T87" s="76" t="str">
        <f t="shared" si="5"/>
        <v/>
      </c>
      <c r="U87" s="106" t="str">
        <f t="shared" ca="1" si="3"/>
        <v/>
      </c>
      <c r="V87" s="108" t="str">
        <f t="shared" si="4"/>
        <v/>
      </c>
    </row>
    <row r="88" spans="1:22" x14ac:dyDescent="0.25">
      <c r="A88" s="18"/>
      <c r="B88" s="76"/>
      <c r="C88" s="80"/>
      <c r="D88" s="80"/>
      <c r="E88" s="79"/>
      <c r="F88" s="76"/>
      <c r="G88" s="76"/>
      <c r="H88" s="76"/>
      <c r="I88" s="121"/>
      <c r="J88" s="79"/>
      <c r="K88" s="76"/>
      <c r="L88" s="76"/>
      <c r="M88" s="76"/>
      <c r="N88" s="76"/>
      <c r="O88" s="76"/>
      <c r="P88" s="76"/>
      <c r="Q88" s="76"/>
      <c r="R88" s="17"/>
      <c r="S88" s="107"/>
      <c r="T88" s="76" t="str">
        <f t="shared" si="5"/>
        <v/>
      </c>
      <c r="U88" s="106" t="str">
        <f t="shared" ca="1" si="3"/>
        <v/>
      </c>
      <c r="V88" s="108" t="str">
        <f t="shared" si="4"/>
        <v/>
      </c>
    </row>
    <row r="89" spans="1:22" x14ac:dyDescent="0.25">
      <c r="A89" s="18"/>
      <c r="B89" s="76"/>
      <c r="C89" s="80"/>
      <c r="D89" s="80"/>
      <c r="E89" s="76"/>
      <c r="F89" s="76"/>
      <c r="G89" s="76"/>
      <c r="H89" s="76"/>
      <c r="I89" s="121"/>
      <c r="J89" s="79"/>
      <c r="K89" s="79"/>
      <c r="L89" s="76"/>
      <c r="M89" s="76"/>
      <c r="N89" s="76"/>
      <c r="O89" s="76"/>
      <c r="P89" s="76"/>
      <c r="Q89" s="76"/>
      <c r="R89" s="17"/>
      <c r="S89" s="107"/>
      <c r="T89" s="76" t="str">
        <f t="shared" si="5"/>
        <v/>
      </c>
      <c r="U89" s="106" t="str">
        <f t="shared" ca="1" si="3"/>
        <v/>
      </c>
      <c r="V89" s="108" t="str">
        <f t="shared" si="4"/>
        <v/>
      </c>
    </row>
    <row r="90" spans="1:22" x14ac:dyDescent="0.25">
      <c r="A90" s="18"/>
      <c r="B90" s="76"/>
      <c r="C90" s="80"/>
      <c r="D90" s="80"/>
      <c r="E90" s="76"/>
      <c r="F90" s="76"/>
      <c r="G90" s="76"/>
      <c r="H90" s="76"/>
      <c r="I90" s="121"/>
      <c r="J90" s="79"/>
      <c r="K90" s="76"/>
      <c r="L90" s="76"/>
      <c r="M90" s="76"/>
      <c r="N90" s="76"/>
      <c r="O90" s="76"/>
      <c r="P90" s="76"/>
      <c r="Q90" s="76"/>
      <c r="R90" s="17"/>
      <c r="S90" s="107"/>
      <c r="T90" s="76" t="str">
        <f t="shared" si="5"/>
        <v/>
      </c>
      <c r="U90" s="106" t="str">
        <f t="shared" ca="1" si="3"/>
        <v/>
      </c>
      <c r="V90" s="108" t="str">
        <f t="shared" si="4"/>
        <v/>
      </c>
    </row>
    <row r="91" spans="1:22" x14ac:dyDescent="0.25">
      <c r="A91" s="18"/>
      <c r="B91" s="76"/>
      <c r="C91" s="80"/>
      <c r="D91" s="80"/>
      <c r="E91" s="76"/>
      <c r="F91" s="76"/>
      <c r="G91" s="76"/>
      <c r="H91" s="76"/>
      <c r="I91" s="121"/>
      <c r="J91" s="79"/>
      <c r="K91" s="76"/>
      <c r="L91" s="76"/>
      <c r="M91" s="76"/>
      <c r="N91" s="76"/>
      <c r="O91" s="76"/>
      <c r="P91" s="76"/>
      <c r="Q91" s="76"/>
      <c r="R91" s="17"/>
      <c r="S91" s="107"/>
      <c r="T91" s="76" t="str">
        <f t="shared" si="5"/>
        <v/>
      </c>
      <c r="U91" s="106" t="str">
        <f t="shared" ca="1" si="3"/>
        <v/>
      </c>
      <c r="V91" s="108" t="str">
        <f t="shared" si="4"/>
        <v/>
      </c>
    </row>
    <row r="92" spans="1:22" x14ac:dyDescent="0.25">
      <c r="A92" s="18"/>
      <c r="B92" s="76"/>
      <c r="C92" s="80"/>
      <c r="D92" s="80"/>
      <c r="E92" s="79"/>
      <c r="F92" s="76"/>
      <c r="G92" s="76"/>
      <c r="H92" s="76"/>
      <c r="I92" s="121"/>
      <c r="J92" s="79"/>
      <c r="K92" s="76"/>
      <c r="L92" s="76"/>
      <c r="M92" s="76"/>
      <c r="N92" s="76"/>
      <c r="O92" s="76"/>
      <c r="P92" s="79"/>
      <c r="Q92" s="76"/>
      <c r="R92" s="17"/>
      <c r="S92" s="107"/>
      <c r="T92" s="76" t="str">
        <f t="shared" si="5"/>
        <v/>
      </c>
      <c r="U92" s="106" t="str">
        <f t="shared" ca="1" si="3"/>
        <v/>
      </c>
      <c r="V92" s="108" t="str">
        <f t="shared" si="4"/>
        <v/>
      </c>
    </row>
    <row r="93" spans="1:22" x14ac:dyDescent="0.25">
      <c r="A93" s="18"/>
      <c r="B93" s="76"/>
      <c r="C93" s="80"/>
      <c r="D93" s="80"/>
      <c r="E93" s="79"/>
      <c r="F93" s="76"/>
      <c r="G93" s="76"/>
      <c r="H93" s="76"/>
      <c r="I93" s="121"/>
      <c r="J93" s="79"/>
      <c r="K93" s="76"/>
      <c r="L93" s="76"/>
      <c r="M93" s="76"/>
      <c r="N93" s="76"/>
      <c r="O93" s="76"/>
      <c r="P93" s="79"/>
      <c r="Q93" s="76"/>
      <c r="R93" s="17"/>
      <c r="S93" s="107"/>
      <c r="T93" s="76" t="str">
        <f t="shared" si="5"/>
        <v/>
      </c>
      <c r="U93" s="106" t="str">
        <f t="shared" ca="1" si="3"/>
        <v/>
      </c>
      <c r="V93" s="108" t="str">
        <f t="shared" si="4"/>
        <v/>
      </c>
    </row>
    <row r="94" spans="1:22" x14ac:dyDescent="0.25">
      <c r="A94" s="18"/>
      <c r="B94" s="76"/>
      <c r="C94" s="80"/>
      <c r="D94" s="80"/>
      <c r="E94" s="76"/>
      <c r="F94" s="76"/>
      <c r="G94" s="76"/>
      <c r="H94" s="76"/>
      <c r="I94" s="121"/>
      <c r="J94" s="79"/>
      <c r="K94" s="76"/>
      <c r="L94" s="76"/>
      <c r="M94" s="76"/>
      <c r="N94" s="76"/>
      <c r="O94" s="76"/>
      <c r="P94" s="79"/>
      <c r="Q94" s="76"/>
      <c r="R94" s="17"/>
      <c r="S94" s="107"/>
      <c r="T94" s="76" t="str">
        <f t="shared" si="5"/>
        <v/>
      </c>
      <c r="U94" s="106" t="str">
        <f t="shared" ca="1" si="3"/>
        <v/>
      </c>
      <c r="V94" s="108" t="str">
        <f t="shared" si="4"/>
        <v/>
      </c>
    </row>
    <row r="95" spans="1:22" x14ac:dyDescent="0.25">
      <c r="A95" s="18"/>
      <c r="B95" s="76"/>
      <c r="C95" s="80"/>
      <c r="D95" s="80"/>
      <c r="E95" s="79"/>
      <c r="F95" s="76"/>
      <c r="G95" s="76"/>
      <c r="H95" s="76"/>
      <c r="I95" s="121"/>
      <c r="J95" s="79"/>
      <c r="K95" s="76"/>
      <c r="L95" s="76"/>
      <c r="M95" s="76"/>
      <c r="N95" s="76"/>
      <c r="O95" s="76"/>
      <c r="P95" s="79"/>
      <c r="Q95" s="76"/>
      <c r="R95" s="17"/>
      <c r="S95" s="107"/>
      <c r="T95" s="76" t="str">
        <f t="shared" si="5"/>
        <v/>
      </c>
      <c r="U95" s="106" t="str">
        <f t="shared" ca="1" si="3"/>
        <v/>
      </c>
      <c r="V95" s="108" t="str">
        <f t="shared" si="4"/>
        <v/>
      </c>
    </row>
    <row r="96" spans="1:22" x14ac:dyDescent="0.25">
      <c r="A96" s="18"/>
      <c r="B96" s="76"/>
      <c r="C96" s="80"/>
      <c r="D96" s="80"/>
      <c r="E96" s="79"/>
      <c r="F96" s="76"/>
      <c r="G96" s="76"/>
      <c r="H96" s="76"/>
      <c r="I96" s="121"/>
      <c r="J96" s="79"/>
      <c r="K96" s="76"/>
      <c r="L96" s="76"/>
      <c r="M96" s="76"/>
      <c r="N96" s="76"/>
      <c r="O96" s="76"/>
      <c r="P96" s="79"/>
      <c r="Q96" s="76"/>
      <c r="R96" s="17"/>
      <c r="S96" s="107"/>
      <c r="T96" s="76" t="str">
        <f t="shared" si="5"/>
        <v/>
      </c>
      <c r="U96" s="106" t="str">
        <f t="shared" ca="1" si="3"/>
        <v/>
      </c>
      <c r="V96" s="108" t="str">
        <f t="shared" si="4"/>
        <v/>
      </c>
    </row>
    <row r="97" spans="1:22" x14ac:dyDescent="0.25">
      <c r="A97" s="18"/>
      <c r="B97" s="76"/>
      <c r="C97" s="80"/>
      <c r="D97" s="80"/>
      <c r="E97" s="79"/>
      <c r="F97" s="76"/>
      <c r="G97" s="76"/>
      <c r="H97" s="76"/>
      <c r="I97" s="121"/>
      <c r="J97" s="79"/>
      <c r="K97" s="76"/>
      <c r="L97" s="76"/>
      <c r="M97" s="76"/>
      <c r="N97" s="76"/>
      <c r="O97" s="76"/>
      <c r="P97" s="79"/>
      <c r="Q97" s="76"/>
      <c r="R97" s="17"/>
      <c r="S97" s="107"/>
      <c r="T97" s="76" t="str">
        <f t="shared" si="5"/>
        <v/>
      </c>
      <c r="U97" s="106" t="str">
        <f t="shared" ca="1" si="3"/>
        <v/>
      </c>
      <c r="V97" s="108" t="str">
        <f t="shared" si="4"/>
        <v/>
      </c>
    </row>
    <row r="98" spans="1:22" x14ac:dyDescent="0.25">
      <c r="A98" s="18"/>
      <c r="B98" s="76"/>
      <c r="C98" s="80"/>
      <c r="D98" s="80"/>
      <c r="E98" s="76"/>
      <c r="F98" s="76"/>
      <c r="G98" s="76"/>
      <c r="H98" s="76"/>
      <c r="I98" s="121"/>
      <c r="J98" s="79"/>
      <c r="K98" s="76"/>
      <c r="L98" s="76"/>
      <c r="M98" s="76"/>
      <c r="N98" s="76"/>
      <c r="O98" s="76"/>
      <c r="P98" s="79"/>
      <c r="Q98" s="76"/>
      <c r="R98" s="17"/>
      <c r="S98" s="107"/>
      <c r="T98" s="76" t="str">
        <f t="shared" si="5"/>
        <v/>
      </c>
      <c r="U98" s="106" t="str">
        <f t="shared" ca="1" si="3"/>
        <v/>
      </c>
      <c r="V98" s="108" t="str">
        <f t="shared" si="4"/>
        <v/>
      </c>
    </row>
    <row r="99" spans="1:22" x14ac:dyDescent="0.25">
      <c r="A99" s="18"/>
      <c r="B99" s="76"/>
      <c r="C99" s="80"/>
      <c r="D99" s="80"/>
      <c r="E99" s="79"/>
      <c r="F99" s="76"/>
      <c r="G99" s="76"/>
      <c r="H99" s="76"/>
      <c r="I99" s="121"/>
      <c r="J99" s="79"/>
      <c r="K99" s="76"/>
      <c r="L99" s="76"/>
      <c r="M99" s="76"/>
      <c r="N99" s="76"/>
      <c r="O99" s="76"/>
      <c r="P99" s="76"/>
      <c r="Q99" s="76"/>
      <c r="R99" s="17"/>
      <c r="S99" s="107"/>
      <c r="T99" s="76" t="str">
        <f t="shared" si="5"/>
        <v/>
      </c>
      <c r="U99" s="106" t="str">
        <f t="shared" ca="1" si="3"/>
        <v/>
      </c>
      <c r="V99" s="108" t="str">
        <f t="shared" si="4"/>
        <v/>
      </c>
    </row>
    <row r="100" spans="1:22" x14ac:dyDescent="0.25">
      <c r="A100" s="18"/>
      <c r="B100" s="76"/>
      <c r="C100" s="80"/>
      <c r="D100" s="80"/>
      <c r="E100" s="79"/>
      <c r="F100" s="76"/>
      <c r="G100" s="76"/>
      <c r="H100" s="76"/>
      <c r="I100" s="121"/>
      <c r="J100" s="79"/>
      <c r="K100" s="76"/>
      <c r="L100" s="76"/>
      <c r="M100" s="76"/>
      <c r="N100" s="76"/>
      <c r="O100" s="76"/>
      <c r="P100" s="79"/>
      <c r="Q100" s="76"/>
      <c r="R100" s="17"/>
      <c r="S100" s="107"/>
      <c r="T100" s="76" t="str">
        <f t="shared" si="5"/>
        <v/>
      </c>
      <c r="U100" s="106" t="str">
        <f t="shared" ca="1" si="3"/>
        <v/>
      </c>
      <c r="V100" s="108" t="str">
        <f t="shared" si="4"/>
        <v/>
      </c>
    </row>
    <row r="101" spans="1:22" x14ac:dyDescent="0.25">
      <c r="A101" s="18"/>
      <c r="B101" s="76"/>
      <c r="C101" s="80"/>
      <c r="D101" s="80"/>
      <c r="E101" s="79"/>
      <c r="F101" s="76"/>
      <c r="G101" s="76"/>
      <c r="H101" s="76"/>
      <c r="I101" s="121"/>
      <c r="J101" s="79"/>
      <c r="K101" s="76"/>
      <c r="L101" s="76"/>
      <c r="M101" s="76"/>
      <c r="N101" s="76"/>
      <c r="O101" s="76"/>
      <c r="P101" s="76"/>
      <c r="Q101" s="76"/>
      <c r="R101" s="17"/>
      <c r="S101" s="107"/>
      <c r="T101" s="76" t="str">
        <f t="shared" si="5"/>
        <v/>
      </c>
      <c r="U101" s="106" t="str">
        <f t="shared" ca="1" si="3"/>
        <v/>
      </c>
      <c r="V101" s="108" t="str">
        <f t="shared" si="4"/>
        <v/>
      </c>
    </row>
    <row r="102" spans="1:22" x14ac:dyDescent="0.25">
      <c r="A102" s="18"/>
      <c r="B102" s="76"/>
      <c r="C102" s="80"/>
      <c r="D102" s="80"/>
      <c r="E102" s="76"/>
      <c r="F102" s="76"/>
      <c r="G102" s="76"/>
      <c r="H102" s="76"/>
      <c r="I102" s="121"/>
      <c r="J102" s="79"/>
      <c r="K102" s="79"/>
      <c r="L102" s="76"/>
      <c r="M102" s="76"/>
      <c r="N102" s="76"/>
      <c r="O102" s="76"/>
      <c r="P102" s="76"/>
      <c r="Q102" s="76"/>
      <c r="R102" s="17"/>
      <c r="S102" s="107"/>
      <c r="T102" s="76" t="str">
        <f t="shared" si="5"/>
        <v/>
      </c>
      <c r="U102" s="106" t="str">
        <f t="shared" ca="1" si="3"/>
        <v/>
      </c>
      <c r="V102" s="108" t="str">
        <f t="shared" si="4"/>
        <v/>
      </c>
    </row>
    <row r="103" spans="1:22" x14ac:dyDescent="0.25">
      <c r="A103" s="18"/>
      <c r="B103" s="76"/>
      <c r="C103" s="80"/>
      <c r="D103" s="80"/>
      <c r="E103" s="76"/>
      <c r="F103" s="76"/>
      <c r="G103" s="76"/>
      <c r="H103" s="76"/>
      <c r="I103" s="121"/>
      <c r="J103" s="79"/>
      <c r="K103" s="79"/>
      <c r="L103" s="76"/>
      <c r="M103" s="76"/>
      <c r="N103" s="76"/>
      <c r="O103" s="76"/>
      <c r="P103" s="79"/>
      <c r="Q103" s="76"/>
      <c r="R103" s="17"/>
      <c r="S103" s="107"/>
      <c r="T103" s="76" t="str">
        <f t="shared" si="5"/>
        <v/>
      </c>
      <c r="U103" s="106" t="str">
        <f t="shared" ca="1" si="3"/>
        <v/>
      </c>
      <c r="V103" s="108" t="str">
        <f t="shared" si="4"/>
        <v/>
      </c>
    </row>
    <row r="104" spans="1:22" x14ac:dyDescent="0.25">
      <c r="A104" s="18"/>
      <c r="B104" s="76"/>
      <c r="C104" s="80"/>
      <c r="D104" s="80"/>
      <c r="E104" s="76"/>
      <c r="F104" s="76"/>
      <c r="G104" s="76"/>
      <c r="H104" s="76"/>
      <c r="I104" s="121"/>
      <c r="J104" s="79"/>
      <c r="K104" s="79"/>
      <c r="L104" s="76"/>
      <c r="M104" s="76"/>
      <c r="N104" s="76"/>
      <c r="O104" s="76"/>
      <c r="P104" s="79"/>
      <c r="Q104" s="76"/>
      <c r="R104" s="17"/>
      <c r="S104" s="107"/>
      <c r="T104" s="76" t="str">
        <f t="shared" si="5"/>
        <v/>
      </c>
      <c r="U104" s="106" t="str">
        <f t="shared" ca="1" si="3"/>
        <v/>
      </c>
      <c r="V104" s="108" t="str">
        <f t="shared" si="4"/>
        <v/>
      </c>
    </row>
    <row r="105" spans="1:22" x14ac:dyDescent="0.25">
      <c r="A105" s="18"/>
      <c r="B105" s="76"/>
      <c r="C105" s="80"/>
      <c r="D105" s="80"/>
      <c r="E105" s="76"/>
      <c r="F105" s="76"/>
      <c r="G105" s="76"/>
      <c r="H105" s="76"/>
      <c r="I105" s="121"/>
      <c r="J105" s="79"/>
      <c r="K105" s="76"/>
      <c r="L105" s="76"/>
      <c r="M105" s="76"/>
      <c r="N105" s="76"/>
      <c r="O105" s="76"/>
      <c r="P105" s="79"/>
      <c r="Q105" s="76"/>
      <c r="R105" s="17"/>
      <c r="S105" s="107"/>
      <c r="T105" s="76" t="str">
        <f t="shared" si="5"/>
        <v/>
      </c>
      <c r="U105" s="106" t="str">
        <f t="shared" ca="1" si="3"/>
        <v/>
      </c>
      <c r="V105" s="108" t="str">
        <f t="shared" si="4"/>
        <v/>
      </c>
    </row>
    <row r="106" spans="1:22" x14ac:dyDescent="0.25">
      <c r="A106" s="18"/>
      <c r="B106" s="76"/>
      <c r="C106" s="80"/>
      <c r="D106" s="80"/>
      <c r="E106" s="79"/>
      <c r="F106" s="76"/>
      <c r="G106" s="76"/>
      <c r="H106" s="76"/>
      <c r="I106" s="121"/>
      <c r="J106" s="79"/>
      <c r="K106" s="76"/>
      <c r="L106" s="76"/>
      <c r="M106" s="76"/>
      <c r="N106" s="76"/>
      <c r="O106" s="76"/>
      <c r="P106" s="79"/>
      <c r="Q106" s="76"/>
      <c r="R106" s="17"/>
      <c r="S106" s="107"/>
      <c r="T106" s="76" t="str">
        <f t="shared" si="5"/>
        <v/>
      </c>
      <c r="U106" s="106" t="str">
        <f t="shared" ca="1" si="3"/>
        <v/>
      </c>
      <c r="V106" s="108" t="str">
        <f t="shared" si="4"/>
        <v/>
      </c>
    </row>
    <row r="107" spans="1:22" x14ac:dyDescent="0.25">
      <c r="A107" s="18"/>
      <c r="B107" s="76"/>
      <c r="C107" s="80"/>
      <c r="D107" s="80"/>
      <c r="E107" s="79"/>
      <c r="F107" s="76"/>
      <c r="G107" s="76"/>
      <c r="H107" s="76"/>
      <c r="I107" s="121"/>
      <c r="J107" s="79"/>
      <c r="K107" s="76"/>
      <c r="L107" s="76"/>
      <c r="M107" s="76"/>
      <c r="N107" s="76"/>
      <c r="O107" s="76"/>
      <c r="P107" s="79"/>
      <c r="Q107" s="76"/>
      <c r="R107" s="17"/>
      <c r="S107" s="107"/>
      <c r="T107" s="76" t="str">
        <f t="shared" si="5"/>
        <v/>
      </c>
      <c r="U107" s="106" t="str">
        <f t="shared" ca="1" si="3"/>
        <v/>
      </c>
      <c r="V107" s="108" t="str">
        <f t="shared" si="4"/>
        <v/>
      </c>
    </row>
    <row r="108" spans="1:22" x14ac:dyDescent="0.25">
      <c r="A108" s="18"/>
      <c r="B108" s="76"/>
      <c r="C108" s="80"/>
      <c r="D108" s="80"/>
      <c r="E108" s="79"/>
      <c r="F108" s="76"/>
      <c r="G108" s="76"/>
      <c r="H108" s="76"/>
      <c r="I108" s="121"/>
      <c r="J108" s="79"/>
      <c r="K108" s="76"/>
      <c r="L108" s="76"/>
      <c r="M108" s="76"/>
      <c r="N108" s="76"/>
      <c r="O108" s="76"/>
      <c r="P108" s="79"/>
      <c r="Q108" s="76"/>
      <c r="R108" s="17"/>
      <c r="S108" s="107"/>
      <c r="T108" s="76" t="str">
        <f t="shared" si="5"/>
        <v/>
      </c>
      <c r="U108" s="106" t="str">
        <f t="shared" ca="1" si="3"/>
        <v/>
      </c>
      <c r="V108" s="108" t="str">
        <f t="shared" si="4"/>
        <v/>
      </c>
    </row>
    <row r="109" spans="1:22" x14ac:dyDescent="0.25">
      <c r="A109" s="18"/>
      <c r="B109" s="76"/>
      <c r="C109" s="80"/>
      <c r="D109" s="80"/>
      <c r="E109" s="79"/>
      <c r="F109" s="76"/>
      <c r="G109" s="76"/>
      <c r="H109" s="76"/>
      <c r="I109" s="121"/>
      <c r="J109" s="79"/>
      <c r="K109" s="76"/>
      <c r="L109" s="76"/>
      <c r="M109" s="76"/>
      <c r="N109" s="76"/>
      <c r="O109" s="76"/>
      <c r="P109" s="79"/>
      <c r="Q109" s="76"/>
      <c r="R109" s="17"/>
      <c r="S109" s="107"/>
      <c r="T109" s="76" t="str">
        <f t="shared" si="5"/>
        <v/>
      </c>
      <c r="U109" s="106" t="str">
        <f t="shared" ca="1" si="3"/>
        <v/>
      </c>
      <c r="V109" s="108" t="str">
        <f t="shared" si="4"/>
        <v/>
      </c>
    </row>
    <row r="110" spans="1:22" x14ac:dyDescent="0.25">
      <c r="A110" s="18"/>
      <c r="B110" s="76"/>
      <c r="C110" s="80"/>
      <c r="D110" s="80"/>
      <c r="E110" s="79"/>
      <c r="F110" s="76"/>
      <c r="G110" s="76"/>
      <c r="H110" s="76"/>
      <c r="I110" s="121"/>
      <c r="J110" s="79"/>
      <c r="K110" s="76"/>
      <c r="L110" s="76"/>
      <c r="M110" s="76"/>
      <c r="N110" s="76"/>
      <c r="O110" s="76"/>
      <c r="P110" s="79"/>
      <c r="Q110" s="76"/>
      <c r="R110" s="17"/>
      <c r="S110" s="107"/>
      <c r="T110" s="76" t="str">
        <f t="shared" si="5"/>
        <v/>
      </c>
      <c r="U110" s="106" t="str">
        <f t="shared" ca="1" si="3"/>
        <v/>
      </c>
      <c r="V110" s="108" t="str">
        <f t="shared" si="4"/>
        <v/>
      </c>
    </row>
    <row r="111" spans="1:22" x14ac:dyDescent="0.25">
      <c r="A111" s="18"/>
      <c r="B111" s="76"/>
      <c r="C111" s="80"/>
      <c r="D111" s="80"/>
      <c r="E111" s="79"/>
      <c r="F111" s="76"/>
      <c r="G111" s="76"/>
      <c r="H111" s="76"/>
      <c r="I111" s="121"/>
      <c r="J111" s="79"/>
      <c r="K111" s="76"/>
      <c r="L111" s="76"/>
      <c r="M111" s="76"/>
      <c r="N111" s="76"/>
      <c r="O111" s="76"/>
      <c r="P111" s="76"/>
      <c r="Q111" s="76"/>
      <c r="R111" s="17"/>
      <c r="S111" s="107"/>
      <c r="T111" s="76" t="str">
        <f t="shared" si="5"/>
        <v/>
      </c>
      <c r="U111" s="106" t="str">
        <f t="shared" ca="1" si="3"/>
        <v/>
      </c>
      <c r="V111" s="108" t="str">
        <f t="shared" si="4"/>
        <v/>
      </c>
    </row>
    <row r="112" spans="1:22" x14ac:dyDescent="0.25">
      <c r="A112" s="18"/>
      <c r="B112" s="76"/>
      <c r="C112" s="80"/>
      <c r="D112" s="80"/>
      <c r="E112" s="79"/>
      <c r="F112" s="76"/>
      <c r="G112" s="76"/>
      <c r="H112" s="76"/>
      <c r="I112" s="121"/>
      <c r="J112" s="79"/>
      <c r="K112" s="76"/>
      <c r="L112" s="76"/>
      <c r="M112" s="76"/>
      <c r="N112" s="76"/>
      <c r="O112" s="76"/>
      <c r="P112" s="76"/>
      <c r="Q112" s="76"/>
      <c r="R112" s="17"/>
      <c r="S112" s="107"/>
      <c r="T112" s="76" t="str">
        <f t="shared" si="5"/>
        <v/>
      </c>
      <c r="U112" s="106" t="str">
        <f t="shared" ca="1" si="3"/>
        <v/>
      </c>
      <c r="V112" s="108" t="str">
        <f t="shared" si="4"/>
        <v/>
      </c>
    </row>
    <row r="113" spans="1:22" x14ac:dyDescent="0.25">
      <c r="A113" s="18"/>
      <c r="B113" s="76"/>
      <c r="C113" s="80"/>
      <c r="D113" s="80"/>
      <c r="E113" s="79"/>
      <c r="F113" s="76"/>
      <c r="G113" s="76"/>
      <c r="H113" s="76"/>
      <c r="I113" s="121"/>
      <c r="J113" s="79"/>
      <c r="K113" s="76"/>
      <c r="L113" s="76"/>
      <c r="M113" s="76"/>
      <c r="N113" s="76"/>
      <c r="O113" s="76"/>
      <c r="P113" s="76"/>
      <c r="Q113" s="76"/>
      <c r="R113" s="17"/>
      <c r="S113" s="107"/>
      <c r="T113" s="76" t="str">
        <f t="shared" si="5"/>
        <v/>
      </c>
      <c r="U113" s="106" t="str">
        <f t="shared" ca="1" si="3"/>
        <v/>
      </c>
      <c r="V113" s="108" t="str">
        <f t="shared" si="4"/>
        <v/>
      </c>
    </row>
    <row r="114" spans="1:22" x14ac:dyDescent="0.25">
      <c r="A114" s="18"/>
      <c r="B114" s="76"/>
      <c r="C114" s="80"/>
      <c r="D114" s="80"/>
      <c r="E114" s="79"/>
      <c r="F114" s="76"/>
      <c r="G114" s="76"/>
      <c r="H114" s="76"/>
      <c r="I114" s="121"/>
      <c r="J114" s="79"/>
      <c r="K114" s="76"/>
      <c r="L114" s="76"/>
      <c r="M114" s="76"/>
      <c r="N114" s="76"/>
      <c r="O114" s="76"/>
      <c r="P114" s="76"/>
      <c r="Q114" s="76"/>
      <c r="R114" s="17"/>
      <c r="S114" s="107"/>
      <c r="T114" s="76" t="str">
        <f t="shared" si="5"/>
        <v/>
      </c>
      <c r="U114" s="106" t="str">
        <f t="shared" ca="1" si="3"/>
        <v/>
      </c>
      <c r="V114" s="108" t="str">
        <f t="shared" si="4"/>
        <v/>
      </c>
    </row>
    <row r="115" spans="1:22" x14ac:dyDescent="0.25">
      <c r="A115" s="18"/>
      <c r="B115" s="76"/>
      <c r="C115" s="80"/>
      <c r="D115" s="80"/>
      <c r="E115" s="79"/>
      <c r="F115" s="76"/>
      <c r="G115" s="76"/>
      <c r="H115" s="76"/>
      <c r="I115" s="121"/>
      <c r="J115" s="79"/>
      <c r="K115" s="76"/>
      <c r="L115" s="76"/>
      <c r="M115" s="76"/>
      <c r="N115" s="76"/>
      <c r="O115" s="76"/>
      <c r="P115" s="76"/>
      <c r="Q115" s="76"/>
      <c r="R115" s="17"/>
      <c r="S115" s="107"/>
      <c r="T115" s="76" t="str">
        <f t="shared" si="5"/>
        <v/>
      </c>
      <c r="U115" s="106" t="str">
        <f t="shared" ca="1" si="3"/>
        <v/>
      </c>
      <c r="V115" s="108" t="str">
        <f t="shared" si="4"/>
        <v/>
      </c>
    </row>
    <row r="116" spans="1:22" x14ac:dyDescent="0.25">
      <c r="A116" s="18"/>
      <c r="B116" s="76"/>
      <c r="C116" s="80"/>
      <c r="D116" s="80"/>
      <c r="E116" s="79"/>
      <c r="F116" s="76"/>
      <c r="G116" s="76"/>
      <c r="H116" s="76"/>
      <c r="I116" s="121"/>
      <c r="J116" s="79"/>
      <c r="K116" s="76"/>
      <c r="L116" s="76"/>
      <c r="M116" s="76"/>
      <c r="N116" s="76"/>
      <c r="O116" s="76"/>
      <c r="P116" s="76"/>
      <c r="Q116" s="76"/>
      <c r="R116" s="17"/>
      <c r="S116" s="107"/>
      <c r="T116" s="76" t="str">
        <f t="shared" si="5"/>
        <v/>
      </c>
      <c r="U116" s="106" t="str">
        <f t="shared" ca="1" si="3"/>
        <v/>
      </c>
      <c r="V116" s="108" t="str">
        <f t="shared" si="4"/>
        <v/>
      </c>
    </row>
    <row r="117" spans="1:22" x14ac:dyDescent="0.25">
      <c r="A117" s="18"/>
      <c r="B117" s="76"/>
      <c r="C117" s="80"/>
      <c r="D117" s="80"/>
      <c r="E117" s="79"/>
      <c r="F117" s="76"/>
      <c r="G117" s="76"/>
      <c r="H117" s="76"/>
      <c r="I117" s="121"/>
      <c r="J117" s="79"/>
      <c r="K117" s="76"/>
      <c r="L117" s="76"/>
      <c r="M117" s="76"/>
      <c r="N117" s="76"/>
      <c r="O117" s="76"/>
      <c r="P117" s="76"/>
      <c r="Q117" s="76"/>
      <c r="R117" s="17"/>
      <c r="S117" s="107"/>
      <c r="T117" s="76" t="str">
        <f t="shared" si="5"/>
        <v/>
      </c>
      <c r="U117" s="106" t="str">
        <f t="shared" ca="1" si="3"/>
        <v/>
      </c>
      <c r="V117" s="108" t="str">
        <f t="shared" si="4"/>
        <v/>
      </c>
    </row>
    <row r="118" spans="1:22" x14ac:dyDescent="0.25">
      <c r="A118" s="18"/>
      <c r="B118" s="76"/>
      <c r="C118" s="80"/>
      <c r="D118" s="80"/>
      <c r="E118" s="79"/>
      <c r="F118" s="76"/>
      <c r="G118" s="76"/>
      <c r="H118" s="76"/>
      <c r="I118" s="121"/>
      <c r="J118" s="79"/>
      <c r="K118" s="76"/>
      <c r="L118" s="76"/>
      <c r="M118" s="76"/>
      <c r="N118" s="76"/>
      <c r="O118" s="76"/>
      <c r="P118" s="76"/>
      <c r="Q118" s="76"/>
      <c r="R118" s="17"/>
      <c r="S118" s="107"/>
      <c r="T118" s="76" t="str">
        <f t="shared" si="5"/>
        <v/>
      </c>
      <c r="U118" s="106" t="str">
        <f t="shared" ca="1" si="3"/>
        <v/>
      </c>
      <c r="V118" s="108" t="str">
        <f t="shared" si="4"/>
        <v/>
      </c>
    </row>
    <row r="119" spans="1:22" x14ac:dyDescent="0.25">
      <c r="A119" s="18"/>
      <c r="B119" s="76"/>
      <c r="C119" s="80"/>
      <c r="D119" s="80"/>
      <c r="E119" s="79"/>
      <c r="F119" s="76"/>
      <c r="G119" s="76"/>
      <c r="H119" s="76"/>
      <c r="I119" s="121"/>
      <c r="J119" s="79"/>
      <c r="K119" s="76"/>
      <c r="L119" s="76"/>
      <c r="M119" s="76"/>
      <c r="N119" s="76"/>
      <c r="O119" s="76"/>
      <c r="P119" s="76"/>
      <c r="Q119" s="76"/>
      <c r="R119" s="17"/>
      <c r="S119" s="107"/>
      <c r="T119" s="76" t="str">
        <f t="shared" si="5"/>
        <v/>
      </c>
      <c r="U119" s="106" t="str">
        <f t="shared" ca="1" si="3"/>
        <v/>
      </c>
      <c r="V119" s="108" t="str">
        <f t="shared" si="4"/>
        <v/>
      </c>
    </row>
    <row r="120" spans="1:22" x14ac:dyDescent="0.25">
      <c r="A120" s="18"/>
      <c r="B120" s="76"/>
      <c r="C120" s="80"/>
      <c r="D120" s="80"/>
      <c r="E120" s="79"/>
      <c r="F120" s="76"/>
      <c r="G120" s="76"/>
      <c r="H120" s="76"/>
      <c r="I120" s="121"/>
      <c r="J120" s="79"/>
      <c r="K120" s="76"/>
      <c r="L120" s="76"/>
      <c r="M120" s="76"/>
      <c r="N120" s="76"/>
      <c r="O120" s="76"/>
      <c r="P120" s="76"/>
      <c r="Q120" s="76"/>
      <c r="R120" s="17"/>
      <c r="S120" s="107"/>
      <c r="T120" s="76" t="str">
        <f t="shared" si="5"/>
        <v/>
      </c>
      <c r="U120" s="106" t="str">
        <f t="shared" ca="1" si="3"/>
        <v/>
      </c>
      <c r="V120" s="108" t="str">
        <f t="shared" si="4"/>
        <v/>
      </c>
    </row>
    <row r="121" spans="1:22" x14ac:dyDescent="0.25">
      <c r="A121" s="18"/>
      <c r="B121" s="76"/>
      <c r="C121" s="80"/>
      <c r="D121" s="80"/>
      <c r="E121" s="79"/>
      <c r="F121" s="76"/>
      <c r="G121" s="76"/>
      <c r="H121" s="76"/>
      <c r="I121" s="121"/>
      <c r="J121" s="79"/>
      <c r="K121" s="76"/>
      <c r="L121" s="76"/>
      <c r="M121" s="76"/>
      <c r="N121" s="76"/>
      <c r="O121" s="76"/>
      <c r="P121" s="76"/>
      <c r="Q121" s="76"/>
      <c r="R121" s="17"/>
      <c r="S121" s="107"/>
      <c r="T121" s="76" t="str">
        <f t="shared" si="5"/>
        <v/>
      </c>
      <c r="U121" s="106" t="str">
        <f t="shared" ca="1" si="3"/>
        <v/>
      </c>
      <c r="V121" s="108" t="str">
        <f t="shared" si="4"/>
        <v/>
      </c>
    </row>
    <row r="122" spans="1:22" x14ac:dyDescent="0.25">
      <c r="A122" s="18"/>
      <c r="B122" s="76"/>
      <c r="C122" s="80"/>
      <c r="D122" s="80"/>
      <c r="E122" s="76"/>
      <c r="F122" s="76"/>
      <c r="G122" s="76"/>
      <c r="H122" s="76"/>
      <c r="I122" s="121"/>
      <c r="J122" s="79"/>
      <c r="K122" s="79"/>
      <c r="L122" s="76"/>
      <c r="M122" s="76"/>
      <c r="N122" s="76"/>
      <c r="O122" s="76"/>
      <c r="P122" s="76"/>
      <c r="Q122" s="76"/>
      <c r="R122" s="17"/>
      <c r="S122" s="107"/>
      <c r="T122" s="76" t="str">
        <f t="shared" si="5"/>
        <v/>
      </c>
      <c r="U122" s="106" t="str">
        <f t="shared" ca="1" si="3"/>
        <v/>
      </c>
      <c r="V122" s="108" t="str">
        <f t="shared" si="4"/>
        <v/>
      </c>
    </row>
    <row r="123" spans="1:22" x14ac:dyDescent="0.25">
      <c r="A123" s="18"/>
      <c r="B123" s="76"/>
      <c r="C123" s="80"/>
      <c r="D123" s="80"/>
      <c r="E123" s="76"/>
      <c r="F123" s="76"/>
      <c r="G123" s="76"/>
      <c r="H123" s="76"/>
      <c r="I123" s="121"/>
      <c r="J123" s="79"/>
      <c r="K123" s="76"/>
      <c r="L123" s="76"/>
      <c r="M123" s="76"/>
      <c r="N123" s="76"/>
      <c r="O123" s="76"/>
      <c r="P123" s="76"/>
      <c r="Q123" s="76"/>
      <c r="R123" s="17"/>
      <c r="S123" s="107"/>
      <c r="T123" s="76" t="str">
        <f t="shared" si="5"/>
        <v/>
      </c>
      <c r="U123" s="106" t="str">
        <f t="shared" ca="1" si="3"/>
        <v/>
      </c>
      <c r="V123" s="108" t="str">
        <f t="shared" si="4"/>
        <v/>
      </c>
    </row>
    <row r="124" spans="1:22" x14ac:dyDescent="0.25">
      <c r="A124" s="18"/>
      <c r="B124" s="76"/>
      <c r="C124" s="80"/>
      <c r="D124" s="80"/>
      <c r="E124" s="76"/>
      <c r="F124" s="76"/>
      <c r="G124" s="76"/>
      <c r="H124" s="76"/>
      <c r="I124" s="121"/>
      <c r="J124" s="79"/>
      <c r="K124" s="76"/>
      <c r="L124" s="76"/>
      <c r="M124" s="76"/>
      <c r="N124" s="76"/>
      <c r="O124" s="76"/>
      <c r="P124" s="76"/>
      <c r="Q124" s="76"/>
      <c r="R124" s="17"/>
      <c r="S124" s="107"/>
      <c r="T124" s="76" t="str">
        <f t="shared" si="5"/>
        <v/>
      </c>
      <c r="U124" s="106" t="str">
        <f t="shared" ca="1" si="3"/>
        <v/>
      </c>
      <c r="V124" s="108" t="str">
        <f t="shared" si="4"/>
        <v/>
      </c>
    </row>
    <row r="125" spans="1:22" x14ac:dyDescent="0.25">
      <c r="A125" s="18"/>
      <c r="B125" s="76"/>
      <c r="C125" s="80"/>
      <c r="D125" s="80"/>
      <c r="E125" s="76"/>
      <c r="F125" s="76"/>
      <c r="G125" s="76"/>
      <c r="H125" s="76"/>
      <c r="I125" s="121"/>
      <c r="J125" s="79"/>
      <c r="K125" s="76"/>
      <c r="L125" s="76"/>
      <c r="M125" s="76"/>
      <c r="N125" s="76"/>
      <c r="O125" s="76"/>
      <c r="P125" s="76"/>
      <c r="Q125" s="76"/>
      <c r="R125" s="17"/>
      <c r="S125" s="107"/>
      <c r="T125" s="76" t="str">
        <f t="shared" si="5"/>
        <v/>
      </c>
      <c r="U125" s="106" t="str">
        <f t="shared" ca="1" si="3"/>
        <v/>
      </c>
      <c r="V125" s="108" t="str">
        <f t="shared" si="4"/>
        <v/>
      </c>
    </row>
    <row r="126" spans="1:22" x14ac:dyDescent="0.25">
      <c r="A126" s="18"/>
      <c r="B126" s="76"/>
      <c r="C126" s="80"/>
      <c r="D126" s="80"/>
      <c r="E126" s="76"/>
      <c r="F126" s="76"/>
      <c r="G126" s="76"/>
      <c r="H126" s="76"/>
      <c r="I126" s="121"/>
      <c r="J126" s="79"/>
      <c r="K126" s="76"/>
      <c r="L126" s="76"/>
      <c r="M126" s="76"/>
      <c r="N126" s="76"/>
      <c r="O126" s="76"/>
      <c r="P126" s="76"/>
      <c r="Q126" s="76"/>
      <c r="R126" s="17"/>
      <c r="S126" s="107"/>
      <c r="T126" s="76" t="str">
        <f t="shared" si="5"/>
        <v/>
      </c>
      <c r="U126" s="106" t="str">
        <f t="shared" ca="1" si="3"/>
        <v/>
      </c>
      <c r="V126" s="108" t="str">
        <f t="shared" si="4"/>
        <v/>
      </c>
    </row>
    <row r="127" spans="1:22" x14ac:dyDescent="0.25">
      <c r="A127" s="18"/>
      <c r="B127" s="76"/>
      <c r="C127" s="80"/>
      <c r="D127" s="80"/>
      <c r="E127" s="76"/>
      <c r="F127" s="76"/>
      <c r="G127" s="76"/>
      <c r="H127" s="76"/>
      <c r="I127" s="121"/>
      <c r="J127" s="79"/>
      <c r="K127" s="76"/>
      <c r="L127" s="76"/>
      <c r="M127" s="76"/>
      <c r="N127" s="76"/>
      <c r="O127" s="76"/>
      <c r="P127" s="76"/>
      <c r="Q127" s="76"/>
      <c r="R127" s="17"/>
      <c r="S127" s="107"/>
      <c r="T127" s="76" t="str">
        <f t="shared" si="5"/>
        <v/>
      </c>
      <c r="U127" s="106" t="str">
        <f t="shared" ca="1" si="3"/>
        <v/>
      </c>
      <c r="V127" s="108" t="str">
        <f t="shared" si="4"/>
        <v/>
      </c>
    </row>
    <row r="128" spans="1:22" x14ac:dyDescent="0.25">
      <c r="A128" s="18"/>
      <c r="B128" s="76"/>
      <c r="C128" s="80"/>
      <c r="D128" s="80"/>
      <c r="E128" s="76"/>
      <c r="F128" s="76"/>
      <c r="G128" s="76"/>
      <c r="H128" s="76"/>
      <c r="I128" s="121"/>
      <c r="J128" s="79"/>
      <c r="K128" s="76"/>
      <c r="L128" s="76"/>
      <c r="M128" s="76"/>
      <c r="N128" s="76"/>
      <c r="O128" s="76"/>
      <c r="P128" s="76"/>
      <c r="Q128" s="76"/>
      <c r="R128" s="17"/>
      <c r="S128" s="107"/>
      <c r="T128" s="76" t="str">
        <f t="shared" si="5"/>
        <v/>
      </c>
      <c r="U128" s="106" t="str">
        <f t="shared" ca="1" si="3"/>
        <v/>
      </c>
      <c r="V128" s="108" t="str">
        <f t="shared" si="4"/>
        <v/>
      </c>
    </row>
    <row r="129" spans="1:22" x14ac:dyDescent="0.25">
      <c r="A129" s="18"/>
      <c r="B129" s="76"/>
      <c r="C129" s="80"/>
      <c r="D129" s="80"/>
      <c r="E129" s="76"/>
      <c r="F129" s="76"/>
      <c r="G129" s="76"/>
      <c r="H129" s="76"/>
      <c r="I129" s="121"/>
      <c r="J129" s="79"/>
      <c r="K129" s="76"/>
      <c r="L129" s="76"/>
      <c r="M129" s="76"/>
      <c r="N129" s="76"/>
      <c r="O129" s="76"/>
      <c r="P129" s="76"/>
      <c r="Q129" s="76"/>
      <c r="R129" s="17"/>
      <c r="S129" s="107"/>
      <c r="T129" s="76" t="str">
        <f t="shared" si="5"/>
        <v/>
      </c>
      <c r="U129" s="106" t="str">
        <f t="shared" ca="1" si="3"/>
        <v/>
      </c>
      <c r="V129" s="108" t="str">
        <f t="shared" si="4"/>
        <v/>
      </c>
    </row>
    <row r="130" spans="1:22" x14ac:dyDescent="0.25">
      <c r="A130" s="18"/>
      <c r="B130" s="76"/>
      <c r="C130" s="80"/>
      <c r="D130" s="80"/>
      <c r="E130" s="76"/>
      <c r="F130" s="76"/>
      <c r="G130" s="76"/>
      <c r="H130" s="76"/>
      <c r="I130" s="121"/>
      <c r="J130" s="79"/>
      <c r="K130" s="76"/>
      <c r="L130" s="76"/>
      <c r="M130" s="76"/>
      <c r="N130" s="76"/>
      <c r="O130" s="76"/>
      <c r="P130" s="76"/>
      <c r="Q130" s="76"/>
      <c r="R130" s="17"/>
      <c r="S130" s="107"/>
      <c r="T130" s="76" t="str">
        <f t="shared" si="5"/>
        <v/>
      </c>
      <c r="U130" s="106" t="str">
        <f t="shared" ref="U130:U193" ca="1" si="6">IF(ISNUMBER(C130), C130 - TODAY(), "")</f>
        <v/>
      </c>
      <c r="V130" s="108" t="str">
        <f t="shared" ref="V130:V193" si="7">IF(AND(C130&gt;=DATE(2025,1,26),C130&lt;=DATE(2025,1,31)),"Arab Health",
IF(AND(C130&gt;=DATE(2025,2,16),C130&lt;=DATE(2025,2,21)),"Gulf Food",
IF(AND(C130&gt;=DATE(2025,3,1),C130&lt;=DATE(2025,3,29)),"Ramadan",
IF(AND(C130&gt;=DATE(2025,3,30),C130&lt;=DATE(2025,4,2)),"Eid Al Fitr",
IF(AND(C130&gt;=DATE(2025,6,6),C130&lt;=DATE(2025,6,9)),"Eid Al Adha",
IF(AND(C130&gt;=DATE(2025,10,12),C130&lt;=DATE(2025,10,17)),"GITEX",
IF(AND(C130&gt;=DATE(2025,11,3),C130&lt;=DATE(2025,11,7)),"Gulf Food Manufacturing",
IF(AND(C130&gt;=DATE(2025,11,16),C130&lt;=DATE(2025,11,21)),"Air Show",
IF(AND(C130&gt;=DATE(2025,11,23),C130&lt;=DATE(2025,11,28)),"Big 5",
IF(AND(C130&gt;=DATE(2025,11,29),C130&lt;=DATE(2025,12,2)),"National Day Holidays",
IF(AND(C130&gt;=DATE(2025,12,4),C130&lt;=DATE(2025,12,7)),"F1 Yas Island",
IF(AND(C130&gt;=DATE(2025,12,26),C130&lt;=DATE(2025,12,31)),"New Year's Eve",""))))))))))))</f>
        <v/>
      </c>
    </row>
    <row r="131" spans="1:22" x14ac:dyDescent="0.25">
      <c r="A131" s="18"/>
      <c r="B131" s="76"/>
      <c r="C131" s="80"/>
      <c r="D131" s="80"/>
      <c r="E131" s="76"/>
      <c r="F131" s="76"/>
      <c r="G131" s="76"/>
      <c r="H131" s="76"/>
      <c r="I131" s="121"/>
      <c r="J131" s="79"/>
      <c r="K131" s="76"/>
      <c r="L131" s="76"/>
      <c r="M131" s="76"/>
      <c r="N131" s="76"/>
      <c r="O131" s="76"/>
      <c r="P131" s="76"/>
      <c r="Q131" s="76"/>
      <c r="R131" s="17"/>
      <c r="S131" s="107"/>
      <c r="T131" s="76" t="str">
        <f t="shared" ref="T131:T194" si="8">IF(OR(AND(ISNUMBER(C131), OR(MONTH(C131)&lt;=4, MONTH(C131)&gt;=10)), AND(ISNUMBER(D131), OR(MONTH(D131)&lt;=4, MONTH(D131)&gt;=10))), "Winter", IF(OR(AND(ISNUMBER(C131), MONTH(C131)&gt;=5, MONTH(C131)&lt;=9), AND(ISNUMBER(D131), MONTH(D131)&gt;=5, MONTH(D131)&lt;=9)), "Summer", ""))</f>
        <v/>
      </c>
      <c r="U131" s="106" t="str">
        <f t="shared" ca="1" si="6"/>
        <v/>
      </c>
      <c r="V131" s="108" t="str">
        <f t="shared" si="7"/>
        <v/>
      </c>
    </row>
    <row r="132" spans="1:22" x14ac:dyDescent="0.25">
      <c r="A132" s="18"/>
      <c r="B132" s="76"/>
      <c r="C132" s="80"/>
      <c r="D132" s="80"/>
      <c r="E132" s="76"/>
      <c r="F132" s="76"/>
      <c r="G132" s="76"/>
      <c r="H132" s="76"/>
      <c r="I132" s="121"/>
      <c r="J132" s="79"/>
      <c r="K132" s="76"/>
      <c r="L132" s="76"/>
      <c r="M132" s="76"/>
      <c r="N132" s="76"/>
      <c r="O132" s="76"/>
      <c r="P132" s="76"/>
      <c r="Q132" s="76"/>
      <c r="R132" s="17"/>
      <c r="S132" s="107"/>
      <c r="T132" s="76" t="str">
        <f t="shared" si="8"/>
        <v/>
      </c>
      <c r="U132" s="106" t="str">
        <f t="shared" ca="1" si="6"/>
        <v/>
      </c>
      <c r="V132" s="108" t="str">
        <f t="shared" si="7"/>
        <v/>
      </c>
    </row>
    <row r="133" spans="1:22" x14ac:dyDescent="0.25">
      <c r="A133" s="18"/>
      <c r="B133" s="76"/>
      <c r="C133" s="80"/>
      <c r="D133" s="80"/>
      <c r="E133" s="76"/>
      <c r="F133" s="76"/>
      <c r="G133" s="76"/>
      <c r="H133" s="76"/>
      <c r="I133" s="121"/>
      <c r="J133" s="79"/>
      <c r="K133" s="76"/>
      <c r="L133" s="76"/>
      <c r="M133" s="76"/>
      <c r="N133" s="76"/>
      <c r="O133" s="76"/>
      <c r="P133" s="76"/>
      <c r="Q133" s="76"/>
      <c r="R133" s="17"/>
      <c r="S133" s="107"/>
      <c r="T133" s="76" t="str">
        <f t="shared" si="8"/>
        <v/>
      </c>
      <c r="U133" s="106" t="str">
        <f t="shared" ca="1" si="6"/>
        <v/>
      </c>
      <c r="V133" s="108" t="str">
        <f t="shared" si="7"/>
        <v/>
      </c>
    </row>
    <row r="134" spans="1:22" x14ac:dyDescent="0.25">
      <c r="A134" s="18"/>
      <c r="B134" s="76"/>
      <c r="C134" s="80"/>
      <c r="D134" s="80"/>
      <c r="E134" s="76"/>
      <c r="F134" s="76"/>
      <c r="G134" s="76"/>
      <c r="H134" s="76"/>
      <c r="I134" s="121"/>
      <c r="J134" s="79"/>
      <c r="K134" s="76"/>
      <c r="L134" s="76"/>
      <c r="M134" s="76"/>
      <c r="N134" s="76"/>
      <c r="O134" s="76"/>
      <c r="P134" s="76"/>
      <c r="Q134" s="76"/>
      <c r="R134" s="17"/>
      <c r="S134" s="107"/>
      <c r="T134" s="76" t="str">
        <f t="shared" si="8"/>
        <v/>
      </c>
      <c r="U134" s="106" t="str">
        <f t="shared" ca="1" si="6"/>
        <v/>
      </c>
      <c r="V134" s="108" t="str">
        <f t="shared" si="7"/>
        <v/>
      </c>
    </row>
    <row r="135" spans="1:22" x14ac:dyDescent="0.25">
      <c r="A135" s="18"/>
      <c r="B135" s="76"/>
      <c r="C135" s="80"/>
      <c r="D135" s="80"/>
      <c r="E135" s="76"/>
      <c r="F135" s="76"/>
      <c r="G135" s="76"/>
      <c r="H135" s="76"/>
      <c r="I135" s="121"/>
      <c r="J135" s="79"/>
      <c r="K135" s="76"/>
      <c r="L135" s="76"/>
      <c r="M135" s="76"/>
      <c r="N135" s="76"/>
      <c r="O135" s="76"/>
      <c r="P135" s="76"/>
      <c r="Q135" s="76"/>
      <c r="R135" s="17"/>
      <c r="S135" s="107"/>
      <c r="T135" s="76" t="str">
        <f t="shared" si="8"/>
        <v/>
      </c>
      <c r="U135" s="106" t="str">
        <f t="shared" ca="1" si="6"/>
        <v/>
      </c>
      <c r="V135" s="108" t="str">
        <f t="shared" si="7"/>
        <v/>
      </c>
    </row>
    <row r="136" spans="1:22" x14ac:dyDescent="0.25">
      <c r="A136" s="18"/>
      <c r="B136" s="76"/>
      <c r="C136" s="80"/>
      <c r="D136" s="80"/>
      <c r="E136" s="76"/>
      <c r="F136" s="76"/>
      <c r="G136" s="76"/>
      <c r="H136" s="76"/>
      <c r="I136" s="121"/>
      <c r="J136" s="79"/>
      <c r="K136" s="76"/>
      <c r="L136" s="76"/>
      <c r="M136" s="76"/>
      <c r="N136" s="76"/>
      <c r="O136" s="76"/>
      <c r="P136" s="76"/>
      <c r="Q136" s="76"/>
      <c r="R136" s="17"/>
      <c r="S136" s="107"/>
      <c r="T136" s="76" t="str">
        <f t="shared" si="8"/>
        <v/>
      </c>
      <c r="U136" s="106" t="str">
        <f t="shared" ca="1" si="6"/>
        <v/>
      </c>
      <c r="V136" s="108" t="str">
        <f t="shared" si="7"/>
        <v/>
      </c>
    </row>
    <row r="137" spans="1:22" x14ac:dyDescent="0.25">
      <c r="A137" s="18"/>
      <c r="B137" s="76"/>
      <c r="C137" s="80"/>
      <c r="D137" s="80"/>
      <c r="E137" s="76"/>
      <c r="F137" s="76"/>
      <c r="G137" s="76"/>
      <c r="H137" s="76"/>
      <c r="I137" s="121"/>
      <c r="J137" s="79"/>
      <c r="K137" s="76"/>
      <c r="L137" s="76"/>
      <c r="M137" s="76"/>
      <c r="N137" s="76"/>
      <c r="O137" s="76"/>
      <c r="P137" s="76"/>
      <c r="Q137" s="76"/>
      <c r="R137" s="17"/>
      <c r="S137" s="107"/>
      <c r="T137" s="76" t="str">
        <f t="shared" si="8"/>
        <v/>
      </c>
      <c r="U137" s="106" t="str">
        <f t="shared" ca="1" si="6"/>
        <v/>
      </c>
      <c r="V137" s="108" t="str">
        <f t="shared" si="7"/>
        <v/>
      </c>
    </row>
    <row r="138" spans="1:22" x14ac:dyDescent="0.25">
      <c r="A138" s="18"/>
      <c r="B138" s="76"/>
      <c r="C138" s="80"/>
      <c r="D138" s="80"/>
      <c r="E138" s="76"/>
      <c r="F138" s="76"/>
      <c r="G138" s="76"/>
      <c r="H138" s="76"/>
      <c r="I138" s="121"/>
      <c r="J138" s="79"/>
      <c r="K138" s="76"/>
      <c r="L138" s="76"/>
      <c r="M138" s="76"/>
      <c r="N138" s="76"/>
      <c r="O138" s="76"/>
      <c r="P138" s="76"/>
      <c r="Q138" s="76"/>
      <c r="R138" s="17"/>
      <c r="S138" s="107"/>
      <c r="T138" s="76" t="str">
        <f t="shared" si="8"/>
        <v/>
      </c>
      <c r="U138" s="106" t="str">
        <f t="shared" ca="1" si="6"/>
        <v/>
      </c>
      <c r="V138" s="108" t="str">
        <f t="shared" si="7"/>
        <v/>
      </c>
    </row>
    <row r="139" spans="1:22" x14ac:dyDescent="0.25">
      <c r="A139" s="18"/>
      <c r="B139" s="76"/>
      <c r="C139" s="80"/>
      <c r="D139" s="80"/>
      <c r="E139" s="76"/>
      <c r="F139" s="76"/>
      <c r="G139" s="76"/>
      <c r="H139" s="76"/>
      <c r="I139" s="121"/>
      <c r="J139" s="79"/>
      <c r="K139" s="76"/>
      <c r="L139" s="76"/>
      <c r="M139" s="76"/>
      <c r="N139" s="76"/>
      <c r="O139" s="76"/>
      <c r="P139" s="76"/>
      <c r="Q139" s="76"/>
      <c r="R139" s="17"/>
      <c r="S139" s="107"/>
      <c r="T139" s="76" t="str">
        <f t="shared" si="8"/>
        <v/>
      </c>
      <c r="U139" s="106" t="str">
        <f t="shared" ca="1" si="6"/>
        <v/>
      </c>
      <c r="V139" s="108" t="str">
        <f t="shared" si="7"/>
        <v/>
      </c>
    </row>
    <row r="140" spans="1:22" x14ac:dyDescent="0.25">
      <c r="A140" s="18"/>
      <c r="B140" s="76"/>
      <c r="C140" s="80"/>
      <c r="D140" s="80"/>
      <c r="E140" s="76"/>
      <c r="F140" s="76"/>
      <c r="G140" s="76"/>
      <c r="H140" s="76"/>
      <c r="I140" s="121"/>
      <c r="J140" s="79"/>
      <c r="K140" s="76"/>
      <c r="L140" s="76"/>
      <c r="M140" s="76"/>
      <c r="N140" s="76"/>
      <c r="O140" s="76"/>
      <c r="P140" s="76"/>
      <c r="Q140" s="76"/>
      <c r="R140" s="17"/>
      <c r="S140" s="107"/>
      <c r="T140" s="76" t="str">
        <f t="shared" si="8"/>
        <v/>
      </c>
      <c r="U140" s="106" t="str">
        <f t="shared" ca="1" si="6"/>
        <v/>
      </c>
      <c r="V140" s="108" t="str">
        <f t="shared" si="7"/>
        <v/>
      </c>
    </row>
    <row r="141" spans="1:22" x14ac:dyDescent="0.25">
      <c r="A141" s="18"/>
      <c r="B141" s="76"/>
      <c r="C141" s="80"/>
      <c r="D141" s="80"/>
      <c r="E141" s="76"/>
      <c r="F141" s="76"/>
      <c r="G141" s="76"/>
      <c r="H141" s="76"/>
      <c r="I141" s="121"/>
      <c r="J141" s="79"/>
      <c r="K141" s="76"/>
      <c r="L141" s="76"/>
      <c r="M141" s="76"/>
      <c r="N141" s="76"/>
      <c r="O141" s="76"/>
      <c r="P141" s="76"/>
      <c r="Q141" s="76"/>
      <c r="R141" s="17"/>
      <c r="S141" s="107"/>
      <c r="T141" s="76" t="str">
        <f t="shared" si="8"/>
        <v/>
      </c>
      <c r="U141" s="106" t="str">
        <f t="shared" ca="1" si="6"/>
        <v/>
      </c>
      <c r="V141" s="108" t="str">
        <f t="shared" si="7"/>
        <v/>
      </c>
    </row>
    <row r="142" spans="1:22" x14ac:dyDescent="0.25">
      <c r="A142" s="18"/>
      <c r="B142" s="76"/>
      <c r="C142" s="80"/>
      <c r="D142" s="80"/>
      <c r="E142" s="76"/>
      <c r="F142" s="76"/>
      <c r="G142" s="76"/>
      <c r="H142" s="76"/>
      <c r="I142" s="121"/>
      <c r="J142" s="79"/>
      <c r="K142" s="76"/>
      <c r="L142" s="76"/>
      <c r="M142" s="76"/>
      <c r="N142" s="76"/>
      <c r="O142" s="76"/>
      <c r="P142" s="76"/>
      <c r="Q142" s="76"/>
      <c r="R142" s="17"/>
      <c r="S142" s="107"/>
      <c r="T142" s="76" t="str">
        <f t="shared" si="8"/>
        <v/>
      </c>
      <c r="U142" s="106" t="str">
        <f t="shared" ca="1" si="6"/>
        <v/>
      </c>
      <c r="V142" s="108" t="str">
        <f t="shared" si="7"/>
        <v/>
      </c>
    </row>
    <row r="143" spans="1:22" x14ac:dyDescent="0.25">
      <c r="A143" s="18"/>
      <c r="B143" s="76"/>
      <c r="C143" s="80"/>
      <c r="D143" s="80"/>
      <c r="E143" s="76"/>
      <c r="F143" s="76"/>
      <c r="G143" s="76"/>
      <c r="H143" s="76"/>
      <c r="I143" s="121"/>
      <c r="J143" s="79"/>
      <c r="K143" s="76"/>
      <c r="L143" s="76"/>
      <c r="M143" s="76"/>
      <c r="N143" s="76"/>
      <c r="O143" s="76"/>
      <c r="P143" s="76"/>
      <c r="Q143" s="76"/>
      <c r="R143" s="17"/>
      <c r="S143" s="107"/>
      <c r="T143" s="76" t="str">
        <f t="shared" si="8"/>
        <v/>
      </c>
      <c r="U143" s="106" t="str">
        <f t="shared" ca="1" si="6"/>
        <v/>
      </c>
      <c r="V143" s="108" t="str">
        <f t="shared" si="7"/>
        <v/>
      </c>
    </row>
    <row r="144" spans="1:22" x14ac:dyDescent="0.25">
      <c r="A144" s="18"/>
      <c r="B144" s="76"/>
      <c r="C144" s="80"/>
      <c r="D144" s="80"/>
      <c r="E144" s="76"/>
      <c r="F144" s="76"/>
      <c r="G144" s="76"/>
      <c r="H144" s="76"/>
      <c r="I144" s="121"/>
      <c r="J144" s="79"/>
      <c r="K144" s="76"/>
      <c r="L144" s="76"/>
      <c r="M144" s="76"/>
      <c r="N144" s="76"/>
      <c r="O144" s="76"/>
      <c r="P144" s="76"/>
      <c r="Q144" s="76"/>
      <c r="R144" s="17"/>
      <c r="S144" s="107"/>
      <c r="T144" s="76" t="str">
        <f t="shared" si="8"/>
        <v/>
      </c>
      <c r="U144" s="106" t="str">
        <f t="shared" ca="1" si="6"/>
        <v/>
      </c>
      <c r="V144" s="108" t="str">
        <f t="shared" si="7"/>
        <v/>
      </c>
    </row>
    <row r="145" spans="1:22" x14ac:dyDescent="0.25">
      <c r="A145" s="18"/>
      <c r="B145" s="76"/>
      <c r="C145" s="80"/>
      <c r="D145" s="80"/>
      <c r="E145" s="76"/>
      <c r="F145" s="76"/>
      <c r="G145" s="76"/>
      <c r="H145" s="76"/>
      <c r="I145" s="121"/>
      <c r="J145" s="79"/>
      <c r="K145" s="76"/>
      <c r="L145" s="76"/>
      <c r="M145" s="76"/>
      <c r="N145" s="76"/>
      <c r="O145" s="76"/>
      <c r="P145" s="76"/>
      <c r="Q145" s="76"/>
      <c r="R145" s="17"/>
      <c r="S145" s="107"/>
      <c r="T145" s="76" t="str">
        <f t="shared" si="8"/>
        <v/>
      </c>
      <c r="U145" s="106" t="str">
        <f t="shared" ca="1" si="6"/>
        <v/>
      </c>
      <c r="V145" s="108" t="str">
        <f t="shared" si="7"/>
        <v/>
      </c>
    </row>
    <row r="146" spans="1:22" x14ac:dyDescent="0.25">
      <c r="A146" s="18"/>
      <c r="B146" s="76"/>
      <c r="C146" s="80"/>
      <c r="D146" s="80"/>
      <c r="E146" s="76"/>
      <c r="F146" s="76"/>
      <c r="G146" s="76"/>
      <c r="H146" s="76"/>
      <c r="I146" s="121"/>
      <c r="J146" s="79"/>
      <c r="K146" s="76"/>
      <c r="L146" s="76"/>
      <c r="M146" s="76"/>
      <c r="N146" s="76"/>
      <c r="O146" s="76"/>
      <c r="P146" s="76"/>
      <c r="Q146" s="76"/>
      <c r="R146" s="17"/>
      <c r="S146" s="107"/>
      <c r="T146" s="76" t="str">
        <f t="shared" si="8"/>
        <v/>
      </c>
      <c r="U146" s="106" t="str">
        <f t="shared" ca="1" si="6"/>
        <v/>
      </c>
      <c r="V146" s="108" t="str">
        <f t="shared" si="7"/>
        <v/>
      </c>
    </row>
    <row r="147" spans="1:22" x14ac:dyDescent="0.25">
      <c r="A147" s="18"/>
      <c r="B147" s="76"/>
      <c r="C147" s="80"/>
      <c r="D147" s="80"/>
      <c r="E147" s="76"/>
      <c r="F147" s="76"/>
      <c r="G147" s="76"/>
      <c r="H147" s="76"/>
      <c r="I147" s="121"/>
      <c r="J147" s="79"/>
      <c r="K147" s="79"/>
      <c r="L147" s="76"/>
      <c r="M147" s="76"/>
      <c r="N147" s="76"/>
      <c r="O147" s="76"/>
      <c r="P147" s="76"/>
      <c r="Q147" s="76"/>
      <c r="R147" s="17"/>
      <c r="S147" s="107"/>
      <c r="T147" s="76" t="str">
        <f t="shared" si="8"/>
        <v/>
      </c>
      <c r="U147" s="106" t="str">
        <f t="shared" ca="1" si="6"/>
        <v/>
      </c>
      <c r="V147" s="108" t="str">
        <f t="shared" si="7"/>
        <v/>
      </c>
    </row>
    <row r="148" spans="1:22" x14ac:dyDescent="0.25">
      <c r="A148" s="18"/>
      <c r="B148" s="76"/>
      <c r="C148" s="80"/>
      <c r="D148" s="80"/>
      <c r="E148" s="76"/>
      <c r="F148" s="76"/>
      <c r="G148" s="76"/>
      <c r="H148" s="76"/>
      <c r="I148" s="121"/>
      <c r="J148" s="79"/>
      <c r="K148" s="79"/>
      <c r="L148" s="76"/>
      <c r="M148" s="76"/>
      <c r="N148" s="76"/>
      <c r="O148" s="76"/>
      <c r="P148" s="76"/>
      <c r="Q148" s="76"/>
      <c r="R148" s="17"/>
      <c r="S148" s="107"/>
      <c r="T148" s="76" t="str">
        <f t="shared" si="8"/>
        <v/>
      </c>
      <c r="U148" s="106" t="str">
        <f t="shared" ca="1" si="6"/>
        <v/>
      </c>
      <c r="V148" s="108" t="str">
        <f t="shared" si="7"/>
        <v/>
      </c>
    </row>
    <row r="149" spans="1:22" x14ac:dyDescent="0.25">
      <c r="A149" s="18"/>
      <c r="B149" s="76"/>
      <c r="C149" s="80"/>
      <c r="D149" s="80"/>
      <c r="E149" s="76"/>
      <c r="F149" s="76"/>
      <c r="G149" s="76"/>
      <c r="H149" s="76"/>
      <c r="I149" s="121"/>
      <c r="J149" s="79"/>
      <c r="K149" s="79"/>
      <c r="L149" s="76"/>
      <c r="M149" s="76"/>
      <c r="N149" s="76"/>
      <c r="O149" s="76"/>
      <c r="P149" s="76"/>
      <c r="Q149" s="76"/>
      <c r="R149" s="17"/>
      <c r="S149" s="107"/>
      <c r="T149" s="76" t="str">
        <f t="shared" si="8"/>
        <v/>
      </c>
      <c r="U149" s="106" t="str">
        <f t="shared" ca="1" si="6"/>
        <v/>
      </c>
      <c r="V149" s="108" t="str">
        <f t="shared" si="7"/>
        <v/>
      </c>
    </row>
    <row r="150" spans="1:22" x14ac:dyDescent="0.25">
      <c r="A150" s="18"/>
      <c r="B150" s="76"/>
      <c r="C150" s="80"/>
      <c r="D150" s="80"/>
      <c r="E150" s="76"/>
      <c r="F150" s="76"/>
      <c r="G150" s="76"/>
      <c r="H150" s="76"/>
      <c r="I150" s="121"/>
      <c r="J150" s="79"/>
      <c r="K150" s="79"/>
      <c r="L150" s="76"/>
      <c r="M150" s="76"/>
      <c r="N150" s="76"/>
      <c r="O150" s="76"/>
      <c r="P150" s="76"/>
      <c r="Q150" s="76"/>
      <c r="R150" s="17"/>
      <c r="S150" s="107"/>
      <c r="T150" s="76" t="str">
        <f t="shared" si="8"/>
        <v/>
      </c>
      <c r="U150" s="106" t="str">
        <f t="shared" ca="1" si="6"/>
        <v/>
      </c>
      <c r="V150" s="108" t="str">
        <f t="shared" si="7"/>
        <v/>
      </c>
    </row>
    <row r="151" spans="1:22" x14ac:dyDescent="0.25">
      <c r="A151" s="18"/>
      <c r="B151" s="76"/>
      <c r="C151" s="80"/>
      <c r="D151" s="80"/>
      <c r="E151" s="76"/>
      <c r="F151" s="76"/>
      <c r="G151" s="76"/>
      <c r="H151" s="76"/>
      <c r="I151" s="121"/>
      <c r="J151" s="76"/>
      <c r="K151" s="76"/>
      <c r="L151" s="76"/>
      <c r="M151" s="76"/>
      <c r="N151" s="76"/>
      <c r="O151" s="76"/>
      <c r="P151" s="76"/>
      <c r="Q151" s="76"/>
      <c r="R151" s="17"/>
      <c r="S151" s="107"/>
      <c r="T151" s="76" t="str">
        <f t="shared" si="8"/>
        <v/>
      </c>
      <c r="U151" s="106" t="str">
        <f t="shared" ca="1" si="6"/>
        <v/>
      </c>
      <c r="V151" s="108" t="str">
        <f t="shared" si="7"/>
        <v/>
      </c>
    </row>
    <row r="152" spans="1:22" x14ac:dyDescent="0.25">
      <c r="A152" s="18"/>
      <c r="B152" s="76"/>
      <c r="C152" s="80"/>
      <c r="D152" s="80"/>
      <c r="E152" s="76"/>
      <c r="F152" s="76"/>
      <c r="G152" s="76"/>
      <c r="H152" s="76"/>
      <c r="I152" s="121"/>
      <c r="J152" s="76"/>
      <c r="K152" s="76"/>
      <c r="L152" s="76"/>
      <c r="M152" s="76"/>
      <c r="N152" s="76"/>
      <c r="O152" s="76"/>
      <c r="P152" s="76"/>
      <c r="Q152" s="76"/>
      <c r="R152" s="17"/>
      <c r="S152" s="107"/>
      <c r="T152" s="76" t="str">
        <f t="shared" si="8"/>
        <v/>
      </c>
      <c r="U152" s="106" t="str">
        <f t="shared" ca="1" si="6"/>
        <v/>
      </c>
      <c r="V152" s="108" t="str">
        <f t="shared" si="7"/>
        <v/>
      </c>
    </row>
    <row r="153" spans="1:22" x14ac:dyDescent="0.25">
      <c r="A153" s="18"/>
      <c r="B153" s="76"/>
      <c r="C153" s="80"/>
      <c r="D153" s="80"/>
      <c r="E153" s="76"/>
      <c r="F153" s="76"/>
      <c r="G153" s="76"/>
      <c r="H153" s="76"/>
      <c r="I153" s="121"/>
      <c r="J153" s="76"/>
      <c r="K153" s="76"/>
      <c r="L153" s="76"/>
      <c r="M153" s="76"/>
      <c r="N153" s="76"/>
      <c r="O153" s="76"/>
      <c r="P153" s="76"/>
      <c r="Q153" s="76"/>
      <c r="R153" s="17"/>
      <c r="S153" s="107"/>
      <c r="T153" s="76" t="str">
        <f t="shared" si="8"/>
        <v/>
      </c>
      <c r="U153" s="106" t="str">
        <f t="shared" ca="1" si="6"/>
        <v/>
      </c>
      <c r="V153" s="108" t="str">
        <f t="shared" si="7"/>
        <v/>
      </c>
    </row>
    <row r="154" spans="1:22" x14ac:dyDescent="0.25">
      <c r="A154" s="18"/>
      <c r="B154" s="76"/>
      <c r="C154" s="80"/>
      <c r="D154" s="80"/>
      <c r="E154" s="76"/>
      <c r="F154" s="76"/>
      <c r="G154" s="76"/>
      <c r="H154" s="76"/>
      <c r="I154" s="121"/>
      <c r="J154" s="76"/>
      <c r="K154" s="76"/>
      <c r="L154" s="76"/>
      <c r="M154" s="76"/>
      <c r="N154" s="76"/>
      <c r="O154" s="76"/>
      <c r="P154" s="76"/>
      <c r="Q154" s="76"/>
      <c r="R154" s="17"/>
      <c r="S154" s="107"/>
      <c r="T154" s="76" t="str">
        <f t="shared" si="8"/>
        <v/>
      </c>
      <c r="U154" s="106" t="str">
        <f t="shared" ca="1" si="6"/>
        <v/>
      </c>
      <c r="V154" s="108" t="str">
        <f t="shared" si="7"/>
        <v/>
      </c>
    </row>
    <row r="155" spans="1:22" x14ac:dyDescent="0.25">
      <c r="A155" s="18"/>
      <c r="B155" s="76"/>
      <c r="C155" s="80"/>
      <c r="D155" s="80"/>
      <c r="E155" s="76"/>
      <c r="F155" s="76"/>
      <c r="G155" s="76"/>
      <c r="H155" s="76"/>
      <c r="I155" s="121"/>
      <c r="J155" s="76"/>
      <c r="K155" s="76"/>
      <c r="L155" s="76"/>
      <c r="M155" s="76"/>
      <c r="N155" s="76"/>
      <c r="O155" s="76"/>
      <c r="P155" s="76"/>
      <c r="Q155" s="76"/>
      <c r="R155" s="17"/>
      <c r="S155" s="107"/>
      <c r="T155" s="76" t="str">
        <f t="shared" si="8"/>
        <v/>
      </c>
      <c r="U155" s="106" t="str">
        <f t="shared" ca="1" si="6"/>
        <v/>
      </c>
      <c r="V155" s="108" t="str">
        <f t="shared" si="7"/>
        <v/>
      </c>
    </row>
    <row r="156" spans="1:22" x14ac:dyDescent="0.25">
      <c r="A156" s="18"/>
      <c r="B156" s="76"/>
      <c r="C156" s="80"/>
      <c r="D156" s="80"/>
      <c r="E156" s="76"/>
      <c r="F156" s="76"/>
      <c r="G156" s="76"/>
      <c r="H156" s="76"/>
      <c r="I156" s="121"/>
      <c r="J156" s="76"/>
      <c r="K156" s="76"/>
      <c r="L156" s="76"/>
      <c r="M156" s="76"/>
      <c r="N156" s="76"/>
      <c r="O156" s="76"/>
      <c r="P156" s="76"/>
      <c r="Q156" s="76"/>
      <c r="R156" s="17"/>
      <c r="S156" s="107"/>
      <c r="T156" s="76" t="str">
        <f t="shared" si="8"/>
        <v/>
      </c>
      <c r="U156" s="106" t="str">
        <f t="shared" ca="1" si="6"/>
        <v/>
      </c>
      <c r="V156" s="108" t="str">
        <f t="shared" si="7"/>
        <v/>
      </c>
    </row>
    <row r="157" spans="1:22" x14ac:dyDescent="0.25">
      <c r="A157" s="18"/>
      <c r="B157" s="76"/>
      <c r="C157" s="80"/>
      <c r="D157" s="80"/>
      <c r="E157" s="76"/>
      <c r="F157" s="76"/>
      <c r="G157" s="76"/>
      <c r="H157" s="76"/>
      <c r="I157" s="121"/>
      <c r="J157" s="76"/>
      <c r="K157" s="76"/>
      <c r="L157" s="76"/>
      <c r="M157" s="76"/>
      <c r="N157" s="76"/>
      <c r="O157" s="76"/>
      <c r="P157" s="76"/>
      <c r="Q157" s="76"/>
      <c r="R157" s="17"/>
      <c r="S157" s="107"/>
      <c r="T157" s="76" t="str">
        <f t="shared" si="8"/>
        <v/>
      </c>
      <c r="U157" s="106" t="str">
        <f t="shared" ca="1" si="6"/>
        <v/>
      </c>
      <c r="V157" s="108" t="str">
        <f t="shared" si="7"/>
        <v/>
      </c>
    </row>
    <row r="158" spans="1:22" x14ac:dyDescent="0.25">
      <c r="A158" s="18"/>
      <c r="B158" s="76"/>
      <c r="C158" s="80"/>
      <c r="D158" s="80"/>
      <c r="E158" s="76"/>
      <c r="F158" s="76"/>
      <c r="G158" s="76"/>
      <c r="H158" s="76"/>
      <c r="I158" s="121"/>
      <c r="J158" s="76"/>
      <c r="K158" s="76"/>
      <c r="L158" s="76"/>
      <c r="M158" s="76"/>
      <c r="N158" s="76"/>
      <c r="O158" s="76"/>
      <c r="P158" s="76"/>
      <c r="Q158" s="76"/>
      <c r="R158" s="17"/>
      <c r="S158" s="107"/>
      <c r="T158" s="76" t="str">
        <f t="shared" si="8"/>
        <v/>
      </c>
      <c r="U158" s="106" t="str">
        <f t="shared" ca="1" si="6"/>
        <v/>
      </c>
      <c r="V158" s="108" t="str">
        <f t="shared" si="7"/>
        <v/>
      </c>
    </row>
    <row r="159" spans="1:22" x14ac:dyDescent="0.25">
      <c r="A159" s="18"/>
      <c r="B159" s="76"/>
      <c r="C159" s="80"/>
      <c r="D159" s="80"/>
      <c r="E159" s="76"/>
      <c r="F159" s="76"/>
      <c r="G159" s="76"/>
      <c r="H159" s="76"/>
      <c r="I159" s="121"/>
      <c r="J159" s="76"/>
      <c r="K159" s="76"/>
      <c r="L159" s="76"/>
      <c r="M159" s="76"/>
      <c r="N159" s="76"/>
      <c r="O159" s="76"/>
      <c r="P159" s="76"/>
      <c r="Q159" s="76"/>
      <c r="R159" s="17"/>
      <c r="S159" s="107"/>
      <c r="T159" s="76" t="str">
        <f t="shared" si="8"/>
        <v/>
      </c>
      <c r="U159" s="106" t="str">
        <f t="shared" ca="1" si="6"/>
        <v/>
      </c>
      <c r="V159" s="108" t="str">
        <f t="shared" si="7"/>
        <v/>
      </c>
    </row>
    <row r="160" spans="1:22" x14ac:dyDescent="0.25">
      <c r="A160" s="18"/>
      <c r="B160" s="76"/>
      <c r="C160" s="80"/>
      <c r="D160" s="80"/>
      <c r="E160" s="76"/>
      <c r="F160" s="76"/>
      <c r="G160" s="76"/>
      <c r="H160" s="76"/>
      <c r="I160" s="121"/>
      <c r="J160" s="76"/>
      <c r="K160" s="76"/>
      <c r="L160" s="76"/>
      <c r="M160" s="76"/>
      <c r="N160" s="76"/>
      <c r="O160" s="76"/>
      <c r="P160" s="76"/>
      <c r="Q160" s="76"/>
      <c r="R160" s="17"/>
      <c r="S160" s="107"/>
      <c r="T160" s="76" t="str">
        <f t="shared" si="8"/>
        <v/>
      </c>
      <c r="U160" s="106" t="str">
        <f t="shared" ca="1" si="6"/>
        <v/>
      </c>
      <c r="V160" s="108" t="str">
        <f t="shared" si="7"/>
        <v/>
      </c>
    </row>
    <row r="161" spans="1:22" x14ac:dyDescent="0.25">
      <c r="A161" s="18"/>
      <c r="B161" s="76"/>
      <c r="C161" s="80"/>
      <c r="D161" s="80"/>
      <c r="E161" s="76"/>
      <c r="F161" s="76"/>
      <c r="G161" s="76"/>
      <c r="H161" s="76"/>
      <c r="I161" s="121"/>
      <c r="J161" s="76"/>
      <c r="K161" s="76"/>
      <c r="L161" s="76"/>
      <c r="M161" s="76"/>
      <c r="N161" s="76"/>
      <c r="O161" s="76"/>
      <c r="P161" s="76"/>
      <c r="Q161" s="76"/>
      <c r="R161" s="17"/>
      <c r="S161" s="107"/>
      <c r="T161" s="76" t="str">
        <f t="shared" si="8"/>
        <v/>
      </c>
      <c r="U161" s="106" t="str">
        <f t="shared" ca="1" si="6"/>
        <v/>
      </c>
      <c r="V161" s="108" t="str">
        <f t="shared" si="7"/>
        <v/>
      </c>
    </row>
    <row r="162" spans="1:22" x14ac:dyDescent="0.25">
      <c r="A162" s="18"/>
      <c r="B162" s="76"/>
      <c r="C162" s="80"/>
      <c r="D162" s="80"/>
      <c r="E162" s="76"/>
      <c r="F162" s="76"/>
      <c r="G162" s="76"/>
      <c r="H162" s="76"/>
      <c r="I162" s="121"/>
      <c r="J162" s="76"/>
      <c r="K162" s="76"/>
      <c r="L162" s="76"/>
      <c r="M162" s="76"/>
      <c r="N162" s="76"/>
      <c r="O162" s="76"/>
      <c r="P162" s="76"/>
      <c r="Q162" s="76"/>
      <c r="R162" s="17"/>
      <c r="S162" s="107"/>
      <c r="T162" s="76" t="str">
        <f t="shared" si="8"/>
        <v/>
      </c>
      <c r="U162" s="106" t="str">
        <f t="shared" ca="1" si="6"/>
        <v/>
      </c>
      <c r="V162" s="108" t="str">
        <f t="shared" si="7"/>
        <v/>
      </c>
    </row>
    <row r="163" spans="1:22" x14ac:dyDescent="0.25">
      <c r="A163" s="18"/>
      <c r="B163" s="76"/>
      <c r="C163" s="80"/>
      <c r="D163" s="80"/>
      <c r="E163" s="76"/>
      <c r="F163" s="76"/>
      <c r="G163" s="76"/>
      <c r="H163" s="76"/>
      <c r="I163" s="121"/>
      <c r="J163" s="76"/>
      <c r="K163" s="76"/>
      <c r="L163" s="76"/>
      <c r="M163" s="76"/>
      <c r="N163" s="76"/>
      <c r="O163" s="76"/>
      <c r="P163" s="76"/>
      <c r="Q163" s="76"/>
      <c r="R163" s="17"/>
      <c r="S163" s="107"/>
      <c r="T163" s="76" t="str">
        <f t="shared" si="8"/>
        <v/>
      </c>
      <c r="U163" s="106" t="str">
        <f t="shared" ca="1" si="6"/>
        <v/>
      </c>
      <c r="V163" s="108" t="str">
        <f t="shared" si="7"/>
        <v/>
      </c>
    </row>
    <row r="164" spans="1:22" x14ac:dyDescent="0.25">
      <c r="A164" s="18"/>
      <c r="B164" s="76"/>
      <c r="C164" s="80"/>
      <c r="D164" s="80"/>
      <c r="E164" s="76"/>
      <c r="F164" s="76"/>
      <c r="G164" s="76"/>
      <c r="H164" s="76"/>
      <c r="I164" s="121"/>
      <c r="J164" s="76"/>
      <c r="K164" s="76"/>
      <c r="L164" s="76"/>
      <c r="M164" s="76"/>
      <c r="N164" s="76"/>
      <c r="O164" s="76"/>
      <c r="P164" s="76"/>
      <c r="Q164" s="76"/>
      <c r="R164" s="17"/>
      <c r="S164" s="107"/>
      <c r="T164" s="76" t="str">
        <f t="shared" si="8"/>
        <v/>
      </c>
      <c r="U164" s="106" t="str">
        <f t="shared" ca="1" si="6"/>
        <v/>
      </c>
      <c r="V164" s="108" t="str">
        <f t="shared" si="7"/>
        <v/>
      </c>
    </row>
    <row r="165" spans="1:22" x14ac:dyDescent="0.25">
      <c r="A165" s="18"/>
      <c r="B165" s="76"/>
      <c r="C165" s="80"/>
      <c r="D165" s="80"/>
      <c r="E165" s="76"/>
      <c r="F165" s="76"/>
      <c r="G165" s="76"/>
      <c r="H165" s="76"/>
      <c r="I165" s="121"/>
      <c r="J165" s="76"/>
      <c r="K165" s="76"/>
      <c r="L165" s="76"/>
      <c r="M165" s="76"/>
      <c r="N165" s="76"/>
      <c r="O165" s="76"/>
      <c r="P165" s="76"/>
      <c r="Q165" s="76"/>
      <c r="R165" s="17"/>
      <c r="S165" s="107"/>
      <c r="T165" s="76" t="str">
        <f t="shared" si="8"/>
        <v/>
      </c>
      <c r="U165" s="106" t="str">
        <f t="shared" ca="1" si="6"/>
        <v/>
      </c>
      <c r="V165" s="108" t="str">
        <f t="shared" si="7"/>
        <v/>
      </c>
    </row>
    <row r="166" spans="1:22" x14ac:dyDescent="0.25">
      <c r="A166" s="18"/>
      <c r="B166" s="76"/>
      <c r="C166" s="80"/>
      <c r="D166" s="80"/>
      <c r="E166" s="76"/>
      <c r="F166" s="76"/>
      <c r="G166" s="76"/>
      <c r="H166" s="76"/>
      <c r="I166" s="121"/>
      <c r="J166" s="76"/>
      <c r="K166" s="76"/>
      <c r="L166" s="76"/>
      <c r="M166" s="76"/>
      <c r="N166" s="76"/>
      <c r="O166" s="76"/>
      <c r="P166" s="76"/>
      <c r="Q166" s="76"/>
      <c r="R166" s="17"/>
      <c r="S166" s="107"/>
      <c r="T166" s="76" t="str">
        <f t="shared" si="8"/>
        <v/>
      </c>
      <c r="U166" s="106" t="str">
        <f t="shared" ca="1" si="6"/>
        <v/>
      </c>
      <c r="V166" s="108" t="str">
        <f t="shared" si="7"/>
        <v/>
      </c>
    </row>
    <row r="167" spans="1:22" x14ac:dyDescent="0.25">
      <c r="A167" s="18"/>
      <c r="B167" s="76"/>
      <c r="C167" s="80"/>
      <c r="D167" s="80"/>
      <c r="E167" s="76"/>
      <c r="F167" s="76"/>
      <c r="G167" s="76"/>
      <c r="H167" s="76"/>
      <c r="I167" s="121"/>
      <c r="J167" s="76"/>
      <c r="K167" s="76"/>
      <c r="L167" s="76"/>
      <c r="M167" s="76"/>
      <c r="N167" s="76"/>
      <c r="O167" s="76"/>
      <c r="P167" s="76"/>
      <c r="Q167" s="76"/>
      <c r="R167" s="17"/>
      <c r="S167" s="107"/>
      <c r="T167" s="76" t="str">
        <f t="shared" si="8"/>
        <v/>
      </c>
      <c r="U167" s="106" t="str">
        <f t="shared" ca="1" si="6"/>
        <v/>
      </c>
      <c r="V167" s="108" t="str">
        <f t="shared" si="7"/>
        <v/>
      </c>
    </row>
    <row r="168" spans="1:22" x14ac:dyDescent="0.25">
      <c r="A168" s="18"/>
      <c r="B168" s="76"/>
      <c r="C168" s="80"/>
      <c r="D168" s="80"/>
      <c r="E168" s="76"/>
      <c r="F168" s="76"/>
      <c r="G168" s="76"/>
      <c r="H168" s="76"/>
      <c r="I168" s="121"/>
      <c r="J168" s="76"/>
      <c r="K168" s="76"/>
      <c r="L168" s="76"/>
      <c r="M168" s="76"/>
      <c r="N168" s="76"/>
      <c r="O168" s="76"/>
      <c r="P168" s="76"/>
      <c r="Q168" s="76"/>
      <c r="R168" s="17"/>
      <c r="S168" s="107"/>
      <c r="T168" s="76" t="str">
        <f t="shared" si="8"/>
        <v/>
      </c>
      <c r="U168" s="106" t="str">
        <f t="shared" ca="1" si="6"/>
        <v/>
      </c>
      <c r="V168" s="108" t="str">
        <f t="shared" si="7"/>
        <v/>
      </c>
    </row>
    <row r="169" spans="1:22" x14ac:dyDescent="0.25">
      <c r="A169" s="18"/>
      <c r="B169" s="76"/>
      <c r="C169" s="80"/>
      <c r="D169" s="80"/>
      <c r="E169" s="76"/>
      <c r="F169" s="76"/>
      <c r="G169" s="76"/>
      <c r="H169" s="76"/>
      <c r="I169" s="121"/>
      <c r="J169" s="76"/>
      <c r="K169" s="76"/>
      <c r="L169" s="76"/>
      <c r="M169" s="76"/>
      <c r="N169" s="76"/>
      <c r="O169" s="76"/>
      <c r="P169" s="76"/>
      <c r="Q169" s="76"/>
      <c r="R169" s="17"/>
      <c r="S169" s="107"/>
      <c r="T169" s="76" t="str">
        <f t="shared" si="8"/>
        <v/>
      </c>
      <c r="U169" s="106" t="str">
        <f t="shared" ca="1" si="6"/>
        <v/>
      </c>
      <c r="V169" s="108" t="str">
        <f t="shared" si="7"/>
        <v/>
      </c>
    </row>
    <row r="170" spans="1:22" x14ac:dyDescent="0.25">
      <c r="A170" s="18"/>
      <c r="B170" s="76"/>
      <c r="C170" s="80"/>
      <c r="D170" s="80"/>
      <c r="E170" s="76"/>
      <c r="F170" s="76"/>
      <c r="G170" s="76"/>
      <c r="H170" s="76"/>
      <c r="I170" s="121"/>
      <c r="J170" s="76"/>
      <c r="K170" s="76"/>
      <c r="L170" s="76"/>
      <c r="M170" s="76"/>
      <c r="N170" s="76"/>
      <c r="O170" s="76"/>
      <c r="P170" s="76"/>
      <c r="Q170" s="76"/>
      <c r="R170" s="17"/>
      <c r="S170" s="107"/>
      <c r="T170" s="76" t="str">
        <f t="shared" si="8"/>
        <v/>
      </c>
      <c r="U170" s="106" t="str">
        <f t="shared" ca="1" si="6"/>
        <v/>
      </c>
      <c r="V170" s="108" t="str">
        <f t="shared" si="7"/>
        <v/>
      </c>
    </row>
    <row r="171" spans="1:22" x14ac:dyDescent="0.25">
      <c r="A171" s="18"/>
      <c r="B171" s="76"/>
      <c r="C171" s="80"/>
      <c r="D171" s="80"/>
      <c r="E171" s="76"/>
      <c r="F171" s="76"/>
      <c r="G171" s="76"/>
      <c r="H171" s="76"/>
      <c r="I171" s="121"/>
      <c r="J171" s="76"/>
      <c r="K171" s="76"/>
      <c r="L171" s="76"/>
      <c r="M171" s="76"/>
      <c r="N171" s="76"/>
      <c r="O171" s="76"/>
      <c r="P171" s="76"/>
      <c r="Q171" s="76"/>
      <c r="R171" s="17"/>
      <c r="S171" s="107"/>
      <c r="T171" s="76" t="str">
        <f t="shared" si="8"/>
        <v/>
      </c>
      <c r="U171" s="106" t="str">
        <f t="shared" ca="1" si="6"/>
        <v/>
      </c>
      <c r="V171" s="108" t="str">
        <f t="shared" si="7"/>
        <v/>
      </c>
    </row>
    <row r="172" spans="1:22" x14ac:dyDescent="0.25">
      <c r="A172" s="18"/>
      <c r="B172" s="76"/>
      <c r="C172" s="80"/>
      <c r="D172" s="80"/>
      <c r="E172" s="76"/>
      <c r="F172" s="76"/>
      <c r="G172" s="76"/>
      <c r="H172" s="76"/>
      <c r="I172" s="121"/>
      <c r="J172" s="76"/>
      <c r="K172" s="76"/>
      <c r="L172" s="76"/>
      <c r="M172" s="76"/>
      <c r="N172" s="76"/>
      <c r="O172" s="76"/>
      <c r="P172" s="76"/>
      <c r="Q172" s="76"/>
      <c r="R172" s="17"/>
      <c r="S172" s="107"/>
      <c r="T172" s="76" t="str">
        <f t="shared" si="8"/>
        <v/>
      </c>
      <c r="U172" s="106" t="str">
        <f t="shared" ca="1" si="6"/>
        <v/>
      </c>
      <c r="V172" s="108" t="str">
        <f t="shared" si="7"/>
        <v/>
      </c>
    </row>
    <row r="173" spans="1:22" x14ac:dyDescent="0.25">
      <c r="A173" s="18"/>
      <c r="B173" s="76"/>
      <c r="C173" s="80"/>
      <c r="D173" s="80"/>
      <c r="E173" s="76"/>
      <c r="F173" s="76"/>
      <c r="G173" s="76"/>
      <c r="H173" s="76"/>
      <c r="I173" s="121"/>
      <c r="J173" s="76"/>
      <c r="K173" s="76"/>
      <c r="L173" s="76"/>
      <c r="M173" s="76"/>
      <c r="N173" s="76"/>
      <c r="O173" s="76"/>
      <c r="P173" s="76"/>
      <c r="Q173" s="76"/>
      <c r="R173" s="17"/>
      <c r="S173" s="107"/>
      <c r="T173" s="76" t="str">
        <f t="shared" si="8"/>
        <v/>
      </c>
      <c r="U173" s="106" t="str">
        <f t="shared" ca="1" si="6"/>
        <v/>
      </c>
      <c r="V173" s="108" t="str">
        <f t="shared" si="7"/>
        <v/>
      </c>
    </row>
    <row r="174" spans="1:22" x14ac:dyDescent="0.25">
      <c r="A174" s="18"/>
      <c r="B174" s="76"/>
      <c r="C174" s="80"/>
      <c r="D174" s="80"/>
      <c r="E174" s="76"/>
      <c r="F174" s="76"/>
      <c r="G174" s="76"/>
      <c r="H174" s="76"/>
      <c r="I174" s="121"/>
      <c r="J174" s="76"/>
      <c r="K174" s="76"/>
      <c r="L174" s="76"/>
      <c r="M174" s="76"/>
      <c r="N174" s="76"/>
      <c r="O174" s="76"/>
      <c r="P174" s="76"/>
      <c r="Q174" s="76"/>
      <c r="R174" s="17"/>
      <c r="S174" s="107"/>
      <c r="T174" s="76" t="str">
        <f t="shared" si="8"/>
        <v/>
      </c>
      <c r="U174" s="106" t="str">
        <f t="shared" ca="1" si="6"/>
        <v/>
      </c>
      <c r="V174" s="108" t="str">
        <f t="shared" si="7"/>
        <v/>
      </c>
    </row>
    <row r="175" spans="1:22" x14ac:dyDescent="0.25">
      <c r="A175" s="18"/>
      <c r="B175" s="76"/>
      <c r="C175" s="80"/>
      <c r="D175" s="80"/>
      <c r="E175" s="76"/>
      <c r="F175" s="76"/>
      <c r="G175" s="76"/>
      <c r="H175" s="76"/>
      <c r="I175" s="121"/>
      <c r="J175" s="76"/>
      <c r="K175" s="76"/>
      <c r="L175" s="76"/>
      <c r="M175" s="76"/>
      <c r="N175" s="76"/>
      <c r="O175" s="76"/>
      <c r="P175" s="76"/>
      <c r="Q175" s="76"/>
      <c r="R175" s="17"/>
      <c r="S175" s="107"/>
      <c r="T175" s="76" t="str">
        <f t="shared" si="8"/>
        <v/>
      </c>
      <c r="U175" s="106" t="str">
        <f t="shared" ca="1" si="6"/>
        <v/>
      </c>
      <c r="V175" s="108" t="str">
        <f t="shared" si="7"/>
        <v/>
      </c>
    </row>
    <row r="176" spans="1:22" x14ac:dyDescent="0.25">
      <c r="A176" s="18"/>
      <c r="B176" s="76"/>
      <c r="C176" s="80"/>
      <c r="D176" s="80"/>
      <c r="E176" s="76"/>
      <c r="F176" s="76"/>
      <c r="G176" s="76"/>
      <c r="H176" s="76"/>
      <c r="I176" s="121"/>
      <c r="J176" s="76"/>
      <c r="K176" s="76"/>
      <c r="L176" s="76"/>
      <c r="M176" s="76"/>
      <c r="N176" s="76"/>
      <c r="O176" s="76"/>
      <c r="P176" s="76"/>
      <c r="Q176" s="76"/>
      <c r="R176" s="17"/>
      <c r="S176" s="107"/>
      <c r="T176" s="76" t="str">
        <f t="shared" si="8"/>
        <v/>
      </c>
      <c r="U176" s="106" t="str">
        <f t="shared" ca="1" si="6"/>
        <v/>
      </c>
      <c r="V176" s="108" t="str">
        <f t="shared" si="7"/>
        <v/>
      </c>
    </row>
    <row r="177" spans="1:22" x14ac:dyDescent="0.25">
      <c r="A177" s="18"/>
      <c r="B177" s="76"/>
      <c r="C177" s="80"/>
      <c r="D177" s="80"/>
      <c r="E177" s="76"/>
      <c r="F177" s="76"/>
      <c r="G177" s="76"/>
      <c r="H177" s="76"/>
      <c r="I177" s="121"/>
      <c r="J177" s="76"/>
      <c r="K177" s="76"/>
      <c r="L177" s="76"/>
      <c r="M177" s="76"/>
      <c r="N177" s="76"/>
      <c r="O177" s="76"/>
      <c r="P177" s="76"/>
      <c r="Q177" s="76"/>
      <c r="R177" s="17"/>
      <c r="S177" s="107"/>
      <c r="T177" s="76" t="str">
        <f t="shared" si="8"/>
        <v/>
      </c>
      <c r="U177" s="106" t="str">
        <f t="shared" ca="1" si="6"/>
        <v/>
      </c>
      <c r="V177" s="108" t="str">
        <f t="shared" si="7"/>
        <v/>
      </c>
    </row>
    <row r="178" spans="1:22" x14ac:dyDescent="0.25">
      <c r="A178" s="18"/>
      <c r="B178" s="76"/>
      <c r="C178" s="80"/>
      <c r="D178" s="80"/>
      <c r="E178" s="76"/>
      <c r="F178" s="76"/>
      <c r="G178" s="76"/>
      <c r="H178" s="76"/>
      <c r="I178" s="121"/>
      <c r="J178" s="76"/>
      <c r="K178" s="76"/>
      <c r="L178" s="76"/>
      <c r="M178" s="76"/>
      <c r="N178" s="76"/>
      <c r="O178" s="76"/>
      <c r="P178" s="76"/>
      <c r="Q178" s="76"/>
      <c r="R178" s="17"/>
      <c r="S178" s="107"/>
      <c r="T178" s="76" t="str">
        <f t="shared" si="8"/>
        <v/>
      </c>
      <c r="U178" s="106" t="str">
        <f t="shared" ca="1" si="6"/>
        <v/>
      </c>
      <c r="V178" s="108" t="str">
        <f t="shared" si="7"/>
        <v/>
      </c>
    </row>
    <row r="179" spans="1:22" x14ac:dyDescent="0.25">
      <c r="A179" s="18"/>
      <c r="B179" s="76"/>
      <c r="C179" s="80"/>
      <c r="D179" s="80"/>
      <c r="E179" s="76"/>
      <c r="F179" s="76"/>
      <c r="G179" s="76"/>
      <c r="H179" s="76"/>
      <c r="I179" s="121"/>
      <c r="J179" s="76"/>
      <c r="K179" s="76"/>
      <c r="L179" s="76"/>
      <c r="M179" s="76"/>
      <c r="N179" s="76"/>
      <c r="O179" s="76"/>
      <c r="P179" s="76"/>
      <c r="Q179" s="76"/>
      <c r="R179" s="17"/>
      <c r="S179" s="107"/>
      <c r="T179" s="76" t="str">
        <f t="shared" si="8"/>
        <v/>
      </c>
      <c r="U179" s="106" t="str">
        <f t="shared" ca="1" si="6"/>
        <v/>
      </c>
      <c r="V179" s="108" t="str">
        <f t="shared" si="7"/>
        <v/>
      </c>
    </row>
    <row r="180" spans="1:22" x14ac:dyDescent="0.25">
      <c r="A180" s="18"/>
      <c r="B180" s="76"/>
      <c r="C180" s="80"/>
      <c r="D180" s="80"/>
      <c r="E180" s="76"/>
      <c r="F180" s="76"/>
      <c r="G180" s="76"/>
      <c r="H180" s="76"/>
      <c r="I180" s="121"/>
      <c r="J180" s="76"/>
      <c r="K180" s="76"/>
      <c r="L180" s="76"/>
      <c r="M180" s="76"/>
      <c r="N180" s="76"/>
      <c r="O180" s="76"/>
      <c r="P180" s="76"/>
      <c r="Q180" s="76"/>
      <c r="R180" s="17"/>
      <c r="S180" s="107"/>
      <c r="T180" s="76" t="str">
        <f t="shared" si="8"/>
        <v/>
      </c>
      <c r="U180" s="106" t="str">
        <f t="shared" ca="1" si="6"/>
        <v/>
      </c>
      <c r="V180" s="108" t="str">
        <f t="shared" si="7"/>
        <v/>
      </c>
    </row>
    <row r="181" spans="1:22" x14ac:dyDescent="0.25">
      <c r="A181" s="18"/>
      <c r="B181" s="76"/>
      <c r="C181" s="80"/>
      <c r="D181" s="80"/>
      <c r="E181" s="76"/>
      <c r="F181" s="76"/>
      <c r="G181" s="76"/>
      <c r="H181" s="76"/>
      <c r="I181" s="121"/>
      <c r="J181" s="76"/>
      <c r="K181" s="76"/>
      <c r="L181" s="76"/>
      <c r="M181" s="76"/>
      <c r="N181" s="76"/>
      <c r="O181" s="76"/>
      <c r="P181" s="76"/>
      <c r="Q181" s="76"/>
      <c r="R181" s="17"/>
      <c r="S181" s="107"/>
      <c r="T181" s="76" t="str">
        <f t="shared" si="8"/>
        <v/>
      </c>
      <c r="U181" s="106" t="str">
        <f t="shared" ca="1" si="6"/>
        <v/>
      </c>
      <c r="V181" s="108" t="str">
        <f t="shared" si="7"/>
        <v/>
      </c>
    </row>
    <row r="182" spans="1:22" x14ac:dyDescent="0.25">
      <c r="A182" s="18"/>
      <c r="B182" s="76"/>
      <c r="C182" s="80"/>
      <c r="D182" s="80"/>
      <c r="E182" s="76"/>
      <c r="F182" s="76"/>
      <c r="G182" s="76"/>
      <c r="H182" s="76"/>
      <c r="I182" s="121"/>
      <c r="J182" s="76"/>
      <c r="K182" s="76"/>
      <c r="L182" s="76"/>
      <c r="M182" s="76"/>
      <c r="N182" s="76"/>
      <c r="O182" s="76"/>
      <c r="P182" s="76"/>
      <c r="Q182" s="76"/>
      <c r="R182" s="17"/>
      <c r="S182" s="107"/>
      <c r="T182" s="76" t="str">
        <f t="shared" si="8"/>
        <v/>
      </c>
      <c r="U182" s="106" t="str">
        <f t="shared" ca="1" si="6"/>
        <v/>
      </c>
      <c r="V182" s="108" t="str">
        <f t="shared" si="7"/>
        <v/>
      </c>
    </row>
    <row r="183" spans="1:22" x14ac:dyDescent="0.25">
      <c r="A183" s="18"/>
      <c r="B183" s="76"/>
      <c r="C183" s="80"/>
      <c r="D183" s="80"/>
      <c r="E183" s="76"/>
      <c r="F183" s="76"/>
      <c r="G183" s="76"/>
      <c r="H183" s="76"/>
      <c r="I183" s="121"/>
      <c r="J183" s="76"/>
      <c r="K183" s="76"/>
      <c r="L183" s="76"/>
      <c r="M183" s="76"/>
      <c r="N183" s="76"/>
      <c r="O183" s="76"/>
      <c r="P183" s="76"/>
      <c r="Q183" s="76"/>
      <c r="R183" s="17"/>
      <c r="S183" s="107"/>
      <c r="T183" s="76" t="str">
        <f t="shared" si="8"/>
        <v/>
      </c>
      <c r="U183" s="106" t="str">
        <f t="shared" ca="1" si="6"/>
        <v/>
      </c>
      <c r="V183" s="108" t="str">
        <f t="shared" si="7"/>
        <v/>
      </c>
    </row>
    <row r="184" spans="1:22" x14ac:dyDescent="0.25">
      <c r="A184" s="18"/>
      <c r="B184" s="76"/>
      <c r="C184" s="80"/>
      <c r="D184" s="80"/>
      <c r="E184" s="76"/>
      <c r="F184" s="76"/>
      <c r="G184" s="76"/>
      <c r="H184" s="76"/>
      <c r="I184" s="121"/>
      <c r="J184" s="76"/>
      <c r="K184" s="76"/>
      <c r="L184" s="76"/>
      <c r="M184" s="76"/>
      <c r="N184" s="76"/>
      <c r="O184" s="76"/>
      <c r="P184" s="76"/>
      <c r="Q184" s="76"/>
      <c r="R184" s="17"/>
      <c r="S184" s="107"/>
      <c r="T184" s="76" t="str">
        <f t="shared" si="8"/>
        <v/>
      </c>
      <c r="U184" s="106" t="str">
        <f t="shared" ca="1" si="6"/>
        <v/>
      </c>
      <c r="V184" s="108" t="str">
        <f t="shared" si="7"/>
        <v/>
      </c>
    </row>
    <row r="185" spans="1:22" x14ac:dyDescent="0.25">
      <c r="A185" s="18"/>
      <c r="B185" s="76"/>
      <c r="C185" s="80"/>
      <c r="D185" s="80"/>
      <c r="E185" s="76"/>
      <c r="F185" s="76"/>
      <c r="G185" s="76"/>
      <c r="H185" s="76"/>
      <c r="I185" s="121"/>
      <c r="J185" s="76"/>
      <c r="K185" s="76"/>
      <c r="L185" s="76"/>
      <c r="M185" s="76"/>
      <c r="N185" s="76"/>
      <c r="O185" s="76"/>
      <c r="P185" s="76"/>
      <c r="Q185" s="76"/>
      <c r="R185" s="17"/>
      <c r="S185" s="107"/>
      <c r="T185" s="76" t="str">
        <f t="shared" si="8"/>
        <v/>
      </c>
      <c r="U185" s="106" t="str">
        <f t="shared" ca="1" si="6"/>
        <v/>
      </c>
      <c r="V185" s="108" t="str">
        <f t="shared" si="7"/>
        <v/>
      </c>
    </row>
    <row r="186" spans="1:22" x14ac:dyDescent="0.25">
      <c r="A186" s="18"/>
      <c r="B186" s="76"/>
      <c r="C186" s="80"/>
      <c r="D186" s="80"/>
      <c r="E186" s="76"/>
      <c r="F186" s="76"/>
      <c r="G186" s="76"/>
      <c r="H186" s="76"/>
      <c r="I186" s="121"/>
      <c r="J186" s="76"/>
      <c r="K186" s="76"/>
      <c r="L186" s="76"/>
      <c r="M186" s="76"/>
      <c r="N186" s="76"/>
      <c r="O186" s="76"/>
      <c r="P186" s="76"/>
      <c r="Q186" s="76"/>
      <c r="R186" s="17"/>
      <c r="S186" s="107"/>
      <c r="T186" s="76" t="str">
        <f t="shared" si="8"/>
        <v/>
      </c>
      <c r="U186" s="106" t="str">
        <f t="shared" ca="1" si="6"/>
        <v/>
      </c>
      <c r="V186" s="108" t="str">
        <f t="shared" si="7"/>
        <v/>
      </c>
    </row>
    <row r="187" spans="1:22" x14ac:dyDescent="0.25">
      <c r="A187" s="18"/>
      <c r="B187" s="76"/>
      <c r="C187" s="80"/>
      <c r="D187" s="80"/>
      <c r="E187" s="76"/>
      <c r="F187" s="76"/>
      <c r="G187" s="76"/>
      <c r="H187" s="76"/>
      <c r="I187" s="121"/>
      <c r="J187" s="76"/>
      <c r="K187" s="76"/>
      <c r="L187" s="76"/>
      <c r="M187" s="76"/>
      <c r="N187" s="76"/>
      <c r="O187" s="76"/>
      <c r="P187" s="76"/>
      <c r="Q187" s="76"/>
      <c r="R187" s="17"/>
      <c r="S187" s="107"/>
      <c r="T187" s="76" t="str">
        <f t="shared" si="8"/>
        <v/>
      </c>
      <c r="U187" s="106" t="str">
        <f t="shared" ca="1" si="6"/>
        <v/>
      </c>
      <c r="V187" s="108" t="str">
        <f t="shared" si="7"/>
        <v/>
      </c>
    </row>
    <row r="188" spans="1:22" x14ac:dyDescent="0.25">
      <c r="A188" s="18"/>
      <c r="B188" s="76"/>
      <c r="C188" s="80"/>
      <c r="D188" s="80"/>
      <c r="E188" s="76"/>
      <c r="F188" s="76"/>
      <c r="G188" s="76"/>
      <c r="H188" s="76"/>
      <c r="I188" s="121"/>
      <c r="J188" s="76"/>
      <c r="K188" s="76"/>
      <c r="L188" s="76"/>
      <c r="M188" s="76"/>
      <c r="N188" s="76"/>
      <c r="O188" s="76"/>
      <c r="P188" s="76"/>
      <c r="Q188" s="76"/>
      <c r="R188" s="17"/>
      <c r="S188" s="107"/>
      <c r="T188" s="76" t="str">
        <f t="shared" si="8"/>
        <v/>
      </c>
      <c r="U188" s="106" t="str">
        <f t="shared" ca="1" si="6"/>
        <v/>
      </c>
      <c r="V188" s="108" t="str">
        <f t="shared" si="7"/>
        <v/>
      </c>
    </row>
    <row r="189" spans="1:22" x14ac:dyDescent="0.25">
      <c r="A189" s="18"/>
      <c r="B189" s="76"/>
      <c r="C189" s="80"/>
      <c r="D189" s="80"/>
      <c r="E189" s="76"/>
      <c r="F189" s="76"/>
      <c r="G189" s="76"/>
      <c r="H189" s="76"/>
      <c r="I189" s="121"/>
      <c r="J189" s="76"/>
      <c r="K189" s="76"/>
      <c r="L189" s="76"/>
      <c r="M189" s="76"/>
      <c r="N189" s="76"/>
      <c r="O189" s="76"/>
      <c r="P189" s="76"/>
      <c r="Q189" s="76"/>
      <c r="R189" s="17"/>
      <c r="S189" s="107"/>
      <c r="T189" s="76" t="str">
        <f t="shared" si="8"/>
        <v/>
      </c>
      <c r="U189" s="106" t="str">
        <f t="shared" ca="1" si="6"/>
        <v/>
      </c>
      <c r="V189" s="108" t="str">
        <f t="shared" si="7"/>
        <v/>
      </c>
    </row>
    <row r="190" spans="1:22" x14ac:dyDescent="0.25">
      <c r="A190" s="18"/>
      <c r="B190" s="76"/>
      <c r="C190" s="80"/>
      <c r="D190" s="80"/>
      <c r="E190" s="76"/>
      <c r="F190" s="76"/>
      <c r="G190" s="76"/>
      <c r="H190" s="76"/>
      <c r="I190" s="121"/>
      <c r="J190" s="76"/>
      <c r="K190" s="76"/>
      <c r="L190" s="76"/>
      <c r="M190" s="76"/>
      <c r="N190" s="76"/>
      <c r="O190" s="76"/>
      <c r="P190" s="76"/>
      <c r="Q190" s="76"/>
      <c r="R190" s="17"/>
      <c r="S190" s="107"/>
      <c r="T190" s="76" t="str">
        <f t="shared" si="8"/>
        <v/>
      </c>
      <c r="U190" s="106" t="str">
        <f t="shared" ca="1" si="6"/>
        <v/>
      </c>
      <c r="V190" s="108" t="str">
        <f t="shared" si="7"/>
        <v/>
      </c>
    </row>
    <row r="191" spans="1:22" x14ac:dyDescent="0.25">
      <c r="A191" s="18"/>
      <c r="B191" s="76"/>
      <c r="C191" s="80"/>
      <c r="D191" s="80"/>
      <c r="E191" s="76"/>
      <c r="F191" s="76"/>
      <c r="G191" s="76"/>
      <c r="H191" s="76"/>
      <c r="I191" s="121"/>
      <c r="J191" s="76"/>
      <c r="K191" s="76"/>
      <c r="L191" s="76"/>
      <c r="M191" s="76"/>
      <c r="N191" s="76"/>
      <c r="O191" s="76"/>
      <c r="P191" s="76"/>
      <c r="Q191" s="76"/>
      <c r="R191" s="17"/>
      <c r="S191" s="107"/>
      <c r="T191" s="76" t="str">
        <f t="shared" si="8"/>
        <v/>
      </c>
      <c r="U191" s="106" t="str">
        <f t="shared" ca="1" si="6"/>
        <v/>
      </c>
      <c r="V191" s="108" t="str">
        <f t="shared" si="7"/>
        <v/>
      </c>
    </row>
    <row r="192" spans="1:22" x14ac:dyDescent="0.25">
      <c r="A192" s="18"/>
      <c r="B192" s="76"/>
      <c r="C192" s="80"/>
      <c r="D192" s="80"/>
      <c r="E192" s="76"/>
      <c r="F192" s="76"/>
      <c r="G192" s="76"/>
      <c r="H192" s="76"/>
      <c r="I192" s="121"/>
      <c r="J192" s="76"/>
      <c r="K192" s="76"/>
      <c r="L192" s="76"/>
      <c r="M192" s="76"/>
      <c r="N192" s="76"/>
      <c r="O192" s="76"/>
      <c r="P192" s="76"/>
      <c r="Q192" s="76"/>
      <c r="R192" s="17"/>
      <c r="S192" s="107"/>
      <c r="T192" s="76" t="str">
        <f t="shared" si="8"/>
        <v/>
      </c>
      <c r="U192" s="106" t="str">
        <f t="shared" ca="1" si="6"/>
        <v/>
      </c>
      <c r="V192" s="108" t="str">
        <f t="shared" si="7"/>
        <v/>
      </c>
    </row>
    <row r="193" spans="1:22" x14ac:dyDescent="0.25">
      <c r="A193" s="18"/>
      <c r="B193" s="76"/>
      <c r="C193" s="80"/>
      <c r="D193" s="80"/>
      <c r="E193" s="76"/>
      <c r="F193" s="76"/>
      <c r="G193" s="76"/>
      <c r="H193" s="76"/>
      <c r="I193" s="121"/>
      <c r="J193" s="76"/>
      <c r="K193" s="76"/>
      <c r="L193" s="76"/>
      <c r="M193" s="76"/>
      <c r="N193" s="76"/>
      <c r="O193" s="76"/>
      <c r="P193" s="76"/>
      <c r="Q193" s="76"/>
      <c r="R193" s="17"/>
      <c r="S193" s="107"/>
      <c r="T193" s="76" t="str">
        <f t="shared" si="8"/>
        <v/>
      </c>
      <c r="U193" s="106" t="str">
        <f t="shared" ca="1" si="6"/>
        <v/>
      </c>
      <c r="V193" s="108" t="str">
        <f t="shared" si="7"/>
        <v/>
      </c>
    </row>
    <row r="194" spans="1:22" x14ac:dyDescent="0.25">
      <c r="A194" s="18"/>
      <c r="B194" s="76"/>
      <c r="C194" s="80"/>
      <c r="D194" s="80"/>
      <c r="E194" s="76"/>
      <c r="F194" s="76"/>
      <c r="G194" s="76"/>
      <c r="H194" s="76"/>
      <c r="I194" s="121"/>
      <c r="J194" s="76"/>
      <c r="K194" s="76"/>
      <c r="L194" s="76"/>
      <c r="M194" s="76"/>
      <c r="N194" s="76"/>
      <c r="O194" s="76"/>
      <c r="P194" s="76"/>
      <c r="Q194" s="76"/>
      <c r="R194" s="17"/>
      <c r="S194" s="107"/>
      <c r="T194" s="76" t="str">
        <f t="shared" si="8"/>
        <v/>
      </c>
      <c r="U194" s="106" t="str">
        <f t="shared" ref="U194:U201" ca="1" si="9">IF(ISNUMBER(C194), C194 - TODAY(), "")</f>
        <v/>
      </c>
      <c r="V194" s="108" t="str">
        <f t="shared" ref="V194:V201" si="10">IF(AND(C194&gt;=DATE(2025,1,26),C194&lt;=DATE(2025,1,31)),"Arab Health",
IF(AND(C194&gt;=DATE(2025,2,16),C194&lt;=DATE(2025,2,21)),"Gulf Food",
IF(AND(C194&gt;=DATE(2025,3,1),C194&lt;=DATE(2025,3,29)),"Ramadan",
IF(AND(C194&gt;=DATE(2025,3,30),C194&lt;=DATE(2025,4,2)),"Eid Al Fitr",
IF(AND(C194&gt;=DATE(2025,6,6),C194&lt;=DATE(2025,6,9)),"Eid Al Adha",
IF(AND(C194&gt;=DATE(2025,10,12),C194&lt;=DATE(2025,10,17)),"GITEX",
IF(AND(C194&gt;=DATE(2025,11,3),C194&lt;=DATE(2025,11,7)),"Gulf Food Manufacturing",
IF(AND(C194&gt;=DATE(2025,11,16),C194&lt;=DATE(2025,11,21)),"Air Show",
IF(AND(C194&gt;=DATE(2025,11,23),C194&lt;=DATE(2025,11,28)),"Big 5",
IF(AND(C194&gt;=DATE(2025,11,29),C194&lt;=DATE(2025,12,2)),"National Day Holidays",
IF(AND(C194&gt;=DATE(2025,12,4),C194&lt;=DATE(2025,12,7)),"F1 Yas Island",
IF(AND(C194&gt;=DATE(2025,12,26),C194&lt;=DATE(2025,12,31)),"New Year's Eve",""))))))))))))</f>
        <v/>
      </c>
    </row>
    <row r="195" spans="1:22" x14ac:dyDescent="0.25">
      <c r="A195" s="18"/>
      <c r="B195" s="76"/>
      <c r="C195" s="80"/>
      <c r="D195" s="80"/>
      <c r="E195" s="76"/>
      <c r="F195" s="76"/>
      <c r="G195" s="76"/>
      <c r="H195" s="76"/>
      <c r="I195" s="121"/>
      <c r="J195" s="76"/>
      <c r="K195" s="76"/>
      <c r="L195" s="76"/>
      <c r="M195" s="76"/>
      <c r="N195" s="76"/>
      <c r="O195" s="76"/>
      <c r="P195" s="76"/>
      <c r="Q195" s="76"/>
      <c r="R195" s="17"/>
      <c r="S195" s="107"/>
      <c r="T195" s="76" t="str">
        <f t="shared" ref="T195:T201" si="11">IF(OR(AND(ISNUMBER(C195), OR(MONTH(C195)&lt;=4, MONTH(C195)&gt;=10)), AND(ISNUMBER(D195), OR(MONTH(D195)&lt;=4, MONTH(D195)&gt;=10))), "Winter", IF(OR(AND(ISNUMBER(C195), MONTH(C195)&gt;=5, MONTH(C195)&lt;=9), AND(ISNUMBER(D195), MONTH(D195)&gt;=5, MONTH(D195)&lt;=9)), "Summer", ""))</f>
        <v/>
      </c>
      <c r="U195" s="106" t="str">
        <f t="shared" ca="1" si="9"/>
        <v/>
      </c>
      <c r="V195" s="108" t="str">
        <f t="shared" si="10"/>
        <v/>
      </c>
    </row>
    <row r="196" spans="1:22" x14ac:dyDescent="0.25">
      <c r="A196" s="18"/>
      <c r="B196" s="76"/>
      <c r="C196" s="80"/>
      <c r="D196" s="80"/>
      <c r="E196" s="76"/>
      <c r="F196" s="76"/>
      <c r="G196" s="76"/>
      <c r="H196" s="76"/>
      <c r="I196" s="121"/>
      <c r="J196" s="76"/>
      <c r="K196" s="76"/>
      <c r="L196" s="76"/>
      <c r="M196" s="76"/>
      <c r="N196" s="76"/>
      <c r="O196" s="76"/>
      <c r="P196" s="76"/>
      <c r="Q196" s="76"/>
      <c r="R196" s="17"/>
      <c r="S196" s="107"/>
      <c r="T196" s="76" t="str">
        <f t="shared" si="11"/>
        <v/>
      </c>
      <c r="U196" s="106" t="str">
        <f t="shared" ca="1" si="9"/>
        <v/>
      </c>
      <c r="V196" s="108" t="str">
        <f t="shared" si="10"/>
        <v/>
      </c>
    </row>
    <row r="197" spans="1:22" x14ac:dyDescent="0.25">
      <c r="A197" s="18"/>
      <c r="B197" s="76"/>
      <c r="C197" s="80"/>
      <c r="D197" s="80"/>
      <c r="E197" s="76"/>
      <c r="F197" s="76"/>
      <c r="G197" s="76"/>
      <c r="H197" s="76"/>
      <c r="I197" s="121"/>
      <c r="J197" s="76"/>
      <c r="K197" s="76"/>
      <c r="L197" s="76"/>
      <c r="M197" s="76"/>
      <c r="N197" s="76"/>
      <c r="O197" s="76"/>
      <c r="P197" s="76"/>
      <c r="Q197" s="76"/>
      <c r="R197" s="17"/>
      <c r="S197" s="107"/>
      <c r="T197" s="76" t="str">
        <f t="shared" si="11"/>
        <v/>
      </c>
      <c r="U197" s="106" t="str">
        <f t="shared" ca="1" si="9"/>
        <v/>
      </c>
      <c r="V197" s="108" t="str">
        <f t="shared" si="10"/>
        <v/>
      </c>
    </row>
    <row r="198" spans="1:22" x14ac:dyDescent="0.25">
      <c r="A198" s="18"/>
      <c r="B198" s="76"/>
      <c r="C198" s="80"/>
      <c r="D198" s="80"/>
      <c r="E198" s="76"/>
      <c r="F198" s="76"/>
      <c r="G198" s="76"/>
      <c r="H198" s="76"/>
      <c r="I198" s="121"/>
      <c r="J198" s="76"/>
      <c r="K198" s="76"/>
      <c r="L198" s="76"/>
      <c r="M198" s="76"/>
      <c r="N198" s="76"/>
      <c r="O198" s="76"/>
      <c r="P198" s="76"/>
      <c r="Q198" s="76"/>
      <c r="R198" s="17"/>
      <c r="S198" s="107"/>
      <c r="T198" s="76" t="str">
        <f t="shared" si="11"/>
        <v/>
      </c>
      <c r="U198" s="106" t="str">
        <f t="shared" ca="1" si="9"/>
        <v/>
      </c>
      <c r="V198" s="108" t="str">
        <f t="shared" si="10"/>
        <v/>
      </c>
    </row>
    <row r="199" spans="1:22" x14ac:dyDescent="0.25">
      <c r="A199" s="18"/>
      <c r="B199" s="76"/>
      <c r="C199" s="80"/>
      <c r="D199" s="80"/>
      <c r="E199" s="76"/>
      <c r="F199" s="76"/>
      <c r="G199" s="76"/>
      <c r="H199" s="76"/>
      <c r="I199" s="121"/>
      <c r="J199" s="76"/>
      <c r="K199" s="76"/>
      <c r="L199" s="76"/>
      <c r="M199" s="76"/>
      <c r="N199" s="76"/>
      <c r="O199" s="76"/>
      <c r="P199" s="76"/>
      <c r="Q199" s="76"/>
      <c r="R199" s="17"/>
      <c r="S199" s="107"/>
      <c r="T199" s="76" t="str">
        <f t="shared" si="11"/>
        <v/>
      </c>
      <c r="U199" s="106" t="str">
        <f t="shared" ca="1" si="9"/>
        <v/>
      </c>
      <c r="V199" s="108" t="str">
        <f t="shared" si="10"/>
        <v/>
      </c>
    </row>
    <row r="200" spans="1:22" x14ac:dyDescent="0.25">
      <c r="A200" s="16"/>
      <c r="B200" s="1"/>
      <c r="C200" s="113"/>
      <c r="D200" s="113"/>
      <c r="E200" s="1"/>
      <c r="F200" s="1"/>
      <c r="G200" s="1"/>
      <c r="H200" s="1"/>
      <c r="I200" s="122"/>
      <c r="J200" s="1"/>
      <c r="K200" s="1"/>
      <c r="L200" s="1"/>
      <c r="M200" s="1"/>
      <c r="N200" s="1"/>
      <c r="O200" s="1"/>
      <c r="P200" s="1"/>
      <c r="Q200" s="1"/>
      <c r="R200" s="15"/>
      <c r="S200" s="114"/>
      <c r="T200" s="76" t="str">
        <f t="shared" si="11"/>
        <v/>
      </c>
      <c r="U200" s="106" t="str">
        <f t="shared" ca="1" si="9"/>
        <v/>
      </c>
      <c r="V200" s="108" t="str">
        <f t="shared" si="10"/>
        <v/>
      </c>
    </row>
    <row r="201" spans="1:22" x14ac:dyDescent="0.25">
      <c r="A201" s="16"/>
      <c r="B201" s="1"/>
      <c r="C201" s="113"/>
      <c r="D201" s="113"/>
      <c r="E201" s="1"/>
      <c r="F201" s="1"/>
      <c r="G201" s="1"/>
      <c r="H201" s="1"/>
      <c r="I201" s="122"/>
      <c r="J201" s="1"/>
      <c r="K201" s="1"/>
      <c r="L201" s="1"/>
      <c r="M201" s="1"/>
      <c r="N201" s="1"/>
      <c r="O201" s="1"/>
      <c r="P201" s="1"/>
      <c r="Q201" s="1"/>
      <c r="R201" s="1"/>
      <c r="S201" s="114"/>
      <c r="T201" s="76" t="str">
        <f t="shared" si="11"/>
        <v/>
      </c>
      <c r="U201" s="106" t="str">
        <f t="shared" ca="1" si="9"/>
        <v/>
      </c>
      <c r="V201" s="108" t="str">
        <f t="shared" si="10"/>
        <v/>
      </c>
    </row>
  </sheetData>
  <sheetProtection selectLockedCells="1" selectUnlockedCells="1"/>
  <sortState xmlns:xlrd2="http://schemas.microsoft.com/office/spreadsheetml/2017/richdata2" ref="A2:T200">
    <sortCondition ref="M1:M200"/>
  </sortState>
  <conditionalFormatting sqref="B2:B201">
    <cfRule type="duplicateValues" dxfId="53" priority="337"/>
  </conditionalFormatting>
  <conditionalFormatting sqref="A148:Q200 A146:J147 L146:Q147 A2:Q145">
    <cfRule type="expression" dxfId="52" priority="335">
      <formula>ISTEXT($Q2)</formula>
    </cfRule>
  </conditionalFormatting>
  <conditionalFormatting sqref="A2:A201">
    <cfRule type="duplicateValues" dxfId="51" priority="334"/>
  </conditionalFormatting>
  <conditionalFormatting sqref="A148:P200 A146:J147 L146:P147 A2:P145">
    <cfRule type="expression" dxfId="50" priority="333">
      <formula>ISNUMBER(SEARCH("C", $R2))</formula>
    </cfRule>
  </conditionalFormatting>
  <conditionalFormatting sqref="A2:B16">
    <cfRule type="duplicateValues" dxfId="49" priority="332"/>
  </conditionalFormatting>
  <conditionalFormatting sqref="A2:B16">
    <cfRule type="duplicateValues" dxfId="48" priority="331"/>
  </conditionalFormatting>
  <conditionalFormatting sqref="A2:B16">
    <cfRule type="duplicateValues" dxfId="47" priority="330"/>
  </conditionalFormatting>
  <conditionalFormatting sqref="A2:B16">
    <cfRule type="duplicateValues" dxfId="46" priority="329"/>
  </conditionalFormatting>
  <conditionalFormatting sqref="A2:B16">
    <cfRule type="duplicateValues" dxfId="45" priority="328"/>
  </conditionalFormatting>
  <conditionalFormatting sqref="A2:B16">
    <cfRule type="duplicateValues" dxfId="44" priority="327"/>
  </conditionalFormatting>
  <conditionalFormatting sqref="A2:B16">
    <cfRule type="duplicateValues" dxfId="43" priority="326"/>
  </conditionalFormatting>
  <conditionalFormatting sqref="A2:B16">
    <cfRule type="duplicateValues" dxfId="42" priority="325"/>
  </conditionalFormatting>
  <conditionalFormatting sqref="A2:B16">
    <cfRule type="duplicateValues" dxfId="41" priority="324"/>
  </conditionalFormatting>
  <conditionalFormatting sqref="A2:B16">
    <cfRule type="duplicateValues" dxfId="40" priority="323"/>
  </conditionalFormatting>
  <conditionalFormatting sqref="A2:B16">
    <cfRule type="duplicateValues" dxfId="39" priority="322"/>
  </conditionalFormatting>
  <conditionalFormatting sqref="A2:B16">
    <cfRule type="duplicateValues" dxfId="38" priority="321"/>
  </conditionalFormatting>
  <conditionalFormatting sqref="A2:B16">
    <cfRule type="duplicateValues" dxfId="37" priority="320"/>
  </conditionalFormatting>
  <conditionalFormatting sqref="A2:B16">
    <cfRule type="duplicateValues" dxfId="36" priority="319"/>
  </conditionalFormatting>
  <conditionalFormatting sqref="A2:B16">
    <cfRule type="duplicateValues" dxfId="35" priority="318"/>
  </conditionalFormatting>
  <conditionalFormatting sqref="A2:B16">
    <cfRule type="duplicateValues" dxfId="34" priority="317"/>
  </conditionalFormatting>
  <conditionalFormatting sqref="A2:B16">
    <cfRule type="duplicateValues" dxfId="33" priority="316"/>
  </conditionalFormatting>
  <conditionalFormatting sqref="A2:B16">
    <cfRule type="duplicateValues" dxfId="32" priority="315"/>
  </conditionalFormatting>
  <conditionalFormatting sqref="A2:B16">
    <cfRule type="duplicateValues" dxfId="31" priority="314"/>
  </conditionalFormatting>
  <conditionalFormatting sqref="A2:B16">
    <cfRule type="duplicateValues" dxfId="30" priority="313"/>
  </conditionalFormatting>
  <conditionalFormatting sqref="A2:B16">
    <cfRule type="duplicateValues" dxfId="29" priority="312"/>
  </conditionalFormatting>
  <conditionalFormatting sqref="A2:B16">
    <cfRule type="duplicateValues" dxfId="28" priority="311"/>
  </conditionalFormatting>
  <conditionalFormatting sqref="A2:B16">
    <cfRule type="duplicateValues" dxfId="27" priority="310"/>
  </conditionalFormatting>
  <conditionalFormatting sqref="A2:B16">
    <cfRule type="duplicateValues" dxfId="26" priority="309"/>
  </conditionalFormatting>
  <conditionalFormatting sqref="A2:B16">
    <cfRule type="duplicateValues" dxfId="25" priority="308"/>
  </conditionalFormatting>
  <conditionalFormatting sqref="A2:B16">
    <cfRule type="duplicateValues" dxfId="24" priority="307"/>
  </conditionalFormatting>
  <conditionalFormatting sqref="A2:B16">
    <cfRule type="duplicateValues" dxfId="23" priority="306"/>
  </conditionalFormatting>
  <conditionalFormatting sqref="A2:B16">
    <cfRule type="duplicateValues" dxfId="22" priority="305"/>
  </conditionalFormatting>
  <conditionalFormatting sqref="A2:B16">
    <cfRule type="duplicateValues" dxfId="21" priority="304"/>
  </conditionalFormatting>
  <conditionalFormatting sqref="A2:B16">
    <cfRule type="duplicateValues" dxfId="20" priority="303"/>
  </conditionalFormatting>
  <conditionalFormatting sqref="A2:B16">
    <cfRule type="duplicateValues" dxfId="19" priority="302"/>
  </conditionalFormatting>
  <conditionalFormatting sqref="A2:B16">
    <cfRule type="duplicateValues" dxfId="18" priority="301"/>
  </conditionalFormatting>
  <conditionalFormatting sqref="A2:B16">
    <cfRule type="duplicateValues" dxfId="17" priority="300"/>
  </conditionalFormatting>
  <conditionalFormatting sqref="A2:B16">
    <cfRule type="duplicateValues" dxfId="16" priority="299"/>
  </conditionalFormatting>
  <conditionalFormatting sqref="A2:B16">
    <cfRule type="duplicateValues" dxfId="15" priority="298"/>
  </conditionalFormatting>
  <conditionalFormatting sqref="D3:D16">
    <cfRule type="expression" dxfId="14" priority="297">
      <formula>ISTEXT($Q3)</formula>
    </cfRule>
  </conditionalFormatting>
  <conditionalFormatting sqref="D3:D16">
    <cfRule type="expression" dxfId="13" priority="296">
      <formula>ISNUMBER(SEARCH("C", $R3))</formula>
    </cfRule>
  </conditionalFormatting>
  <conditionalFormatting sqref="D2">
    <cfRule type="expression" dxfId="12" priority="295">
      <formula>ISTEXT($Q2)</formula>
    </cfRule>
  </conditionalFormatting>
  <conditionalFormatting sqref="D2">
    <cfRule type="expression" dxfId="11" priority="294">
      <formula>ISNUMBER(SEARCH("C", $R2))</formula>
    </cfRule>
  </conditionalFormatting>
  <conditionalFormatting sqref="I151:I200">
    <cfRule type="expression" dxfId="10" priority="293">
      <formula>ISTEXT($Q151)</formula>
    </cfRule>
  </conditionalFormatting>
  <conditionalFormatting sqref="I151:I200">
    <cfRule type="expression" dxfId="9" priority="292">
      <formula>ISNUMBER(SEARCH("C", $R151))</formula>
    </cfRule>
  </conditionalFormatting>
  <conditionalFormatting sqref="E2:E201">
    <cfRule type="expression" dxfId="8" priority="6">
      <formula>E2&gt;10</formula>
    </cfRule>
  </conditionalFormatting>
  <conditionalFormatting sqref="K147">
    <cfRule type="expression" dxfId="7" priority="339">
      <formula>ISTEXT($Q146)</formula>
    </cfRule>
  </conditionalFormatting>
  <conditionalFormatting sqref="K147">
    <cfRule type="expression" dxfId="6" priority="341">
      <formula>ISNUMBER(SEARCH("C", $R146))</formula>
    </cfRule>
  </conditionalFormatting>
  <conditionalFormatting sqref="S17 A17:B17">
    <cfRule type="duplicateValues" priority="415"/>
  </conditionalFormatting>
  <conditionalFormatting sqref="S18 A18:B18">
    <cfRule type="duplicateValues" priority="417"/>
  </conditionalFormatting>
  <conditionalFormatting sqref="S19 A19:B19">
    <cfRule type="duplicateValues" priority="419"/>
  </conditionalFormatting>
  <conditionalFormatting sqref="S20 A20:B20">
    <cfRule type="duplicateValues" priority="421"/>
  </conditionalFormatting>
  <conditionalFormatting sqref="S21 A21:B21">
    <cfRule type="duplicateValues" priority="423"/>
  </conditionalFormatting>
  <conditionalFormatting sqref="S22 A22:B22">
    <cfRule type="duplicateValues" priority="425"/>
  </conditionalFormatting>
  <conditionalFormatting sqref="S23 A23:B23">
    <cfRule type="duplicateValues" priority="427"/>
  </conditionalFormatting>
  <conditionalFormatting sqref="S24 A24:B24">
    <cfRule type="duplicateValues" priority="429"/>
  </conditionalFormatting>
  <conditionalFormatting sqref="S25 A25:B25">
    <cfRule type="duplicateValues" priority="431"/>
  </conditionalFormatting>
  <conditionalFormatting sqref="S26 A26:B26">
    <cfRule type="duplicateValues" priority="433"/>
  </conditionalFormatting>
  <conditionalFormatting sqref="S27 A27:B27">
    <cfRule type="duplicateValues" priority="435"/>
  </conditionalFormatting>
  <conditionalFormatting sqref="S28 A28:B28">
    <cfRule type="duplicateValues" priority="437"/>
  </conditionalFormatting>
  <conditionalFormatting sqref="S29 A29:B29">
    <cfRule type="duplicateValues" priority="439"/>
  </conditionalFormatting>
  <conditionalFormatting sqref="S30 A30:B30">
    <cfRule type="duplicateValues" priority="441"/>
  </conditionalFormatting>
  <conditionalFormatting sqref="S31 A31:B31">
    <cfRule type="duplicateValues" priority="443"/>
  </conditionalFormatting>
  <conditionalFormatting sqref="S32 A32:B32">
    <cfRule type="duplicateValues" priority="445"/>
  </conditionalFormatting>
  <conditionalFormatting sqref="S33 A33:B33">
    <cfRule type="duplicateValues" priority="447"/>
  </conditionalFormatting>
  <conditionalFormatting sqref="S34 A34:B34">
    <cfRule type="duplicateValues" priority="449"/>
  </conditionalFormatting>
  <conditionalFormatting sqref="S35 A35:B35">
    <cfRule type="duplicateValues" priority="451"/>
  </conditionalFormatting>
  <conditionalFormatting sqref="S36 A36:B36">
    <cfRule type="duplicateValues" priority="453"/>
  </conditionalFormatting>
  <conditionalFormatting sqref="S37 A37:B37">
    <cfRule type="duplicateValues" priority="455"/>
  </conditionalFormatting>
  <conditionalFormatting sqref="S38 A38:B38">
    <cfRule type="duplicateValues" priority="457"/>
  </conditionalFormatting>
  <conditionalFormatting sqref="S39 A39:B39">
    <cfRule type="duplicateValues" priority="459"/>
  </conditionalFormatting>
  <conditionalFormatting sqref="S40 A40:B40">
    <cfRule type="duplicateValues" priority="461"/>
  </conditionalFormatting>
  <conditionalFormatting sqref="S41 A41:B41">
    <cfRule type="duplicateValues" priority="463"/>
  </conditionalFormatting>
  <conditionalFormatting sqref="S42 A42:B42">
    <cfRule type="duplicateValues" priority="465"/>
  </conditionalFormatting>
  <conditionalFormatting sqref="S123 A123:B123">
    <cfRule type="duplicateValues" priority="467"/>
  </conditionalFormatting>
  <conditionalFormatting sqref="S124 A124:B124">
    <cfRule type="duplicateValues" priority="469"/>
  </conditionalFormatting>
  <conditionalFormatting sqref="S125 A125:B125">
    <cfRule type="duplicateValues" priority="471"/>
  </conditionalFormatting>
  <conditionalFormatting sqref="S126 A126:B126">
    <cfRule type="duplicateValues" priority="473"/>
  </conditionalFormatting>
  <conditionalFormatting sqref="S127 A127:B127">
    <cfRule type="duplicateValues" priority="475"/>
  </conditionalFormatting>
  <conditionalFormatting sqref="S128 A128:B128">
    <cfRule type="duplicateValues" priority="477"/>
  </conditionalFormatting>
  <conditionalFormatting sqref="S129 A129:B129">
    <cfRule type="duplicateValues" priority="479"/>
  </conditionalFormatting>
  <conditionalFormatting sqref="S130 A130:B130">
    <cfRule type="duplicateValues" priority="481"/>
  </conditionalFormatting>
  <conditionalFormatting sqref="S131 A131:B131">
    <cfRule type="duplicateValues" priority="483"/>
  </conditionalFormatting>
  <conditionalFormatting sqref="S132 A132:B132">
    <cfRule type="duplicateValues" priority="485"/>
  </conditionalFormatting>
  <conditionalFormatting sqref="V2:V201">
    <cfRule type="expression" dxfId="5" priority="4">
      <formula>LEN(V2)&gt;0</formula>
    </cfRule>
  </conditionalFormatting>
  <conditionalFormatting sqref="I2:I200">
    <cfRule type="expression" dxfId="4" priority="1">
      <formula>ISTEXT($A2)</formula>
    </cfRule>
  </conditionalFormatting>
  <pageMargins left="0.7" right="0.7" top="0.75" bottom="0.75" header="0.3" footer="0.3"/>
  <pageSetup scale="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earchActiveRow">
                <anchor moveWithCells="1" sizeWithCells="1">
                  <from>
                    <xdr:col>16</xdr:col>
                    <xdr:colOff>962025</xdr:colOff>
                    <xdr:row>0</xdr:row>
                    <xdr:rowOff>28575</xdr:rowOff>
                  </from>
                  <to>
                    <xdr:col>16</xdr:col>
                    <xdr:colOff>2076450</xdr:colOff>
                    <xdr:row>0</xdr:row>
                    <xdr:rowOff>180975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B0F0"/>
  </sheetPr>
  <dimension ref="A1:AI26"/>
  <sheetViews>
    <sheetView workbookViewId="0">
      <selection sqref="A1:XFD1048576"/>
    </sheetView>
  </sheetViews>
  <sheetFormatPr defaultRowHeight="15" x14ac:dyDescent="0.25"/>
  <cols>
    <col min="1" max="1" width="18.42578125" customWidth="1"/>
    <col min="2" max="2" width="13.5703125" customWidth="1"/>
  </cols>
  <sheetData>
    <row r="1" spans="1:35"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row>
    <row r="2" spans="1:35" x14ac:dyDescent="0.25">
      <c r="A2" s="118">
        <v>45892</v>
      </c>
      <c r="B2" t="s">
        <v>179</v>
      </c>
      <c r="C2">
        <v>3</v>
      </c>
      <c r="D2">
        <v>7</v>
      </c>
      <c r="E2">
        <v>6</v>
      </c>
      <c r="F2">
        <v>904.2</v>
      </c>
      <c r="H2" t="s">
        <v>35</v>
      </c>
      <c r="I2">
        <v>3</v>
      </c>
      <c r="J2">
        <v>7</v>
      </c>
      <c r="K2">
        <v>6</v>
      </c>
      <c r="L2">
        <v>904.2</v>
      </c>
      <c r="M2">
        <v>28676047</v>
      </c>
      <c r="N2" t="s">
        <v>41</v>
      </c>
      <c r="O2" t="s">
        <v>41</v>
      </c>
      <c r="P2">
        <v>2172</v>
      </c>
      <c r="Q2" t="s">
        <v>192</v>
      </c>
      <c r="R2" t="s">
        <v>174</v>
      </c>
      <c r="S2">
        <v>1</v>
      </c>
      <c r="U2">
        <v>1</v>
      </c>
      <c r="V2" t="s">
        <v>170</v>
      </c>
      <c r="W2" t="s">
        <v>177</v>
      </c>
      <c r="X2" t="s">
        <v>38</v>
      </c>
      <c r="Y2" t="s">
        <v>179</v>
      </c>
      <c r="Z2" t="s">
        <v>42</v>
      </c>
      <c r="AB2" t="s">
        <v>166</v>
      </c>
      <c r="AC2" t="s">
        <v>179</v>
      </c>
      <c r="AD2">
        <v>1</v>
      </c>
      <c r="AF2">
        <v>310.07</v>
      </c>
      <c r="AG2" t="s">
        <v>167</v>
      </c>
      <c r="AH2" t="s">
        <v>119</v>
      </c>
      <c r="AI2">
        <v>310.07</v>
      </c>
    </row>
    <row r="3" spans="1:35" x14ac:dyDescent="0.25">
      <c r="A3" s="118">
        <v>45892</v>
      </c>
      <c r="B3" t="s">
        <v>179</v>
      </c>
      <c r="C3">
        <v>3</v>
      </c>
      <c r="D3">
        <v>7</v>
      </c>
      <c r="E3">
        <v>6</v>
      </c>
      <c r="F3">
        <v>904.2</v>
      </c>
      <c r="H3" t="s">
        <v>35</v>
      </c>
      <c r="I3">
        <v>3</v>
      </c>
      <c r="J3">
        <v>7</v>
      </c>
      <c r="K3">
        <v>6</v>
      </c>
      <c r="L3">
        <v>904.2</v>
      </c>
      <c r="M3">
        <v>28676042</v>
      </c>
      <c r="N3" t="s">
        <v>41</v>
      </c>
      <c r="O3" t="s">
        <v>41</v>
      </c>
      <c r="P3">
        <v>2023</v>
      </c>
      <c r="Q3" t="s">
        <v>202</v>
      </c>
      <c r="R3" t="s">
        <v>179</v>
      </c>
      <c r="S3">
        <v>0</v>
      </c>
      <c r="U3">
        <v>1</v>
      </c>
      <c r="V3" t="s">
        <v>178</v>
      </c>
      <c r="W3" t="s">
        <v>178</v>
      </c>
      <c r="X3" t="s">
        <v>195</v>
      </c>
      <c r="Y3" t="s">
        <v>179</v>
      </c>
      <c r="Z3" t="s">
        <v>42</v>
      </c>
      <c r="AC3" t="s">
        <v>179</v>
      </c>
      <c r="AD3">
        <v>0</v>
      </c>
      <c r="AF3">
        <v>0</v>
      </c>
      <c r="AH3" t="s">
        <v>119</v>
      </c>
      <c r="AI3">
        <v>0</v>
      </c>
    </row>
    <row r="4" spans="1:35" x14ac:dyDescent="0.25">
      <c r="A4" s="118">
        <v>45892</v>
      </c>
      <c r="B4" t="s">
        <v>179</v>
      </c>
      <c r="C4">
        <v>3</v>
      </c>
      <c r="D4">
        <v>7</v>
      </c>
      <c r="E4">
        <v>6</v>
      </c>
      <c r="F4">
        <v>904.2</v>
      </c>
      <c r="H4" t="s">
        <v>35</v>
      </c>
      <c r="I4">
        <v>3</v>
      </c>
      <c r="J4">
        <v>7</v>
      </c>
      <c r="K4">
        <v>6</v>
      </c>
      <c r="L4">
        <v>904.2</v>
      </c>
      <c r="M4">
        <v>28676030</v>
      </c>
      <c r="N4" t="s">
        <v>186</v>
      </c>
      <c r="O4" t="s">
        <v>37</v>
      </c>
      <c r="P4">
        <v>1507</v>
      </c>
      <c r="Q4" t="s">
        <v>203</v>
      </c>
      <c r="R4" t="s">
        <v>174</v>
      </c>
      <c r="S4">
        <v>1</v>
      </c>
      <c r="T4" t="s">
        <v>204</v>
      </c>
      <c r="U4">
        <v>1</v>
      </c>
      <c r="V4" t="s">
        <v>190</v>
      </c>
      <c r="W4" t="s">
        <v>205</v>
      </c>
      <c r="X4" t="s">
        <v>191</v>
      </c>
      <c r="Y4" t="s">
        <v>179</v>
      </c>
      <c r="Z4" t="s">
        <v>187</v>
      </c>
      <c r="AA4" t="s">
        <v>206</v>
      </c>
      <c r="AC4" t="s">
        <v>179</v>
      </c>
      <c r="AD4">
        <v>1</v>
      </c>
      <c r="AF4">
        <v>425</v>
      </c>
      <c r="AG4" t="s">
        <v>207</v>
      </c>
      <c r="AH4" t="s">
        <v>188</v>
      </c>
      <c r="AI4">
        <v>425</v>
      </c>
    </row>
    <row r="5" spans="1:35" x14ac:dyDescent="0.25">
      <c r="A5" s="118">
        <v>45892</v>
      </c>
      <c r="B5" t="s">
        <v>179</v>
      </c>
      <c r="C5">
        <v>3</v>
      </c>
      <c r="D5">
        <v>7</v>
      </c>
      <c r="E5">
        <v>6</v>
      </c>
      <c r="F5">
        <v>904.2</v>
      </c>
      <c r="H5" t="s">
        <v>35</v>
      </c>
      <c r="I5">
        <v>3</v>
      </c>
      <c r="J5">
        <v>7</v>
      </c>
      <c r="K5">
        <v>6</v>
      </c>
      <c r="L5">
        <v>904.2</v>
      </c>
      <c r="M5">
        <v>28676053</v>
      </c>
      <c r="N5" t="s">
        <v>41</v>
      </c>
      <c r="O5" t="s">
        <v>171</v>
      </c>
      <c r="P5">
        <v>2026</v>
      </c>
      <c r="Q5" t="s">
        <v>196</v>
      </c>
      <c r="R5" t="s">
        <v>179</v>
      </c>
      <c r="S5">
        <v>0</v>
      </c>
      <c r="U5">
        <v>1</v>
      </c>
      <c r="V5" t="s">
        <v>178</v>
      </c>
      <c r="W5" t="s">
        <v>178</v>
      </c>
      <c r="X5" t="s">
        <v>195</v>
      </c>
      <c r="Y5" t="s">
        <v>179</v>
      </c>
      <c r="Z5" t="s">
        <v>42</v>
      </c>
      <c r="AC5" t="s">
        <v>179</v>
      </c>
      <c r="AD5">
        <v>0</v>
      </c>
      <c r="AF5">
        <v>0</v>
      </c>
      <c r="AH5" t="s">
        <v>172</v>
      </c>
      <c r="AI5">
        <v>0</v>
      </c>
    </row>
    <row r="6" spans="1:35" x14ac:dyDescent="0.25">
      <c r="A6" s="118">
        <v>45892</v>
      </c>
      <c r="B6" t="s">
        <v>179</v>
      </c>
      <c r="C6">
        <v>3</v>
      </c>
      <c r="D6">
        <v>7</v>
      </c>
      <c r="E6">
        <v>6</v>
      </c>
      <c r="F6">
        <v>904.2</v>
      </c>
      <c r="H6" t="s">
        <v>35</v>
      </c>
      <c r="I6">
        <v>3</v>
      </c>
      <c r="J6">
        <v>7</v>
      </c>
      <c r="K6">
        <v>6</v>
      </c>
      <c r="L6">
        <v>904.2</v>
      </c>
      <c r="M6">
        <v>28676031</v>
      </c>
      <c r="N6" t="s">
        <v>41</v>
      </c>
      <c r="O6" t="s">
        <v>41</v>
      </c>
      <c r="P6">
        <v>2056</v>
      </c>
      <c r="Q6" t="s">
        <v>208</v>
      </c>
      <c r="R6" t="s">
        <v>174</v>
      </c>
      <c r="S6">
        <v>2</v>
      </c>
      <c r="U6">
        <v>1</v>
      </c>
      <c r="V6" t="s">
        <v>209</v>
      </c>
      <c r="W6" t="s">
        <v>177</v>
      </c>
      <c r="X6" t="s">
        <v>38</v>
      </c>
      <c r="Y6" t="s">
        <v>179</v>
      </c>
      <c r="Z6" t="s">
        <v>42</v>
      </c>
      <c r="AB6" t="s">
        <v>166</v>
      </c>
      <c r="AC6" t="s">
        <v>179</v>
      </c>
      <c r="AD6">
        <v>1</v>
      </c>
      <c r="AF6">
        <v>169.13</v>
      </c>
      <c r="AG6" t="s">
        <v>167</v>
      </c>
      <c r="AH6" t="s">
        <v>119</v>
      </c>
      <c r="AI6">
        <v>169.13</v>
      </c>
    </row>
    <row r="7" spans="1:35" x14ac:dyDescent="0.25">
      <c r="A7" s="118">
        <v>45892</v>
      </c>
      <c r="B7" t="s">
        <v>179</v>
      </c>
      <c r="C7">
        <v>3</v>
      </c>
      <c r="D7">
        <v>7</v>
      </c>
      <c r="E7">
        <v>6</v>
      </c>
      <c r="F7">
        <v>904.2</v>
      </c>
      <c r="H7" t="s">
        <v>35</v>
      </c>
      <c r="I7">
        <v>3</v>
      </c>
      <c r="J7">
        <v>7</v>
      </c>
      <c r="K7">
        <v>6</v>
      </c>
      <c r="L7">
        <v>904.2</v>
      </c>
      <c r="M7">
        <v>28676012</v>
      </c>
      <c r="N7" t="s">
        <v>41</v>
      </c>
      <c r="O7" t="s">
        <v>41</v>
      </c>
      <c r="P7">
        <v>2052</v>
      </c>
      <c r="Q7" t="s">
        <v>210</v>
      </c>
      <c r="R7" t="s">
        <v>179</v>
      </c>
      <c r="S7">
        <v>1</v>
      </c>
      <c r="U7">
        <v>1</v>
      </c>
      <c r="V7" t="s">
        <v>170</v>
      </c>
      <c r="W7" t="s">
        <v>162</v>
      </c>
      <c r="X7" t="s">
        <v>38</v>
      </c>
      <c r="Y7" t="s">
        <v>179</v>
      </c>
      <c r="Z7" t="s">
        <v>42</v>
      </c>
      <c r="AB7" t="s">
        <v>164</v>
      </c>
      <c r="AC7" t="s">
        <v>179</v>
      </c>
      <c r="AD7">
        <v>0</v>
      </c>
      <c r="AF7">
        <v>216</v>
      </c>
      <c r="AG7" t="s">
        <v>165</v>
      </c>
      <c r="AH7" t="s">
        <v>119</v>
      </c>
      <c r="AI7">
        <v>0</v>
      </c>
    </row>
    <row r="8" spans="1:35" x14ac:dyDescent="0.25">
      <c r="A8" s="118">
        <v>45892</v>
      </c>
      <c r="B8" t="s">
        <v>179</v>
      </c>
      <c r="C8">
        <v>3</v>
      </c>
      <c r="D8">
        <v>7</v>
      </c>
      <c r="E8">
        <v>6</v>
      </c>
      <c r="F8">
        <v>904.2</v>
      </c>
      <c r="H8" t="s">
        <v>35</v>
      </c>
      <c r="I8">
        <v>3</v>
      </c>
      <c r="J8">
        <v>7</v>
      </c>
      <c r="K8">
        <v>6</v>
      </c>
      <c r="L8">
        <v>904.2</v>
      </c>
      <c r="M8">
        <v>28676011</v>
      </c>
      <c r="N8" t="s">
        <v>41</v>
      </c>
      <c r="O8" t="s">
        <v>41</v>
      </c>
      <c r="P8">
        <v>2053</v>
      </c>
      <c r="Q8" t="s">
        <v>210</v>
      </c>
      <c r="R8" t="s">
        <v>179</v>
      </c>
      <c r="S8">
        <v>1</v>
      </c>
      <c r="U8">
        <v>1</v>
      </c>
      <c r="V8" t="s">
        <v>170</v>
      </c>
      <c r="W8" t="s">
        <v>162</v>
      </c>
      <c r="X8" t="s">
        <v>38</v>
      </c>
      <c r="Y8" t="s">
        <v>179</v>
      </c>
      <c r="Z8" t="s">
        <v>42</v>
      </c>
      <c r="AB8" t="s">
        <v>164</v>
      </c>
      <c r="AC8" t="s">
        <v>179</v>
      </c>
      <c r="AD8">
        <v>0</v>
      </c>
      <c r="AF8">
        <v>216</v>
      </c>
      <c r="AG8" t="s">
        <v>165</v>
      </c>
      <c r="AH8" t="s">
        <v>119</v>
      </c>
      <c r="AI8">
        <v>0</v>
      </c>
    </row>
    <row r="9" spans="1:35" x14ac:dyDescent="0.25">
      <c r="A9" s="118">
        <v>45893</v>
      </c>
      <c r="B9" t="s">
        <v>174</v>
      </c>
      <c r="C9">
        <v>14</v>
      </c>
      <c r="D9">
        <v>5</v>
      </c>
      <c r="E9">
        <v>6</v>
      </c>
      <c r="F9">
        <v>4794</v>
      </c>
      <c r="H9" t="s">
        <v>35</v>
      </c>
      <c r="I9">
        <v>14</v>
      </c>
      <c r="J9">
        <v>5</v>
      </c>
      <c r="K9">
        <v>6</v>
      </c>
      <c r="L9">
        <v>4794</v>
      </c>
      <c r="M9">
        <v>28676052</v>
      </c>
      <c r="N9" t="s">
        <v>36</v>
      </c>
      <c r="O9" t="s">
        <v>168</v>
      </c>
      <c r="Q9" t="s">
        <v>211</v>
      </c>
      <c r="R9" t="s">
        <v>176</v>
      </c>
      <c r="S9">
        <v>1</v>
      </c>
      <c r="U9">
        <v>1</v>
      </c>
      <c r="V9" t="s">
        <v>43</v>
      </c>
      <c r="W9" t="s">
        <v>212</v>
      </c>
      <c r="X9" t="s">
        <v>38</v>
      </c>
      <c r="Y9" t="s">
        <v>179</v>
      </c>
      <c r="Z9" t="s">
        <v>39</v>
      </c>
      <c r="AB9" t="s">
        <v>181</v>
      </c>
      <c r="AC9" t="s">
        <v>174</v>
      </c>
      <c r="AD9">
        <v>2</v>
      </c>
      <c r="AF9">
        <v>270</v>
      </c>
      <c r="AG9" t="s">
        <v>182</v>
      </c>
      <c r="AH9" t="s">
        <v>169</v>
      </c>
      <c r="AI9">
        <v>540</v>
      </c>
    </row>
    <row r="10" spans="1:35" x14ac:dyDescent="0.25">
      <c r="A10" s="118">
        <v>45893</v>
      </c>
      <c r="B10" t="s">
        <v>174</v>
      </c>
      <c r="C10">
        <v>14</v>
      </c>
      <c r="D10">
        <v>5</v>
      </c>
      <c r="E10">
        <v>6</v>
      </c>
      <c r="F10">
        <v>4794</v>
      </c>
      <c r="H10" t="s">
        <v>35</v>
      </c>
      <c r="I10">
        <v>14</v>
      </c>
      <c r="J10">
        <v>5</v>
      </c>
      <c r="K10">
        <v>6</v>
      </c>
      <c r="L10">
        <v>4794</v>
      </c>
      <c r="M10">
        <v>28676036</v>
      </c>
      <c r="N10" t="s">
        <v>157</v>
      </c>
      <c r="O10" t="s">
        <v>37</v>
      </c>
      <c r="Q10" t="s">
        <v>213</v>
      </c>
      <c r="R10" t="s">
        <v>189</v>
      </c>
      <c r="S10">
        <v>1</v>
      </c>
      <c r="U10">
        <v>1</v>
      </c>
      <c r="V10" t="s">
        <v>190</v>
      </c>
      <c r="W10" t="s">
        <v>214</v>
      </c>
      <c r="X10" t="s">
        <v>175</v>
      </c>
      <c r="Y10" t="s">
        <v>179</v>
      </c>
      <c r="Z10" t="s">
        <v>161</v>
      </c>
      <c r="AA10" t="s">
        <v>215</v>
      </c>
      <c r="AB10" t="s">
        <v>216</v>
      </c>
      <c r="AC10" t="s">
        <v>174</v>
      </c>
      <c r="AD10">
        <v>4</v>
      </c>
      <c r="AF10">
        <v>500</v>
      </c>
      <c r="AG10" t="s">
        <v>217</v>
      </c>
      <c r="AH10" t="s">
        <v>157</v>
      </c>
      <c r="AI10">
        <v>2000</v>
      </c>
    </row>
    <row r="11" spans="1:35" x14ac:dyDescent="0.25">
      <c r="A11" s="118">
        <v>45893</v>
      </c>
      <c r="B11" t="s">
        <v>174</v>
      </c>
      <c r="C11">
        <v>14</v>
      </c>
      <c r="D11">
        <v>5</v>
      </c>
      <c r="E11">
        <v>6</v>
      </c>
      <c r="F11">
        <v>4794</v>
      </c>
      <c r="H11" t="s">
        <v>35</v>
      </c>
      <c r="I11">
        <v>14</v>
      </c>
      <c r="J11">
        <v>5</v>
      </c>
      <c r="K11">
        <v>6</v>
      </c>
      <c r="L11">
        <v>4794</v>
      </c>
      <c r="M11">
        <v>28676041</v>
      </c>
      <c r="N11" t="s">
        <v>36</v>
      </c>
      <c r="O11" t="s">
        <v>37</v>
      </c>
      <c r="Q11" t="s">
        <v>218</v>
      </c>
      <c r="R11" t="s">
        <v>176</v>
      </c>
      <c r="S11">
        <v>1</v>
      </c>
      <c r="U11">
        <v>1</v>
      </c>
      <c r="V11" t="s">
        <v>43</v>
      </c>
      <c r="W11" t="s">
        <v>180</v>
      </c>
      <c r="X11" t="s">
        <v>38</v>
      </c>
      <c r="Y11" t="s">
        <v>179</v>
      </c>
      <c r="Z11" t="s">
        <v>39</v>
      </c>
      <c r="AB11" t="s">
        <v>164</v>
      </c>
      <c r="AC11" t="s">
        <v>174</v>
      </c>
      <c r="AD11">
        <v>2</v>
      </c>
      <c r="AF11">
        <v>252</v>
      </c>
      <c r="AG11" t="s">
        <v>165</v>
      </c>
      <c r="AH11" t="s">
        <v>40</v>
      </c>
      <c r="AI11">
        <v>504</v>
      </c>
    </row>
    <row r="12" spans="1:35" x14ac:dyDescent="0.25">
      <c r="A12" s="118">
        <v>45893</v>
      </c>
      <c r="B12" t="s">
        <v>174</v>
      </c>
      <c r="C12">
        <v>14</v>
      </c>
      <c r="D12">
        <v>5</v>
      </c>
      <c r="E12">
        <v>6</v>
      </c>
      <c r="F12">
        <v>4794</v>
      </c>
      <c r="H12" t="s">
        <v>35</v>
      </c>
      <c r="I12">
        <v>14</v>
      </c>
      <c r="J12">
        <v>5</v>
      </c>
      <c r="K12">
        <v>6</v>
      </c>
      <c r="L12">
        <v>4794</v>
      </c>
      <c r="M12">
        <v>28676048</v>
      </c>
      <c r="N12" t="s">
        <v>157</v>
      </c>
      <c r="O12" t="s">
        <v>37</v>
      </c>
      <c r="Q12" t="s">
        <v>219</v>
      </c>
      <c r="R12" t="s">
        <v>183</v>
      </c>
      <c r="S12">
        <v>2</v>
      </c>
      <c r="U12">
        <v>1</v>
      </c>
      <c r="V12" t="s">
        <v>190</v>
      </c>
      <c r="W12" t="s">
        <v>220</v>
      </c>
      <c r="X12" t="s">
        <v>191</v>
      </c>
      <c r="Y12" t="s">
        <v>179</v>
      </c>
      <c r="Z12" t="s">
        <v>161</v>
      </c>
      <c r="AA12" t="s">
        <v>197</v>
      </c>
      <c r="AC12" t="s">
        <v>174</v>
      </c>
      <c r="AD12">
        <v>1</v>
      </c>
      <c r="AF12">
        <v>550</v>
      </c>
      <c r="AG12" t="s">
        <v>198</v>
      </c>
      <c r="AH12" t="s">
        <v>157</v>
      </c>
      <c r="AI12">
        <v>550</v>
      </c>
    </row>
    <row r="13" spans="1:35" x14ac:dyDescent="0.25">
      <c r="A13" s="118">
        <v>45893</v>
      </c>
      <c r="B13" t="s">
        <v>174</v>
      </c>
      <c r="C13">
        <v>14</v>
      </c>
      <c r="D13">
        <v>5</v>
      </c>
      <c r="E13">
        <v>6</v>
      </c>
      <c r="F13">
        <v>4794</v>
      </c>
      <c r="H13" t="s">
        <v>35</v>
      </c>
      <c r="I13">
        <v>14</v>
      </c>
      <c r="J13">
        <v>5</v>
      </c>
      <c r="K13">
        <v>6</v>
      </c>
      <c r="L13">
        <v>4794</v>
      </c>
      <c r="M13">
        <v>28676032</v>
      </c>
      <c r="N13" t="s">
        <v>36</v>
      </c>
      <c r="O13" t="s">
        <v>37</v>
      </c>
      <c r="Q13" t="s">
        <v>221</v>
      </c>
      <c r="R13" t="s">
        <v>222</v>
      </c>
      <c r="S13">
        <v>1</v>
      </c>
      <c r="U13">
        <v>1</v>
      </c>
      <c r="V13" t="s">
        <v>43</v>
      </c>
      <c r="W13" t="s">
        <v>212</v>
      </c>
      <c r="X13" t="s">
        <v>38</v>
      </c>
      <c r="Y13" t="s">
        <v>179</v>
      </c>
      <c r="Z13" t="s">
        <v>39</v>
      </c>
      <c r="AB13" t="s">
        <v>181</v>
      </c>
      <c r="AC13" t="s">
        <v>174</v>
      </c>
      <c r="AD13">
        <v>5</v>
      </c>
      <c r="AF13">
        <v>240</v>
      </c>
      <c r="AG13" t="s">
        <v>182</v>
      </c>
      <c r="AH13" t="s">
        <v>40</v>
      </c>
      <c r="AI13">
        <v>1200</v>
      </c>
    </row>
    <row r="14" spans="1:35" x14ac:dyDescent="0.25">
      <c r="A14" s="118">
        <v>45894</v>
      </c>
      <c r="B14" t="s">
        <v>183</v>
      </c>
      <c r="C14">
        <v>4</v>
      </c>
      <c r="D14">
        <v>1</v>
      </c>
      <c r="E14">
        <v>1</v>
      </c>
      <c r="F14">
        <v>2000</v>
      </c>
      <c r="H14" t="s">
        <v>35</v>
      </c>
      <c r="I14">
        <v>4</v>
      </c>
      <c r="J14">
        <v>1</v>
      </c>
      <c r="K14">
        <v>1</v>
      </c>
      <c r="L14">
        <v>2000</v>
      </c>
      <c r="M14">
        <v>28676038</v>
      </c>
      <c r="N14" t="s">
        <v>157</v>
      </c>
      <c r="O14" t="s">
        <v>37</v>
      </c>
      <c r="Q14" t="s">
        <v>223</v>
      </c>
      <c r="R14" t="s">
        <v>222</v>
      </c>
      <c r="S14">
        <v>1</v>
      </c>
      <c r="U14">
        <v>1</v>
      </c>
      <c r="V14" t="s">
        <v>190</v>
      </c>
      <c r="W14" t="s">
        <v>214</v>
      </c>
      <c r="X14" t="s">
        <v>175</v>
      </c>
      <c r="Y14" t="s">
        <v>179</v>
      </c>
      <c r="Z14" t="s">
        <v>161</v>
      </c>
      <c r="AA14" t="s">
        <v>215</v>
      </c>
      <c r="AB14" t="s">
        <v>216</v>
      </c>
      <c r="AC14" t="s">
        <v>183</v>
      </c>
      <c r="AD14">
        <v>4</v>
      </c>
      <c r="AF14">
        <v>500</v>
      </c>
      <c r="AG14" t="s">
        <v>217</v>
      </c>
      <c r="AH14" t="s">
        <v>157</v>
      </c>
      <c r="AI14">
        <v>2000</v>
      </c>
    </row>
    <row r="15" spans="1:35" x14ac:dyDescent="0.25">
      <c r="A15" s="118">
        <v>45895</v>
      </c>
      <c r="B15" t="s">
        <v>176</v>
      </c>
      <c r="C15">
        <v>7</v>
      </c>
      <c r="D15">
        <v>1</v>
      </c>
      <c r="E15">
        <v>1</v>
      </c>
      <c r="F15">
        <v>1594.18</v>
      </c>
      <c r="H15" t="s">
        <v>35</v>
      </c>
      <c r="I15">
        <v>7</v>
      </c>
      <c r="J15">
        <v>1</v>
      </c>
      <c r="K15">
        <v>1</v>
      </c>
      <c r="L15">
        <v>1594.18</v>
      </c>
      <c r="M15">
        <v>28676045</v>
      </c>
      <c r="N15" t="s">
        <v>158</v>
      </c>
      <c r="O15" t="s">
        <v>37</v>
      </c>
      <c r="Q15" t="s">
        <v>224</v>
      </c>
      <c r="R15" t="s">
        <v>199</v>
      </c>
      <c r="S15">
        <v>1</v>
      </c>
      <c r="U15">
        <v>1</v>
      </c>
      <c r="V15" t="s">
        <v>43</v>
      </c>
      <c r="W15" t="s">
        <v>159</v>
      </c>
      <c r="X15" t="s">
        <v>175</v>
      </c>
      <c r="Y15" t="s">
        <v>179</v>
      </c>
      <c r="Z15" t="s">
        <v>160</v>
      </c>
      <c r="AB15" t="s">
        <v>225</v>
      </c>
      <c r="AC15" t="s">
        <v>176</v>
      </c>
      <c r="AD15">
        <v>7</v>
      </c>
      <c r="AF15">
        <v>227.74</v>
      </c>
      <c r="AG15" t="s">
        <v>226</v>
      </c>
      <c r="AH15" t="s">
        <v>158</v>
      </c>
      <c r="AI15">
        <v>1594.18</v>
      </c>
    </row>
    <row r="16" spans="1:35" x14ac:dyDescent="0.25">
      <c r="A16" s="118">
        <v>45897</v>
      </c>
      <c r="B16" t="s">
        <v>189</v>
      </c>
      <c r="C16">
        <v>3</v>
      </c>
      <c r="D16">
        <v>2</v>
      </c>
      <c r="E16">
        <v>3</v>
      </c>
      <c r="F16">
        <v>684</v>
      </c>
      <c r="H16" t="s">
        <v>35</v>
      </c>
      <c r="I16">
        <v>3</v>
      </c>
      <c r="J16">
        <v>2</v>
      </c>
      <c r="K16">
        <v>3</v>
      </c>
      <c r="L16">
        <v>684</v>
      </c>
      <c r="M16">
        <v>28676037</v>
      </c>
      <c r="N16" t="s">
        <v>36</v>
      </c>
      <c r="O16" t="s">
        <v>37</v>
      </c>
      <c r="Q16" t="s">
        <v>227</v>
      </c>
      <c r="R16" t="s">
        <v>222</v>
      </c>
      <c r="S16">
        <v>1</v>
      </c>
      <c r="U16">
        <v>1</v>
      </c>
      <c r="V16" t="s">
        <v>43</v>
      </c>
      <c r="W16" t="s">
        <v>180</v>
      </c>
      <c r="X16" t="s">
        <v>38</v>
      </c>
      <c r="Y16" t="s">
        <v>179</v>
      </c>
      <c r="Z16" t="s">
        <v>39</v>
      </c>
      <c r="AB16" t="s">
        <v>164</v>
      </c>
      <c r="AC16" t="s">
        <v>189</v>
      </c>
      <c r="AD16">
        <v>1</v>
      </c>
      <c r="AF16">
        <v>252</v>
      </c>
      <c r="AG16" t="s">
        <v>165</v>
      </c>
      <c r="AH16" t="s">
        <v>40</v>
      </c>
      <c r="AI16">
        <v>252</v>
      </c>
    </row>
    <row r="17" spans="1:35" x14ac:dyDescent="0.25">
      <c r="A17" s="118">
        <v>45897</v>
      </c>
      <c r="B17" t="s">
        <v>189</v>
      </c>
      <c r="C17">
        <v>3</v>
      </c>
      <c r="D17">
        <v>2</v>
      </c>
      <c r="E17">
        <v>3</v>
      </c>
      <c r="F17">
        <v>684</v>
      </c>
      <c r="H17" t="s">
        <v>35</v>
      </c>
      <c r="I17">
        <v>3</v>
      </c>
      <c r="J17">
        <v>2</v>
      </c>
      <c r="K17">
        <v>3</v>
      </c>
      <c r="L17">
        <v>684</v>
      </c>
      <c r="M17">
        <v>28676015</v>
      </c>
      <c r="N17" t="s">
        <v>36</v>
      </c>
      <c r="O17" t="s">
        <v>37</v>
      </c>
      <c r="Q17" t="s">
        <v>228</v>
      </c>
      <c r="R17" t="s">
        <v>184</v>
      </c>
      <c r="S17">
        <v>2</v>
      </c>
      <c r="U17">
        <v>1</v>
      </c>
      <c r="V17" t="s">
        <v>43</v>
      </c>
      <c r="W17" t="s">
        <v>162</v>
      </c>
      <c r="X17" t="s">
        <v>38</v>
      </c>
      <c r="Y17" t="s">
        <v>179</v>
      </c>
      <c r="Z17" t="s">
        <v>39</v>
      </c>
      <c r="AB17" t="s">
        <v>164</v>
      </c>
      <c r="AC17" t="s">
        <v>189</v>
      </c>
      <c r="AD17">
        <v>2</v>
      </c>
      <c r="AF17">
        <v>216</v>
      </c>
      <c r="AG17" t="s">
        <v>165</v>
      </c>
      <c r="AH17" t="s">
        <v>40</v>
      </c>
      <c r="AI17">
        <v>432</v>
      </c>
    </row>
    <row r="18" spans="1:35" x14ac:dyDescent="0.25">
      <c r="A18" s="118">
        <v>45901</v>
      </c>
      <c r="B18" t="s">
        <v>185</v>
      </c>
      <c r="C18">
        <v>7</v>
      </c>
      <c r="D18">
        <v>1</v>
      </c>
      <c r="E18">
        <v>2</v>
      </c>
      <c r="F18">
        <v>1695.6</v>
      </c>
      <c r="H18" t="s">
        <v>35</v>
      </c>
      <c r="I18">
        <v>7</v>
      </c>
      <c r="J18">
        <v>1</v>
      </c>
      <c r="K18">
        <v>2</v>
      </c>
      <c r="L18">
        <v>1695.6</v>
      </c>
      <c r="M18">
        <v>28676035</v>
      </c>
      <c r="N18" t="s">
        <v>36</v>
      </c>
      <c r="O18" t="s">
        <v>37</v>
      </c>
      <c r="Q18" t="s">
        <v>229</v>
      </c>
      <c r="R18" t="s">
        <v>230</v>
      </c>
      <c r="S18">
        <v>2</v>
      </c>
      <c r="U18">
        <v>1</v>
      </c>
      <c r="V18" t="s">
        <v>43</v>
      </c>
      <c r="W18" t="s">
        <v>162</v>
      </c>
      <c r="X18" t="s">
        <v>38</v>
      </c>
      <c r="Y18" t="s">
        <v>179</v>
      </c>
      <c r="Z18" t="s">
        <v>39</v>
      </c>
      <c r="AB18" t="s">
        <v>164</v>
      </c>
      <c r="AC18" t="s">
        <v>185</v>
      </c>
      <c r="AD18">
        <v>7</v>
      </c>
      <c r="AF18">
        <v>234</v>
      </c>
      <c r="AG18" t="s">
        <v>165</v>
      </c>
      <c r="AH18" t="s">
        <v>40</v>
      </c>
      <c r="AI18">
        <v>1695.6</v>
      </c>
    </row>
    <row r="19" spans="1:35" x14ac:dyDescent="0.25">
      <c r="A19" s="118">
        <v>45907</v>
      </c>
      <c r="B19" t="s">
        <v>231</v>
      </c>
      <c r="C19">
        <v>3</v>
      </c>
      <c r="D19">
        <v>1</v>
      </c>
      <c r="E19">
        <v>1</v>
      </c>
      <c r="F19">
        <v>876</v>
      </c>
      <c r="H19" t="s">
        <v>35</v>
      </c>
      <c r="I19">
        <v>3</v>
      </c>
      <c r="J19">
        <v>1</v>
      </c>
      <c r="K19">
        <v>1</v>
      </c>
      <c r="L19">
        <v>876</v>
      </c>
      <c r="M19">
        <v>28676028</v>
      </c>
      <c r="N19" t="s">
        <v>36</v>
      </c>
      <c r="O19" t="s">
        <v>37</v>
      </c>
      <c r="Q19" t="s">
        <v>232</v>
      </c>
      <c r="R19" t="s">
        <v>233</v>
      </c>
      <c r="S19">
        <v>1</v>
      </c>
      <c r="U19">
        <v>1</v>
      </c>
      <c r="V19" t="s">
        <v>43</v>
      </c>
      <c r="W19" t="s">
        <v>234</v>
      </c>
      <c r="X19" t="s">
        <v>38</v>
      </c>
      <c r="Y19" t="s">
        <v>179</v>
      </c>
      <c r="Z19" t="s">
        <v>39</v>
      </c>
      <c r="AB19" t="s">
        <v>235</v>
      </c>
      <c r="AC19" t="s">
        <v>231</v>
      </c>
      <c r="AD19">
        <v>3</v>
      </c>
      <c r="AF19">
        <v>292</v>
      </c>
      <c r="AG19" t="s">
        <v>236</v>
      </c>
      <c r="AH19" t="s">
        <v>40</v>
      </c>
      <c r="AI19">
        <v>876</v>
      </c>
    </row>
    <row r="20" spans="1:35" x14ac:dyDescent="0.25">
      <c r="A20" s="118">
        <v>45924</v>
      </c>
      <c r="B20" t="s">
        <v>237</v>
      </c>
      <c r="C20">
        <v>5</v>
      </c>
      <c r="D20">
        <v>2</v>
      </c>
      <c r="E20">
        <v>3</v>
      </c>
      <c r="F20">
        <v>816.35</v>
      </c>
      <c r="H20" t="s">
        <v>35</v>
      </c>
      <c r="I20">
        <v>5</v>
      </c>
      <c r="J20">
        <v>2</v>
      </c>
      <c r="K20">
        <v>3</v>
      </c>
      <c r="L20">
        <v>816.35</v>
      </c>
      <c r="M20">
        <v>28676033</v>
      </c>
      <c r="N20" t="s">
        <v>158</v>
      </c>
      <c r="O20" t="s">
        <v>37</v>
      </c>
      <c r="Q20" t="s">
        <v>238</v>
      </c>
      <c r="R20" t="s">
        <v>239</v>
      </c>
      <c r="S20">
        <v>1</v>
      </c>
      <c r="U20">
        <v>1</v>
      </c>
      <c r="V20" t="s">
        <v>43</v>
      </c>
      <c r="W20" t="s">
        <v>159</v>
      </c>
      <c r="X20" t="s">
        <v>175</v>
      </c>
      <c r="Y20" t="s">
        <v>179</v>
      </c>
      <c r="Z20" t="s">
        <v>160</v>
      </c>
      <c r="AB20" t="s">
        <v>240</v>
      </c>
      <c r="AC20" t="s">
        <v>237</v>
      </c>
      <c r="AD20">
        <v>3</v>
      </c>
      <c r="AF20">
        <v>163.27000000000001</v>
      </c>
      <c r="AG20" t="s">
        <v>241</v>
      </c>
      <c r="AH20" t="s">
        <v>158</v>
      </c>
      <c r="AI20">
        <v>489.81</v>
      </c>
    </row>
    <row r="21" spans="1:35" x14ac:dyDescent="0.25">
      <c r="A21" s="118">
        <v>45924</v>
      </c>
      <c r="B21" t="s">
        <v>237</v>
      </c>
      <c r="C21">
        <v>5</v>
      </c>
      <c r="D21">
        <v>2</v>
      </c>
      <c r="E21">
        <v>3</v>
      </c>
      <c r="F21">
        <v>816.35</v>
      </c>
      <c r="H21" t="s">
        <v>35</v>
      </c>
      <c r="I21">
        <v>5</v>
      </c>
      <c r="J21">
        <v>2</v>
      </c>
      <c r="K21">
        <v>3</v>
      </c>
      <c r="L21">
        <v>816.35</v>
      </c>
      <c r="M21">
        <v>28676034</v>
      </c>
      <c r="N21" t="s">
        <v>158</v>
      </c>
      <c r="O21" t="s">
        <v>37</v>
      </c>
      <c r="Q21" t="s">
        <v>242</v>
      </c>
      <c r="R21" t="s">
        <v>243</v>
      </c>
      <c r="S21">
        <v>2</v>
      </c>
      <c r="U21">
        <v>1</v>
      </c>
      <c r="V21" t="s">
        <v>43</v>
      </c>
      <c r="W21" t="s">
        <v>159</v>
      </c>
      <c r="X21" t="s">
        <v>175</v>
      </c>
      <c r="Y21" t="s">
        <v>179</v>
      </c>
      <c r="Z21" t="s">
        <v>160</v>
      </c>
      <c r="AB21" t="s">
        <v>240</v>
      </c>
      <c r="AC21" t="s">
        <v>237</v>
      </c>
      <c r="AD21">
        <v>2</v>
      </c>
      <c r="AF21">
        <v>163.27000000000001</v>
      </c>
      <c r="AG21" t="s">
        <v>241</v>
      </c>
      <c r="AH21" t="s">
        <v>158</v>
      </c>
      <c r="AI21">
        <v>326.54000000000002</v>
      </c>
    </row>
    <row r="22" spans="1:35" x14ac:dyDescent="0.25">
      <c r="A22" s="118">
        <v>45928</v>
      </c>
      <c r="B22" t="s">
        <v>244</v>
      </c>
      <c r="C22">
        <v>5</v>
      </c>
      <c r="D22">
        <v>1</v>
      </c>
      <c r="E22">
        <v>2</v>
      </c>
      <c r="F22">
        <v>1240.8499999999999</v>
      </c>
      <c r="H22" t="s">
        <v>35</v>
      </c>
      <c r="I22">
        <v>5</v>
      </c>
      <c r="J22">
        <v>1</v>
      </c>
      <c r="K22">
        <v>2</v>
      </c>
      <c r="L22">
        <v>1240.8499999999999</v>
      </c>
      <c r="M22">
        <v>28676040</v>
      </c>
      <c r="N22" t="s">
        <v>157</v>
      </c>
      <c r="O22" t="s">
        <v>37</v>
      </c>
      <c r="Q22" t="s">
        <v>245</v>
      </c>
      <c r="R22" t="s">
        <v>246</v>
      </c>
      <c r="S22">
        <v>2</v>
      </c>
      <c r="U22">
        <v>1</v>
      </c>
      <c r="V22" t="s">
        <v>43</v>
      </c>
      <c r="W22" t="s">
        <v>159</v>
      </c>
      <c r="X22" t="s">
        <v>175</v>
      </c>
      <c r="Y22" t="s">
        <v>179</v>
      </c>
      <c r="Z22" t="s">
        <v>161</v>
      </c>
      <c r="AB22" t="s">
        <v>247</v>
      </c>
      <c r="AC22" t="s">
        <v>244</v>
      </c>
      <c r="AD22">
        <v>5</v>
      </c>
      <c r="AF22">
        <v>163.27000000000001</v>
      </c>
      <c r="AG22" t="s">
        <v>248</v>
      </c>
      <c r="AH22" t="s">
        <v>157</v>
      </c>
      <c r="AI22">
        <v>1240.8499999999999</v>
      </c>
    </row>
    <row r="23" spans="1:35" x14ac:dyDescent="0.25">
      <c r="A23" s="118">
        <v>45931</v>
      </c>
      <c r="B23" t="s">
        <v>249</v>
      </c>
      <c r="C23">
        <v>1</v>
      </c>
      <c r="D23">
        <v>1</v>
      </c>
      <c r="E23">
        <v>2</v>
      </c>
      <c r="F23">
        <v>375.52</v>
      </c>
      <c r="H23" t="s">
        <v>35</v>
      </c>
      <c r="I23">
        <v>1</v>
      </c>
      <c r="J23">
        <v>1</v>
      </c>
      <c r="K23">
        <v>2</v>
      </c>
      <c r="L23">
        <v>375.52</v>
      </c>
      <c r="M23">
        <v>28676039</v>
      </c>
      <c r="N23" t="s">
        <v>158</v>
      </c>
      <c r="O23" t="s">
        <v>37</v>
      </c>
      <c r="Q23" t="s">
        <v>250</v>
      </c>
      <c r="R23" t="s">
        <v>251</v>
      </c>
      <c r="S23">
        <v>2</v>
      </c>
      <c r="U23">
        <v>1</v>
      </c>
      <c r="V23" t="s">
        <v>43</v>
      </c>
      <c r="W23" t="s">
        <v>159</v>
      </c>
      <c r="X23" t="s">
        <v>175</v>
      </c>
      <c r="Y23" t="s">
        <v>179</v>
      </c>
      <c r="Z23" t="s">
        <v>160</v>
      </c>
      <c r="AB23" t="s">
        <v>193</v>
      </c>
      <c r="AC23" t="s">
        <v>249</v>
      </c>
      <c r="AD23">
        <v>1</v>
      </c>
      <c r="AF23">
        <v>375.52</v>
      </c>
      <c r="AG23" t="s">
        <v>194</v>
      </c>
      <c r="AH23" t="s">
        <v>158</v>
      </c>
      <c r="AI23">
        <v>375.52</v>
      </c>
    </row>
    <row r="24" spans="1:35" x14ac:dyDescent="0.25">
      <c r="A24" s="118">
        <v>46050</v>
      </c>
      <c r="B24" t="s">
        <v>252</v>
      </c>
      <c r="C24">
        <v>3</v>
      </c>
      <c r="D24">
        <v>1</v>
      </c>
      <c r="E24">
        <v>2</v>
      </c>
      <c r="F24">
        <v>1738.8</v>
      </c>
      <c r="H24" t="s">
        <v>35</v>
      </c>
      <c r="I24">
        <v>3</v>
      </c>
      <c r="J24">
        <v>1</v>
      </c>
      <c r="K24">
        <v>2</v>
      </c>
      <c r="L24">
        <v>1738.8</v>
      </c>
      <c r="M24">
        <v>28676049</v>
      </c>
      <c r="N24" t="s">
        <v>158</v>
      </c>
      <c r="O24" t="s">
        <v>37</v>
      </c>
      <c r="Q24" t="s">
        <v>253</v>
      </c>
      <c r="R24" t="s">
        <v>254</v>
      </c>
      <c r="S24">
        <v>2</v>
      </c>
      <c r="U24">
        <v>1</v>
      </c>
      <c r="V24" t="s">
        <v>43</v>
      </c>
      <c r="W24" t="s">
        <v>255</v>
      </c>
      <c r="X24" t="s">
        <v>175</v>
      </c>
      <c r="Y24" t="s">
        <v>179</v>
      </c>
      <c r="Z24" t="s">
        <v>160</v>
      </c>
      <c r="AB24" t="s">
        <v>225</v>
      </c>
      <c r="AC24" t="s">
        <v>252</v>
      </c>
      <c r="AD24">
        <v>3</v>
      </c>
      <c r="AF24">
        <v>579.6</v>
      </c>
      <c r="AG24" t="s">
        <v>226</v>
      </c>
      <c r="AH24" t="s">
        <v>158</v>
      </c>
      <c r="AI24">
        <v>1738.8</v>
      </c>
    </row>
    <row r="25" spans="1:35" x14ac:dyDescent="0.25">
      <c r="A25" t="s">
        <v>256</v>
      </c>
      <c r="B25" t="s">
        <v>257</v>
      </c>
      <c r="C25" t="s">
        <v>258</v>
      </c>
      <c r="D25" t="s">
        <v>259</v>
      </c>
      <c r="E25" t="s">
        <v>260</v>
      </c>
    </row>
    <row r="26" spans="1:35" x14ac:dyDescent="0.25">
      <c r="A26">
        <v>23</v>
      </c>
      <c r="B26">
        <v>29</v>
      </c>
      <c r="C26">
        <v>55</v>
      </c>
      <c r="E26">
        <v>16719.5</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learupdate">
                <anchor moveWithCells="1" sizeWithCells="1">
                  <from>
                    <xdr:col>10</xdr:col>
                    <xdr:colOff>323850</xdr:colOff>
                    <xdr:row>0</xdr:row>
                    <xdr:rowOff>19050</xdr:rowOff>
                  </from>
                  <to>
                    <xdr:col>12</xdr:col>
                    <xdr:colOff>76200</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CA235-3024-40AF-B609-501D68EE3DAC}">
  <sheetPr codeName="Sheet4">
    <tabColor rgb="FF92D050"/>
  </sheetPr>
  <dimension ref="B1:I18"/>
  <sheetViews>
    <sheetView showGridLines="0" zoomScaleNormal="100" workbookViewId="0">
      <selection activeCell="C13" sqref="C13"/>
    </sheetView>
  </sheetViews>
  <sheetFormatPr defaultRowHeight="15" x14ac:dyDescent="0.25"/>
  <cols>
    <col min="1" max="1" width="1.7109375" style="98" customWidth="1"/>
    <col min="2" max="2" width="21.28515625" style="98" customWidth="1"/>
    <col min="3" max="3" width="12.28515625" style="98" customWidth="1"/>
    <col min="4" max="4" width="1.140625" style="98" customWidth="1"/>
    <col min="5" max="8" width="9.140625" style="98"/>
    <col min="9" max="9" width="12.28515625" style="98" customWidth="1"/>
    <col min="10" max="10" width="4.28515625" style="98" customWidth="1"/>
    <col min="11" max="16384" width="9.140625" style="98"/>
  </cols>
  <sheetData>
    <row r="1" spans="2:9" ht="5.25" customHeight="1" thickBot="1" x14ac:dyDescent="0.3"/>
    <row r="2" spans="2:9" ht="15.75" thickBot="1" x14ac:dyDescent="0.3">
      <c r="B2" s="128" t="s">
        <v>138</v>
      </c>
      <c r="C2" s="129"/>
    </row>
    <row r="3" spans="2:9" ht="15.75" thickBot="1" x14ac:dyDescent="0.3">
      <c r="B3" s="99" t="s">
        <v>124</v>
      </c>
      <c r="C3" s="124">
        <v>397.05</v>
      </c>
      <c r="E3" s="130" t="s">
        <v>149</v>
      </c>
      <c r="F3" s="131"/>
      <c r="G3" s="131"/>
      <c r="H3" s="131"/>
      <c r="I3" s="132"/>
    </row>
    <row r="4" spans="2:9" ht="15.75" thickBot="1" x14ac:dyDescent="0.3">
      <c r="B4" s="100" t="s">
        <v>125</v>
      </c>
      <c r="C4" s="125">
        <v>170.29000000000002</v>
      </c>
      <c r="E4" s="130" t="s">
        <v>147</v>
      </c>
      <c r="F4" s="131"/>
      <c r="G4" s="131"/>
      <c r="H4" s="131"/>
      <c r="I4" s="132"/>
    </row>
    <row r="5" spans="2:9" ht="15.75" thickBot="1" x14ac:dyDescent="0.3">
      <c r="B5" s="100" t="s">
        <v>126</v>
      </c>
      <c r="C5" s="125">
        <v>397.05000000000007</v>
      </c>
      <c r="E5" s="130" t="s">
        <v>146</v>
      </c>
      <c r="F5" s="131"/>
      <c r="G5" s="131"/>
      <c r="H5" s="131"/>
      <c r="I5" s="132"/>
    </row>
    <row r="6" spans="2:9" ht="15.75" thickBot="1" x14ac:dyDescent="0.3">
      <c r="B6" s="100" t="s">
        <v>127</v>
      </c>
      <c r="C6" s="102" t="s">
        <v>173</v>
      </c>
      <c r="E6" s="130" t="s">
        <v>145</v>
      </c>
      <c r="F6" s="131"/>
      <c r="G6" s="131"/>
      <c r="H6" s="131"/>
      <c r="I6" s="132"/>
    </row>
    <row r="7" spans="2:9" ht="15.75" thickBot="1" x14ac:dyDescent="0.3">
      <c r="B7" s="100" t="s">
        <v>128</v>
      </c>
      <c r="C7" s="125">
        <v>240.82642753651442</v>
      </c>
      <c r="E7" s="130" t="s">
        <v>143</v>
      </c>
      <c r="F7" s="131"/>
      <c r="G7" s="131"/>
      <c r="H7" s="131"/>
      <c r="I7" s="132"/>
    </row>
    <row r="8" spans="2:9" ht="15.75" thickBot="1" x14ac:dyDescent="0.3">
      <c r="B8" s="100" t="s">
        <v>129</v>
      </c>
      <c r="C8" s="125">
        <v>57997.368200000026</v>
      </c>
      <c r="E8" s="130" t="s">
        <v>144</v>
      </c>
      <c r="F8" s="131"/>
      <c r="G8" s="131"/>
      <c r="H8" s="131"/>
      <c r="I8" s="132"/>
    </row>
    <row r="9" spans="2:9" ht="15.75" thickBot="1" x14ac:dyDescent="0.3">
      <c r="B9" s="100" t="s">
        <v>130</v>
      </c>
      <c r="C9" s="125" t="s">
        <v>173</v>
      </c>
      <c r="E9" s="130" t="s">
        <v>142</v>
      </c>
      <c r="F9" s="131"/>
      <c r="G9" s="131"/>
      <c r="H9" s="131"/>
      <c r="I9" s="132"/>
    </row>
    <row r="10" spans="2:9" ht="15.75" thickBot="1" x14ac:dyDescent="0.3">
      <c r="B10" s="100" t="s">
        <v>131</v>
      </c>
      <c r="C10" s="125" t="s">
        <v>173</v>
      </c>
      <c r="E10" s="130" t="s">
        <v>154</v>
      </c>
      <c r="F10" s="131"/>
      <c r="G10" s="131"/>
      <c r="H10" s="131"/>
      <c r="I10" s="132"/>
    </row>
    <row r="11" spans="2:9" ht="15.75" thickBot="1" x14ac:dyDescent="0.3">
      <c r="B11" s="100" t="s">
        <v>132</v>
      </c>
      <c r="C11" s="102">
        <v>340.58000000000004</v>
      </c>
      <c r="E11" s="130" t="s">
        <v>141</v>
      </c>
      <c r="F11" s="131"/>
      <c r="G11" s="131"/>
      <c r="H11" s="131"/>
      <c r="I11" s="132"/>
    </row>
    <row r="12" spans="2:9" ht="15.75" thickBot="1" x14ac:dyDescent="0.3">
      <c r="B12" s="100" t="s">
        <v>133</v>
      </c>
      <c r="C12" s="102">
        <v>226.76000000000002</v>
      </c>
      <c r="E12" s="130" t="s">
        <v>139</v>
      </c>
      <c r="F12" s="131"/>
      <c r="G12" s="131"/>
      <c r="H12" s="131"/>
      <c r="I12" s="132"/>
    </row>
    <row r="13" spans="2:9" ht="15.75" thickBot="1" x14ac:dyDescent="0.3">
      <c r="B13" s="100" t="s">
        <v>134</v>
      </c>
      <c r="C13" s="102">
        <v>567.34</v>
      </c>
      <c r="E13" s="130" t="s">
        <v>140</v>
      </c>
      <c r="F13" s="131"/>
      <c r="G13" s="131"/>
      <c r="H13" s="131"/>
      <c r="I13" s="132"/>
    </row>
    <row r="14" spans="2:9" ht="15.75" thickBot="1" x14ac:dyDescent="0.3">
      <c r="B14" s="100" t="s">
        <v>123</v>
      </c>
      <c r="C14" s="125">
        <v>794.1</v>
      </c>
      <c r="E14" s="130" t="s">
        <v>153</v>
      </c>
      <c r="F14" s="131"/>
      <c r="G14" s="131"/>
      <c r="H14" s="131"/>
      <c r="I14" s="132"/>
    </row>
    <row r="15" spans="2:9" ht="15.75" thickBot="1" x14ac:dyDescent="0.3">
      <c r="B15" s="100" t="s">
        <v>122</v>
      </c>
      <c r="C15" s="126">
        <v>2</v>
      </c>
      <c r="E15" s="130" t="s">
        <v>150</v>
      </c>
      <c r="F15" s="131"/>
      <c r="G15" s="131"/>
      <c r="H15" s="131"/>
      <c r="I15" s="132"/>
    </row>
    <row r="16" spans="2:9" ht="15.75" thickBot="1" x14ac:dyDescent="0.3">
      <c r="B16" s="100" t="s">
        <v>135</v>
      </c>
      <c r="C16" s="125">
        <v>567.34</v>
      </c>
      <c r="E16" s="130" t="s">
        <v>139</v>
      </c>
      <c r="F16" s="131"/>
      <c r="G16" s="131"/>
      <c r="H16" s="131"/>
      <c r="I16" s="132"/>
    </row>
    <row r="17" spans="2:9" ht="15.75" thickBot="1" x14ac:dyDescent="0.3">
      <c r="B17" s="100" t="s">
        <v>136</v>
      </c>
      <c r="C17" s="125">
        <v>226.76000000000002</v>
      </c>
      <c r="E17" s="130" t="s">
        <v>140</v>
      </c>
      <c r="F17" s="131"/>
      <c r="G17" s="131"/>
      <c r="H17" s="131"/>
      <c r="I17" s="132"/>
    </row>
    <row r="18" spans="2:9" ht="15.75" customHeight="1" thickBot="1" x14ac:dyDescent="0.3">
      <c r="B18" s="101" t="s">
        <v>137</v>
      </c>
      <c r="C18" s="127">
        <v>333.76226692732575</v>
      </c>
      <c r="E18" s="130" t="s">
        <v>148</v>
      </c>
      <c r="F18" s="131"/>
      <c r="G18" s="131"/>
      <c r="H18" s="131"/>
      <c r="I18" s="132"/>
    </row>
  </sheetData>
  <mergeCells count="17">
    <mergeCell ref="E17:I17"/>
    <mergeCell ref="E18:I18"/>
    <mergeCell ref="E11:I11"/>
    <mergeCell ref="E12:I12"/>
    <mergeCell ref="E13:I13"/>
    <mergeCell ref="E14:I14"/>
    <mergeCell ref="E15:I15"/>
    <mergeCell ref="E7:I7"/>
    <mergeCell ref="E8:I8"/>
    <mergeCell ref="E9:I9"/>
    <mergeCell ref="E10:I10"/>
    <mergeCell ref="E16:I16"/>
    <mergeCell ref="B2:C2"/>
    <mergeCell ref="E3:I3"/>
    <mergeCell ref="E4:I4"/>
    <mergeCell ref="E5:I5"/>
    <mergeCell ref="E6:I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FullDescriptiveStats_EnteredOn">
                <anchor moveWithCells="1">
                  <from>
                    <xdr:col>4</xdr:col>
                    <xdr:colOff>19050</xdr:colOff>
                    <xdr:row>1</xdr:row>
                    <xdr:rowOff>0</xdr:rowOff>
                  </from>
                  <to>
                    <xdr:col>6</xdr:col>
                    <xdr:colOff>304800</xdr:colOff>
                    <xdr:row>1</xdr:row>
                    <xdr:rowOff>152400</xdr:rowOff>
                  </to>
                </anchor>
              </controlPr>
            </control>
          </mc:Choice>
        </mc:AlternateContent>
        <mc:AlternateContent xmlns:mc="http://schemas.openxmlformats.org/markup-compatibility/2006">
          <mc:Choice Requires="x14">
            <control shapeId="6147" r:id="rId4" name="Button 3">
              <controlPr defaultSize="0" print="0" autoFill="0" autoPict="0" macro="[0]!FullDescriptiveStats_WinterEnteredOn">
                <anchor moveWithCells="1">
                  <from>
                    <xdr:col>6</xdr:col>
                    <xdr:colOff>342900</xdr:colOff>
                    <xdr:row>1</xdr:row>
                    <xdr:rowOff>0</xdr:rowOff>
                  </from>
                  <to>
                    <xdr:col>9</xdr:col>
                    <xdr:colOff>0</xdr:colOff>
                    <xdr:row>1</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election sqref="A1:XFD1048576"/>
    </sheetView>
  </sheetViews>
  <sheetFormatPr defaultRowHeight="15" x14ac:dyDescent="0.25"/>
  <cols>
    <col min="1" max="1" width="34" customWidth="1"/>
    <col min="2" max="2" width="23.7109375" customWidth="1"/>
    <col min="3" max="3" width="10.7109375" bestFit="1" customWidth="1"/>
    <col min="4" max="4" width="11.28515625" bestFit="1" customWidth="1"/>
    <col min="11" max="11" width="11.28515625" bestFit="1" customWidth="1"/>
    <col min="12" max="12" width="15.7109375" bestFit="1" customWidth="1"/>
    <col min="13" max="13" width="22.5703125" bestFit="1" customWidth="1"/>
    <col min="17" max="17" width="13.85546875" customWidth="1"/>
    <col min="18" max="18" width="14.28515625" customWidth="1"/>
    <col min="19" max="19" width="16.710937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E200"/>
  <sheetViews>
    <sheetView showGridLines="0" topLeftCell="A31" workbookViewId="0">
      <selection activeCell="G2" sqref="G2:G200"/>
    </sheetView>
  </sheetViews>
  <sheetFormatPr defaultRowHeight="15" x14ac:dyDescent="0.25"/>
  <cols>
    <col min="1" max="1" width="22.5703125" bestFit="1" customWidth="1"/>
    <col min="2" max="3" width="22.5703125" customWidth="1"/>
    <col min="4" max="4" width="17.7109375" customWidth="1"/>
    <col min="5" max="5" width="14.7109375" customWidth="1"/>
    <col min="6" max="6" width="13.85546875" customWidth="1"/>
    <col min="7" max="7" width="11.85546875" customWidth="1"/>
    <col min="8" max="8" width="12.5703125" style="23" customWidth="1"/>
    <col min="9" max="9" width="10.5703125" style="23" customWidth="1"/>
    <col min="10" max="10" width="22.5703125" customWidth="1"/>
    <col min="11" max="11" width="11" customWidth="1"/>
    <col min="12" max="12" width="12.28515625" customWidth="1"/>
    <col min="13" max="13" width="11.42578125" customWidth="1"/>
    <col min="30" max="30" width="15.7109375" bestFit="1" customWidth="1"/>
    <col min="31" max="31" width="19.42578125" bestFit="1" customWidth="1"/>
  </cols>
  <sheetData>
    <row r="1" spans="1:25" x14ac:dyDescent="0.25">
      <c r="A1" s="22" t="s">
        <v>63</v>
      </c>
      <c r="B1" s="22" t="s">
        <v>102</v>
      </c>
      <c r="C1" s="22" t="s">
        <v>103</v>
      </c>
      <c r="D1" s="22" t="s">
        <v>100</v>
      </c>
      <c r="E1" s="22" t="s">
        <v>45</v>
      </c>
      <c r="F1" s="22" t="s">
        <v>101</v>
      </c>
      <c r="G1" s="22" t="s">
        <v>90</v>
      </c>
      <c r="H1" s="26" t="s">
        <v>93</v>
      </c>
      <c r="I1" s="26" t="s">
        <v>94</v>
      </c>
      <c r="J1" s="22" t="s">
        <v>151</v>
      </c>
      <c r="K1" s="13" t="s">
        <v>80</v>
      </c>
      <c r="L1" s="13" t="s">
        <v>64</v>
      </c>
      <c r="M1" s="13" t="s">
        <v>29</v>
      </c>
      <c r="N1" s="34" t="s">
        <v>66</v>
      </c>
      <c r="O1" s="34" t="s">
        <v>65</v>
      </c>
      <c r="P1" s="34" t="s">
        <v>67</v>
      </c>
      <c r="Q1" s="34" t="s">
        <v>68</v>
      </c>
      <c r="R1" s="34" t="s">
        <v>69</v>
      </c>
      <c r="S1" s="34" t="s">
        <v>70</v>
      </c>
      <c r="T1" s="34" t="s">
        <v>71</v>
      </c>
      <c r="U1" s="34" t="s">
        <v>72</v>
      </c>
      <c r="V1" s="34" t="s">
        <v>73</v>
      </c>
      <c r="W1" s="34" t="s">
        <v>74</v>
      </c>
      <c r="X1" s="34" t="s">
        <v>75</v>
      </c>
      <c r="Y1" s="35" t="s">
        <v>76</v>
      </c>
    </row>
    <row r="2" spans="1:25" x14ac:dyDescent="0.25">
      <c r="A2" s="18" t="str">
        <f>IF(OR(ISNUMBER('ENTERED ON'!M2), 'ENTERED ON'!M2=""), "M&amp;C / RESV/ OTHERS", 'ENTERED ON'!M2)</f>
        <v xml:space="preserve">T- Agoda.com Company </v>
      </c>
      <c r="B2" s="18">
        <f>IF(ISTEXT(Table1[[#This Row],[ROOM TYPE]]), 1, 0)</f>
        <v>1</v>
      </c>
      <c r="C2" s="18" t="str">
        <f>IF(ISNUMBER('ENTERED ON'!L2), 0, 'ENTERED ON'!L2)</f>
        <v>*INNLINK2WAY*</v>
      </c>
      <c r="D2" s="18" t="str">
        <f>'ENTERED ON'!G2</f>
        <v>1BA</v>
      </c>
      <c r="E2" s="18">
        <f>IF(ISTEXT('ENTERED ON'!Q2), 1, 0)</f>
        <v>0</v>
      </c>
      <c r="F2" s="18">
        <f>IF(ISTEXT('ENTERED ON'!R1), 1, 0)</f>
        <v>1</v>
      </c>
      <c r="G2" s="18">
        <f>IFERROR(IF(ISTEXT('ENTERED ON'!P2), 0, 'ENTERED ON'!P2*1.1), 0)</f>
        <v>341.077</v>
      </c>
      <c r="H2" s="27">
        <f>IF(ISTEXT(G2), 0, Table1[[#This Row],[Amount]] / 'COMPANY PROD'!$V$33)</f>
        <v>1.854541104698107E-2</v>
      </c>
      <c r="I2" s="27">
        <f>Table1[[#This Row],[NIGHTS]]/'COMPANY PROD'!$V$41</f>
        <v>1.8181818181818181E-2</v>
      </c>
      <c r="J2" s="24">
        <f>IFERROR(Table1[[#This Row],[Amount]]/Table1[[#This Row],[NIGHTS]],0)</f>
        <v>341.077</v>
      </c>
      <c r="K2" s="21">
        <f>IF(ISTEXT('ENTERED ON'!C2), 0, IFERROR('ENTERED ON'!C2, 0))</f>
        <v>45892</v>
      </c>
      <c r="L2" s="21">
        <f>IF(ISTEXT('ENTERED ON'!D2), 0, IFERROR('ENTERED ON'!D2, 0))</f>
        <v>45893</v>
      </c>
      <c r="M2" s="19">
        <f>Table1[[#This Row],[Check out ]]-Table1[[#This Row],[Check in ]]</f>
        <v>1</v>
      </c>
      <c r="N2" s="19"/>
      <c r="O2" s="19">
        <f>MAX(0, MIN(L2-1, DATE(YEAR(K2), 3, 1)-1) - MAX(K2, DATE(YEAR(K2), 2, 1)) + 1)</f>
        <v>0</v>
      </c>
      <c r="P2" s="19">
        <f>MAX(0, MIN(L2-1, DATE(YEAR(K2), 4, 1)-1) - MAX(K2, DATE(YEAR(K2), 3, 1)) + 1)</f>
        <v>0</v>
      </c>
      <c r="Q2" s="19">
        <f>MAX(0,MIN(L2-1,DATE(YEAR(K2),5,1)-1)-MAX(K2,DATE(YEAR(K2),4,1))+1)</f>
        <v>0</v>
      </c>
      <c r="R2" s="19">
        <f>MAX(0, MIN(L2-1, DATE(YEAR(K2), 6, 1)-1) - MAX(K2, DATE(YEAR(K2), 5, 1)) + 1)</f>
        <v>0</v>
      </c>
      <c r="S2" s="19">
        <f>MAX(0, MIN(L2-1, DATE(YEAR(K2), 7, 1)-1) - MAX(K2, DATE(YEAR(K2), 6, 1)) + 1)</f>
        <v>0</v>
      </c>
      <c r="T2" s="19">
        <f>MAX(0, MIN(L2-1, DATE(YEAR(K2), 8, 1)-1) - MAX(K2, DATE(YEAR(K2), 7, 1)) + 1)</f>
        <v>0</v>
      </c>
      <c r="U2" s="19">
        <f>MAX(0, MIN(L2-1, DATE(YEAR(K2), 9, 1)-1) - MAX(K2, DATE(YEAR(K2), 8, 1)) + 1)</f>
        <v>1</v>
      </c>
      <c r="V2" s="19">
        <f>MAX(0, MIN(L2-1, DATE(YEAR(K2), 10, 1)-1) - MAX(K2, DATE(YEAR(K2), 9, 1)) + 1)</f>
        <v>0</v>
      </c>
      <c r="W2" s="19">
        <f>MAX(0, MIN(L2-1, DATE(YEAR(K2), 11, 1)-1) - MAX(K2, DATE(YEAR(K2), 10, 1)) + 1)</f>
        <v>0</v>
      </c>
      <c r="X2" s="19">
        <f>MAX(0, MIN(L2-1, DATE(YEAR(K2), 12, 1)-1) - MAX(K2, DATE(YEAR(K2), 11, 1)) + 1)</f>
        <v>0</v>
      </c>
      <c r="Y2" s="17">
        <f>MAX(0, MIN(L2-1, DATE(YEAR(K2)+1, 1, 1)-1) - MAX(K2, DATE(YEAR(K2), 12, 1)) + 1)</f>
        <v>0</v>
      </c>
    </row>
    <row r="3" spans="1:25" x14ac:dyDescent="0.25">
      <c r="A3" s="18" t="str">
        <f>IF(OR(ISNUMBER('ENTERED ON'!M3), 'ENTERED ON'!M3=""), "M&amp;C / RESV/ OTHERS", 'ENTERED ON'!M3)</f>
        <v>M&amp;C / RESV/ OTHERS</v>
      </c>
      <c r="B3" s="18">
        <f>IF(ISTEXT(Table1[[#This Row],[ROOM TYPE]]), 1, 0)</f>
        <v>1</v>
      </c>
      <c r="C3" s="18" t="str">
        <f>IF(ISNUMBER('ENTERED ON'!L3), 0, 'ENTERED ON'!L3)</f>
        <v>NITHIN</v>
      </c>
      <c r="D3" s="18" t="str">
        <f>'ENTERED ON'!G3</f>
        <v>PM</v>
      </c>
      <c r="E3" s="18">
        <f>IF(ISTEXT('ENTERED ON'!Q3), 1, 0)</f>
        <v>0</v>
      </c>
      <c r="F3" s="18">
        <f>IF(ISTEXT('ENTERED ON'!R2), 1, 0)</f>
        <v>0</v>
      </c>
      <c r="G3" s="18">
        <f>IFERROR(IF(ISTEXT('ENTERED ON'!P3), 0, 'ENTERED ON'!P3*1.1), 0)</f>
        <v>0</v>
      </c>
      <c r="H3" s="27">
        <f>IF(ISTEXT(G3), 0, Table1[[#This Row],[Amount]] / 'COMPANY PROD'!$V$33)</f>
        <v>0</v>
      </c>
      <c r="I3" s="27">
        <f>Table1[[#This Row],[NIGHTS]]/'COMPANY PROD'!$V$41</f>
        <v>0</v>
      </c>
      <c r="J3" s="24">
        <f>IFERROR(Table1[[#This Row],[Amount]]/Table1[[#This Row],[NIGHTS]],0)</f>
        <v>0</v>
      </c>
      <c r="K3" s="21">
        <f>IF(ISTEXT('ENTERED ON'!C3), 0, IFERROR('ENTERED ON'!C3, 0))</f>
        <v>45892</v>
      </c>
      <c r="L3" s="21">
        <f>IF(ISTEXT('ENTERED ON'!D3), 0, IFERROR('ENTERED ON'!D3, 0))</f>
        <v>45892</v>
      </c>
      <c r="M3" s="19">
        <f>Table1[[#This Row],[Check out ]]-Table1[[#This Row],[Check in ]]</f>
        <v>0</v>
      </c>
      <c r="N3" s="19"/>
      <c r="O3" s="19">
        <f t="shared" ref="O3:O66" si="0">MAX(0, MIN(L3-1, DATE(YEAR(K3), 3, 1)-1) - MAX(K3, DATE(YEAR(K3), 2, 1)) + 1)</f>
        <v>0</v>
      </c>
      <c r="P3" s="19">
        <f t="shared" ref="P3:P66" si="1">MAX(0, MIN(L3-1, DATE(YEAR(K3), 4, 1)-1) - MAX(K3, DATE(YEAR(K3), 3, 1)) + 1)</f>
        <v>0</v>
      </c>
      <c r="Q3" s="19">
        <f t="shared" ref="Q3:Q66" si="2">MAX(0,MIN(L3-1,DATE(YEAR(K3),5,1)-1)-MAX(K3,DATE(YEAR(K3),4,1))+1)</f>
        <v>0</v>
      </c>
      <c r="R3" s="19">
        <f t="shared" ref="R3:R66" si="3">MAX(0, MIN(L3-1, DATE(YEAR(K3), 6, 1)-1) - MAX(K3, DATE(YEAR(K3), 5, 1)) + 1)</f>
        <v>0</v>
      </c>
      <c r="S3" s="19">
        <f t="shared" ref="S3:S66" si="4">MAX(0, MIN(L3-1, DATE(YEAR(K3), 7, 1)-1) - MAX(K3, DATE(YEAR(K3), 6, 1)) + 1)</f>
        <v>0</v>
      </c>
      <c r="T3" s="19">
        <f t="shared" ref="T3:T66" si="5">MAX(0, MIN(L3-1, DATE(YEAR(K3), 8, 1)-1) - MAX(K3, DATE(YEAR(K3), 7, 1)) + 1)</f>
        <v>0</v>
      </c>
      <c r="U3" s="19">
        <f t="shared" ref="U3:U66" si="6">MAX(0, MIN(L3-1, DATE(YEAR(K3), 9, 1)-1) - MAX(K3, DATE(YEAR(K3), 8, 1)) + 1)</f>
        <v>0</v>
      </c>
      <c r="V3" s="19">
        <f t="shared" ref="V3:V66" si="7">MAX(0, MIN(L3-1, DATE(YEAR(K3), 10, 1)-1) - MAX(K3, DATE(YEAR(K3), 9, 1)) + 1)</f>
        <v>0</v>
      </c>
      <c r="W3" s="19">
        <f t="shared" ref="W3:W66" si="8">MAX(0, MIN(L3-1, DATE(YEAR(K3), 11, 1)-1) - MAX(K3, DATE(YEAR(K3), 10, 1)) + 1)</f>
        <v>0</v>
      </c>
      <c r="X3" s="19">
        <f t="shared" ref="X3:X66" si="9">MAX(0, MIN(L3-1, DATE(YEAR(K3), 12, 1)-1) - MAX(K3, DATE(YEAR(K3), 11, 1)) + 1)</f>
        <v>0</v>
      </c>
      <c r="Y3" s="17">
        <f t="shared" ref="Y3:Y66" si="10">MAX(0, MIN(L3-1, DATE(YEAR(K3)+1, 1, 1)-1) - MAX(K3, DATE(YEAR(K3), 12, 1)) + 1)</f>
        <v>0</v>
      </c>
    </row>
    <row r="4" spans="1:25" x14ac:dyDescent="0.25">
      <c r="A4" s="18" t="str">
        <f>IF(OR(ISNUMBER('ENTERED ON'!M4), 'ENTERED ON'!M4=""), "M&amp;C / RESV/ OTHERS", 'ENTERED ON'!M4)</f>
        <v>C- UPS Supply Chain S</v>
      </c>
      <c r="B4" s="18">
        <f>IF(ISTEXT(Table1[[#This Row],[ROOM TYPE]]), 1, 0)</f>
        <v>1</v>
      </c>
      <c r="C4" s="18" t="str">
        <f>IF(ISNUMBER('ENTERED ON'!L4), 0, 'ENTERED ON'!L4)</f>
        <v>SAMI</v>
      </c>
      <c r="D4" s="18" t="str">
        <f>'ENTERED ON'!G4</f>
        <v>BS</v>
      </c>
      <c r="E4" s="18">
        <f>IF(ISTEXT('ENTERED ON'!Q4), 1, 0)</f>
        <v>0</v>
      </c>
      <c r="F4" s="18">
        <f>IF(ISTEXT('ENTERED ON'!R3), 1, 0)</f>
        <v>0</v>
      </c>
      <c r="G4" s="18">
        <f>IFERROR(IF(ISTEXT('ENTERED ON'!P4), 0, 'ENTERED ON'!P4*1.1), 0)</f>
        <v>467.50000000000006</v>
      </c>
      <c r="H4" s="27">
        <f>IF(ISTEXT(G4), 0, Table1[[#This Row],[Amount]] / 'COMPANY PROD'!$V$33)</f>
        <v>2.5419420437214034E-2</v>
      </c>
      <c r="I4" s="27">
        <f>Table1[[#This Row],[NIGHTS]]/'COMPANY PROD'!$V$41</f>
        <v>1.8181818181818181E-2</v>
      </c>
      <c r="J4" s="24">
        <f>IFERROR(Table1[[#This Row],[Amount]]/Table1[[#This Row],[NIGHTS]],0)</f>
        <v>467.50000000000006</v>
      </c>
      <c r="K4" s="21">
        <f>IF(ISTEXT('ENTERED ON'!C4), 0, IFERROR('ENTERED ON'!C4, 0))</f>
        <v>45892</v>
      </c>
      <c r="L4" s="21">
        <f>IF(ISTEXT('ENTERED ON'!D4), 0, IFERROR('ENTERED ON'!D4, 0))</f>
        <v>45893</v>
      </c>
      <c r="M4" s="19">
        <f>Table1[[#This Row],[Check out ]]-Table1[[#This Row],[Check in ]]</f>
        <v>1</v>
      </c>
      <c r="N4" s="19"/>
      <c r="O4" s="19">
        <f t="shared" si="0"/>
        <v>0</v>
      </c>
      <c r="P4" s="19">
        <f t="shared" si="1"/>
        <v>0</v>
      </c>
      <c r="Q4" s="19">
        <f t="shared" si="2"/>
        <v>0</v>
      </c>
      <c r="R4" s="19">
        <f t="shared" si="3"/>
        <v>0</v>
      </c>
      <c r="S4" s="19">
        <f t="shared" si="4"/>
        <v>0</v>
      </c>
      <c r="T4" s="19">
        <f t="shared" si="5"/>
        <v>0</v>
      </c>
      <c r="U4" s="19">
        <f t="shared" si="6"/>
        <v>1</v>
      </c>
      <c r="V4" s="19">
        <f t="shared" si="7"/>
        <v>0</v>
      </c>
      <c r="W4" s="19">
        <f t="shared" si="8"/>
        <v>0</v>
      </c>
      <c r="X4" s="19">
        <f t="shared" si="9"/>
        <v>0</v>
      </c>
      <c r="Y4" s="17">
        <f t="shared" si="10"/>
        <v>0</v>
      </c>
    </row>
    <row r="5" spans="1:25" x14ac:dyDescent="0.25">
      <c r="A5" s="18" t="str">
        <f>IF(OR(ISNUMBER('ENTERED ON'!M5), 'ENTERED ON'!M5=""), "M&amp;C / RESV/ OTHERS", 'ENTERED ON'!M5)</f>
        <v>M&amp;C / RESV/ OTHERS</v>
      </c>
      <c r="B5" s="18">
        <f>IF(ISTEXT(Table1[[#This Row],[ROOM TYPE]]), 1, 0)</f>
        <v>1</v>
      </c>
      <c r="C5" s="18" t="str">
        <f>IF(ISNUMBER('ENTERED ON'!L5), 0, 'ENTERED ON'!L5)</f>
        <v>NITHIN</v>
      </c>
      <c r="D5" s="18" t="str">
        <f>'ENTERED ON'!G5</f>
        <v>PM</v>
      </c>
      <c r="E5" s="18">
        <f>IF(ISTEXT('ENTERED ON'!Q5), 1, 0)</f>
        <v>0</v>
      </c>
      <c r="F5" s="18">
        <f>IF(ISTEXT('ENTERED ON'!R4), 1, 0)</f>
        <v>0</v>
      </c>
      <c r="G5" s="18">
        <f>IFERROR(IF(ISTEXT('ENTERED ON'!P5), 0, 'ENTERED ON'!P5*1.1), 0)</f>
        <v>0</v>
      </c>
      <c r="H5" s="27">
        <f>IF(ISTEXT(G5), 0, Table1[[#This Row],[Amount]] / 'COMPANY PROD'!$V$33)</f>
        <v>0</v>
      </c>
      <c r="I5" s="27">
        <f>Table1[[#This Row],[NIGHTS]]/'COMPANY PROD'!$V$41</f>
        <v>0</v>
      </c>
      <c r="J5" s="24">
        <f>IFERROR(Table1[[#This Row],[Amount]]/Table1[[#This Row],[NIGHTS]],0)</f>
        <v>0</v>
      </c>
      <c r="K5" s="21">
        <f>IF(ISTEXT('ENTERED ON'!C5), 0, IFERROR('ENTERED ON'!C5, 0))</f>
        <v>45892</v>
      </c>
      <c r="L5" s="21">
        <f>IF(ISTEXT('ENTERED ON'!D5), 0, IFERROR('ENTERED ON'!D5, 0))</f>
        <v>45892</v>
      </c>
      <c r="M5" s="19">
        <f>Table1[[#This Row],[Check out ]]-Table1[[#This Row],[Check in ]]</f>
        <v>0</v>
      </c>
      <c r="N5" s="19"/>
      <c r="O5" s="19">
        <f t="shared" si="0"/>
        <v>0</v>
      </c>
      <c r="P5" s="19">
        <f t="shared" si="1"/>
        <v>0</v>
      </c>
      <c r="Q5" s="19">
        <f t="shared" si="2"/>
        <v>0</v>
      </c>
      <c r="R5" s="19">
        <f t="shared" si="3"/>
        <v>0</v>
      </c>
      <c r="S5" s="19">
        <f t="shared" si="4"/>
        <v>0</v>
      </c>
      <c r="T5" s="19">
        <f t="shared" si="5"/>
        <v>0</v>
      </c>
      <c r="U5" s="19">
        <f t="shared" si="6"/>
        <v>0</v>
      </c>
      <c r="V5" s="19">
        <f t="shared" si="7"/>
        <v>0</v>
      </c>
      <c r="W5" s="19">
        <f t="shared" si="8"/>
        <v>0</v>
      </c>
      <c r="X5" s="19">
        <f t="shared" si="9"/>
        <v>0</v>
      </c>
      <c r="Y5" s="17">
        <f t="shared" si="10"/>
        <v>0</v>
      </c>
    </row>
    <row r="6" spans="1:25" x14ac:dyDescent="0.25">
      <c r="A6" s="18" t="str">
        <f>IF(OR(ISNUMBER('ENTERED ON'!M6), 'ENTERED ON'!M6=""), "M&amp;C / RESV/ OTHERS", 'ENTERED ON'!M6)</f>
        <v xml:space="preserve">T- Agoda.com Company </v>
      </c>
      <c r="B6" s="18">
        <f>IF(ISTEXT(Table1[[#This Row],[ROOM TYPE]]), 1, 0)</f>
        <v>1</v>
      </c>
      <c r="C6" s="18" t="str">
        <f>IF(ISNUMBER('ENTERED ON'!L6), 0, 'ENTERED ON'!L6)</f>
        <v>*INNLINK2WAY*</v>
      </c>
      <c r="D6" s="18" t="str">
        <f>'ENTERED ON'!G6</f>
        <v>FS</v>
      </c>
      <c r="E6" s="18">
        <f>IF(ISTEXT('ENTERED ON'!Q6), 1, 0)</f>
        <v>0</v>
      </c>
      <c r="F6" s="18">
        <f>IF(ISTEXT('ENTERED ON'!R5), 1, 0)</f>
        <v>0</v>
      </c>
      <c r="G6" s="18">
        <f>IFERROR(IF(ISTEXT('ENTERED ON'!P6), 0, 'ENTERED ON'!P6*1.1), 0)</f>
        <v>186.04300000000001</v>
      </c>
      <c r="H6" s="27">
        <f>IF(ISTEXT(G6), 0, Table1[[#This Row],[Amount]] / 'COMPANY PROD'!$V$33)</f>
        <v>1.011573312599061E-2</v>
      </c>
      <c r="I6" s="27">
        <f>Table1[[#This Row],[NIGHTS]]/'COMPANY PROD'!$V$41</f>
        <v>1.8181818181818181E-2</v>
      </c>
      <c r="J6" s="24">
        <f>IFERROR(Table1[[#This Row],[Amount]]/Table1[[#This Row],[NIGHTS]],0)</f>
        <v>186.04300000000001</v>
      </c>
      <c r="K6" s="21">
        <f>IF(ISTEXT('ENTERED ON'!C6), 0, IFERROR('ENTERED ON'!C6, 0))</f>
        <v>45892</v>
      </c>
      <c r="L6" s="21">
        <f>IF(ISTEXT('ENTERED ON'!D6), 0, IFERROR('ENTERED ON'!D6, 0))</f>
        <v>45893</v>
      </c>
      <c r="M6" s="19">
        <f>Table1[[#This Row],[Check out ]]-Table1[[#This Row],[Check in ]]</f>
        <v>1</v>
      </c>
      <c r="N6" s="19"/>
      <c r="O6" s="19">
        <f t="shared" si="0"/>
        <v>0</v>
      </c>
      <c r="P6" s="19">
        <f t="shared" si="1"/>
        <v>0</v>
      </c>
      <c r="Q6" s="19">
        <f t="shared" si="2"/>
        <v>0</v>
      </c>
      <c r="R6" s="19">
        <f t="shared" si="3"/>
        <v>0</v>
      </c>
      <c r="S6" s="19">
        <f t="shared" si="4"/>
        <v>0</v>
      </c>
      <c r="T6" s="19">
        <f t="shared" si="5"/>
        <v>0</v>
      </c>
      <c r="U6" s="19">
        <f t="shared" si="6"/>
        <v>1</v>
      </c>
      <c r="V6" s="19">
        <f t="shared" si="7"/>
        <v>0</v>
      </c>
      <c r="W6" s="19">
        <f t="shared" si="8"/>
        <v>0</v>
      </c>
      <c r="X6" s="19">
        <f t="shared" si="9"/>
        <v>0</v>
      </c>
      <c r="Y6" s="17">
        <f t="shared" si="10"/>
        <v>0</v>
      </c>
    </row>
    <row r="7" spans="1:25" x14ac:dyDescent="0.25">
      <c r="A7" s="18" t="str">
        <f>IF(OR(ISNUMBER('ENTERED ON'!M7), 'ENTERED ON'!M7=""), "M&amp;C / RESV/ OTHERS", 'ENTERED ON'!M7)</f>
        <v>T- Booking.com</v>
      </c>
      <c r="B7" s="18">
        <f>IF(ISTEXT(Table1[[#This Row],[ROOM TYPE]]), 1, 0)</f>
        <v>1</v>
      </c>
      <c r="C7" s="18" t="str">
        <f>IF(ISNUMBER('ENTERED ON'!L7), 0, 'ENTERED ON'!L7)</f>
        <v>*INNLINK2WAY*</v>
      </c>
      <c r="D7" s="18" t="str">
        <f>'ENTERED ON'!G7</f>
        <v>1BA</v>
      </c>
      <c r="E7" s="18">
        <f>IF(ISTEXT('ENTERED ON'!Q7), 1, 0)</f>
        <v>0</v>
      </c>
      <c r="F7" s="18">
        <f>IF(ISTEXT('ENTERED ON'!R6), 1, 0)</f>
        <v>0</v>
      </c>
      <c r="G7" s="18">
        <f>IFERROR(IF(ISTEXT('ENTERED ON'!P7), 0, 'ENTERED ON'!P7*1.1), 0)</f>
        <v>0</v>
      </c>
      <c r="H7" s="27">
        <f>IF(ISTEXT(G7), 0, Table1[[#This Row],[Amount]] / 'COMPANY PROD'!$V$33)</f>
        <v>0</v>
      </c>
      <c r="I7" s="27">
        <f>Table1[[#This Row],[NIGHTS]]/'COMPANY PROD'!$V$41</f>
        <v>0</v>
      </c>
      <c r="J7" s="24">
        <f>IFERROR(Table1[[#This Row],[Amount]]/Table1[[#This Row],[NIGHTS]],0)</f>
        <v>0</v>
      </c>
      <c r="K7" s="21">
        <f>IF(ISTEXT('ENTERED ON'!C7), 0, IFERROR('ENTERED ON'!C7, 0))</f>
        <v>45892</v>
      </c>
      <c r="L7" s="21">
        <f>IF(ISTEXT('ENTERED ON'!D7), 0, IFERROR('ENTERED ON'!D7, 0))</f>
        <v>45892</v>
      </c>
      <c r="M7" s="19">
        <f>Table1[[#This Row],[Check out ]]-Table1[[#This Row],[Check in ]]</f>
        <v>0</v>
      </c>
      <c r="N7" s="19"/>
      <c r="O7" s="19">
        <f t="shared" si="0"/>
        <v>0</v>
      </c>
      <c r="P7" s="19">
        <f t="shared" si="1"/>
        <v>0</v>
      </c>
      <c r="Q7" s="19">
        <f t="shared" si="2"/>
        <v>0</v>
      </c>
      <c r="R7" s="19">
        <f t="shared" si="3"/>
        <v>0</v>
      </c>
      <c r="S7" s="19">
        <f t="shared" si="4"/>
        <v>0</v>
      </c>
      <c r="T7" s="19">
        <f t="shared" si="5"/>
        <v>0</v>
      </c>
      <c r="U7" s="19">
        <f t="shared" si="6"/>
        <v>0</v>
      </c>
      <c r="V7" s="19">
        <f t="shared" si="7"/>
        <v>0</v>
      </c>
      <c r="W7" s="19">
        <f t="shared" si="8"/>
        <v>0</v>
      </c>
      <c r="X7" s="19">
        <f t="shared" si="9"/>
        <v>0</v>
      </c>
      <c r="Y7" s="17">
        <f t="shared" si="10"/>
        <v>0</v>
      </c>
    </row>
    <row r="8" spans="1:25" x14ac:dyDescent="0.25">
      <c r="A8" s="18" t="str">
        <f>IF(OR(ISNUMBER('ENTERED ON'!M8), 'ENTERED ON'!M8=""), "M&amp;C / RESV/ OTHERS", 'ENTERED ON'!M8)</f>
        <v>T- Booking.com</v>
      </c>
      <c r="B8" s="18">
        <f>IF(ISTEXT(Table1[[#This Row],[ROOM TYPE]]), 1, 0)</f>
        <v>1</v>
      </c>
      <c r="C8" s="18" t="str">
        <f>IF(ISNUMBER('ENTERED ON'!L8), 0, 'ENTERED ON'!L8)</f>
        <v>*INNLINK2WAY*</v>
      </c>
      <c r="D8" s="18" t="str">
        <f>'ENTERED ON'!G8</f>
        <v>1BA</v>
      </c>
      <c r="E8" s="18">
        <f>IF(ISTEXT('ENTERED ON'!Q8), 1, 0)</f>
        <v>0</v>
      </c>
      <c r="F8" s="18">
        <f>IF(ISTEXT('ENTERED ON'!R7), 1, 0)</f>
        <v>0</v>
      </c>
      <c r="G8" s="18">
        <f>IFERROR(IF(ISTEXT('ENTERED ON'!P8), 0, 'ENTERED ON'!P8*1.1), 0)</f>
        <v>0</v>
      </c>
      <c r="H8" s="27">
        <f>IF(ISTEXT(G8), 0, Table1[[#This Row],[Amount]] / 'COMPANY PROD'!$V$33)</f>
        <v>0</v>
      </c>
      <c r="I8" s="27">
        <f>Table1[[#This Row],[NIGHTS]]/'COMPANY PROD'!$V$41</f>
        <v>0</v>
      </c>
      <c r="J8" s="24">
        <f>IFERROR(Table1[[#This Row],[Amount]]/Table1[[#This Row],[NIGHTS]],0)</f>
        <v>0</v>
      </c>
      <c r="K8" s="21">
        <f>IF(ISTEXT('ENTERED ON'!C8), 0, IFERROR('ENTERED ON'!C8, 0))</f>
        <v>45892</v>
      </c>
      <c r="L8" s="21">
        <f>IF(ISTEXT('ENTERED ON'!D8), 0, IFERROR('ENTERED ON'!D8, 0))</f>
        <v>45892</v>
      </c>
      <c r="M8" s="19">
        <f>Table1[[#This Row],[Check out ]]-Table1[[#This Row],[Check in ]]</f>
        <v>0</v>
      </c>
      <c r="N8" s="19"/>
      <c r="O8" s="19">
        <f t="shared" si="0"/>
        <v>0</v>
      </c>
      <c r="P8" s="19">
        <f t="shared" si="1"/>
        <v>0</v>
      </c>
      <c r="Q8" s="19">
        <f t="shared" si="2"/>
        <v>0</v>
      </c>
      <c r="R8" s="19">
        <f t="shared" si="3"/>
        <v>0</v>
      </c>
      <c r="S8" s="19">
        <f t="shared" si="4"/>
        <v>0</v>
      </c>
      <c r="T8" s="19">
        <f t="shared" si="5"/>
        <v>0</v>
      </c>
      <c r="U8" s="19">
        <f t="shared" si="6"/>
        <v>0</v>
      </c>
      <c r="V8" s="19">
        <f t="shared" si="7"/>
        <v>0</v>
      </c>
      <c r="W8" s="19">
        <f t="shared" si="8"/>
        <v>0</v>
      </c>
      <c r="X8" s="19">
        <f t="shared" si="9"/>
        <v>0</v>
      </c>
      <c r="Y8" s="17">
        <f t="shared" si="10"/>
        <v>0</v>
      </c>
    </row>
    <row r="9" spans="1:25" x14ac:dyDescent="0.25">
      <c r="A9" s="18" t="str">
        <f>IF(OR(ISNUMBER('ENTERED ON'!M9), 'ENTERED ON'!M9=""), "M&amp;C / RESV/ OTHERS", 'ENTERED ON'!M9)</f>
        <v>T- Expedia</v>
      </c>
      <c r="B9" s="18">
        <f>IF(ISTEXT(Table1[[#This Row],[ROOM TYPE]]), 1, 0)</f>
        <v>1</v>
      </c>
      <c r="C9" s="18" t="str">
        <f>IF(ISNUMBER('ENTERED ON'!L9), 0, 'ENTERED ON'!L9)</f>
        <v>*INNLINK2WAY*</v>
      </c>
      <c r="D9" s="18" t="str">
        <f>'ENTERED ON'!G9</f>
        <v>SK</v>
      </c>
      <c r="E9" s="18">
        <f>IF(ISTEXT('ENTERED ON'!Q9), 1, 0)</f>
        <v>0</v>
      </c>
      <c r="F9" s="18">
        <f>IF(ISTEXT('ENTERED ON'!R8), 1, 0)</f>
        <v>0</v>
      </c>
      <c r="G9" s="18">
        <f>IFERROR(IF(ISTEXT('ENTERED ON'!P9), 0, 'ENTERED ON'!P9*1.1), 0)</f>
        <v>594</v>
      </c>
      <c r="H9" s="27">
        <f>IF(ISTEXT(G9), 0, Table1[[#This Row],[Amount]] / 'COMPANY PROD'!$V$33)</f>
        <v>3.2297616555519E-2</v>
      </c>
      <c r="I9" s="27">
        <f>Table1[[#This Row],[NIGHTS]]/'COMPANY PROD'!$V$41</f>
        <v>3.6363636363636362E-2</v>
      </c>
      <c r="J9" s="24">
        <f>IFERROR(Table1[[#This Row],[Amount]]/Table1[[#This Row],[NIGHTS]],0)</f>
        <v>297</v>
      </c>
      <c r="K9" s="21">
        <f>IF(ISTEXT('ENTERED ON'!C9), 0, IFERROR('ENTERED ON'!C9, 0))</f>
        <v>45893</v>
      </c>
      <c r="L9" s="21">
        <f>IF(ISTEXT('ENTERED ON'!D9), 0, IFERROR('ENTERED ON'!D9, 0))</f>
        <v>45895</v>
      </c>
      <c r="M9" s="19">
        <f>Table1[[#This Row],[Check out ]]-Table1[[#This Row],[Check in ]]</f>
        <v>2</v>
      </c>
      <c r="N9" s="19"/>
      <c r="O9" s="19">
        <f t="shared" si="0"/>
        <v>0</v>
      </c>
      <c r="P9" s="19">
        <f t="shared" si="1"/>
        <v>0</v>
      </c>
      <c r="Q9" s="19">
        <f t="shared" si="2"/>
        <v>0</v>
      </c>
      <c r="R9" s="19">
        <f t="shared" si="3"/>
        <v>0</v>
      </c>
      <c r="S9" s="19">
        <f t="shared" si="4"/>
        <v>0</v>
      </c>
      <c r="T9" s="19">
        <f t="shared" si="5"/>
        <v>0</v>
      </c>
      <c r="U9" s="19">
        <f t="shared" si="6"/>
        <v>2</v>
      </c>
      <c r="V9" s="19">
        <f t="shared" si="7"/>
        <v>0</v>
      </c>
      <c r="W9" s="19">
        <f t="shared" si="8"/>
        <v>0</v>
      </c>
      <c r="X9" s="19">
        <f t="shared" si="9"/>
        <v>0</v>
      </c>
      <c r="Y9" s="17">
        <f t="shared" si="10"/>
        <v>0</v>
      </c>
    </row>
    <row r="10" spans="1:25" x14ac:dyDescent="0.25">
      <c r="A10" s="18" t="str">
        <f>IF(OR(ISNUMBER('ENTERED ON'!M10), 'ENTERED ON'!M10=""), "M&amp;C / RESV/ OTHERS", 'ENTERED ON'!M10)</f>
        <v>C- ACWA POWER</v>
      </c>
      <c r="B10" s="18">
        <f>IF(ISTEXT(Table1[[#This Row],[ROOM TYPE]]), 1, 0)</f>
        <v>1</v>
      </c>
      <c r="C10" s="18" t="str">
        <f>IF(ISNUMBER('ENTERED ON'!L10), 0, 'ENTERED ON'!L10)</f>
        <v>JOY</v>
      </c>
      <c r="D10" s="18" t="str">
        <f>'ENTERED ON'!G10</f>
        <v>BS</v>
      </c>
      <c r="E10" s="18">
        <f>IF(ISTEXT('ENTERED ON'!Q10), 1, 0)</f>
        <v>0</v>
      </c>
      <c r="F10" s="18">
        <f>IF(ISTEXT('ENTERED ON'!R9), 1, 0)</f>
        <v>0</v>
      </c>
      <c r="G10" s="18">
        <f>IFERROR(IF(ISTEXT('ENTERED ON'!P10), 0, 'ENTERED ON'!P10*1.1), 0)</f>
        <v>2200</v>
      </c>
      <c r="H10" s="27">
        <f>IF(ISTEXT(G10), 0, Table1[[#This Row],[Amount]] / 'COMPANY PROD'!$V$33)</f>
        <v>0.11962080205747778</v>
      </c>
      <c r="I10" s="27">
        <f>Table1[[#This Row],[NIGHTS]]/'COMPANY PROD'!$V$41</f>
        <v>7.2727272727272724E-2</v>
      </c>
      <c r="J10" s="24">
        <f>IFERROR(Table1[[#This Row],[Amount]]/Table1[[#This Row],[NIGHTS]],0)</f>
        <v>550</v>
      </c>
      <c r="K10" s="21">
        <f>IF(ISTEXT('ENTERED ON'!C10), 0, IFERROR('ENTERED ON'!C10, 0))</f>
        <v>45893</v>
      </c>
      <c r="L10" s="21">
        <f>IF(ISTEXT('ENTERED ON'!D10), 0, IFERROR('ENTERED ON'!D10, 0))</f>
        <v>45897</v>
      </c>
      <c r="M10" s="19">
        <f>Table1[[#This Row],[Check out ]]-Table1[[#This Row],[Check in ]]</f>
        <v>4</v>
      </c>
      <c r="N10" s="19"/>
      <c r="O10" s="19">
        <f t="shared" si="0"/>
        <v>0</v>
      </c>
      <c r="P10" s="19">
        <f t="shared" si="1"/>
        <v>0</v>
      </c>
      <c r="Q10" s="19">
        <f t="shared" si="2"/>
        <v>0</v>
      </c>
      <c r="R10" s="19">
        <f t="shared" si="3"/>
        <v>0</v>
      </c>
      <c r="S10" s="19">
        <f t="shared" si="4"/>
        <v>0</v>
      </c>
      <c r="T10" s="19">
        <f t="shared" si="5"/>
        <v>0</v>
      </c>
      <c r="U10" s="19">
        <f t="shared" si="6"/>
        <v>4</v>
      </c>
      <c r="V10" s="19">
        <f t="shared" si="7"/>
        <v>0</v>
      </c>
      <c r="W10" s="19">
        <f t="shared" si="8"/>
        <v>0</v>
      </c>
      <c r="X10" s="19">
        <f t="shared" si="9"/>
        <v>0</v>
      </c>
      <c r="Y10" s="17">
        <f t="shared" si="10"/>
        <v>0</v>
      </c>
    </row>
    <row r="11" spans="1:25" x14ac:dyDescent="0.25">
      <c r="A11" s="18" t="str">
        <f>IF(OR(ISNUMBER('ENTERED ON'!M11), 'ENTERED ON'!M11=""), "M&amp;C / RESV/ OTHERS", 'ENTERED ON'!M11)</f>
        <v>T- Booking.com</v>
      </c>
      <c r="B11" s="18">
        <f>IF(ISTEXT(Table1[[#This Row],[ROOM TYPE]]), 1, 0)</f>
        <v>1</v>
      </c>
      <c r="C11" s="18" t="str">
        <f>IF(ISNUMBER('ENTERED ON'!L11), 0, 'ENTERED ON'!L11)</f>
        <v>*INNLINK2WAY*</v>
      </c>
      <c r="D11" s="18" t="str">
        <f>'ENTERED ON'!G11</f>
        <v>SK</v>
      </c>
      <c r="E11" s="18">
        <f>IF(ISTEXT('ENTERED ON'!Q11), 1, 0)</f>
        <v>0</v>
      </c>
      <c r="F11" s="18">
        <f>IF(ISTEXT('ENTERED ON'!R10), 1, 0)</f>
        <v>0</v>
      </c>
      <c r="G11" s="18">
        <f>IFERROR(IF(ISTEXT('ENTERED ON'!P11), 0, 'ENTERED ON'!P11*1.1), 0)</f>
        <v>554.40000000000009</v>
      </c>
      <c r="H11" s="27">
        <f>IF(ISTEXT(G11), 0, Table1[[#This Row],[Amount]] / 'COMPANY PROD'!$V$33)</f>
        <v>3.0144442118484407E-2</v>
      </c>
      <c r="I11" s="27">
        <f>Table1[[#This Row],[NIGHTS]]/'COMPANY PROD'!$V$41</f>
        <v>3.6363636363636362E-2</v>
      </c>
      <c r="J11" s="24">
        <f>IFERROR(Table1[[#This Row],[Amount]]/Table1[[#This Row],[NIGHTS]],0)</f>
        <v>277.20000000000005</v>
      </c>
      <c r="K11" s="21">
        <f>IF(ISTEXT('ENTERED ON'!C11), 0, IFERROR('ENTERED ON'!C11, 0))</f>
        <v>45893</v>
      </c>
      <c r="L11" s="21">
        <f>IF(ISTEXT('ENTERED ON'!D11), 0, IFERROR('ENTERED ON'!D11, 0))</f>
        <v>45895</v>
      </c>
      <c r="M11" s="19">
        <f>Table1[[#This Row],[Check out ]]-Table1[[#This Row],[Check in ]]</f>
        <v>2</v>
      </c>
      <c r="N11" s="19"/>
      <c r="O11" s="19">
        <f t="shared" si="0"/>
        <v>0</v>
      </c>
      <c r="P11" s="19">
        <f t="shared" si="1"/>
        <v>0</v>
      </c>
      <c r="Q11" s="19">
        <f t="shared" si="2"/>
        <v>0</v>
      </c>
      <c r="R11" s="19">
        <f t="shared" si="3"/>
        <v>0</v>
      </c>
      <c r="S11" s="19">
        <f t="shared" si="4"/>
        <v>0</v>
      </c>
      <c r="T11" s="19">
        <f t="shared" si="5"/>
        <v>0</v>
      </c>
      <c r="U11" s="19">
        <f t="shared" si="6"/>
        <v>2</v>
      </c>
      <c r="V11" s="19">
        <f t="shared" si="7"/>
        <v>0</v>
      </c>
      <c r="W11" s="19">
        <f t="shared" si="8"/>
        <v>0</v>
      </c>
      <c r="X11" s="19">
        <f t="shared" si="9"/>
        <v>0</v>
      </c>
      <c r="Y11" s="17">
        <f t="shared" si="10"/>
        <v>0</v>
      </c>
    </row>
    <row r="12" spans="1:25" x14ac:dyDescent="0.25">
      <c r="A12" s="18" t="str">
        <f>IF(OR(ISNUMBER('ENTERED ON'!M12), 'ENTERED ON'!M12=""), "M&amp;C / RESV/ OTHERS", 'ENTERED ON'!M12)</f>
        <v>C- Abu Dhabi Commerci</v>
      </c>
      <c r="B12" s="18">
        <f>IF(ISTEXT(Table1[[#This Row],[ROOM TYPE]]), 1, 0)</f>
        <v>1</v>
      </c>
      <c r="C12" s="18" t="str">
        <f>IF(ISNUMBER('ENTERED ON'!L12), 0, 'ENTERED ON'!L12)</f>
        <v>SAMI</v>
      </c>
      <c r="D12" s="18" t="str">
        <f>'ENTERED ON'!G12</f>
        <v>BS</v>
      </c>
      <c r="E12" s="18">
        <f>IF(ISTEXT('ENTERED ON'!Q12), 1, 0)</f>
        <v>0</v>
      </c>
      <c r="F12" s="18">
        <f>IF(ISTEXT('ENTERED ON'!R11), 1, 0)</f>
        <v>0</v>
      </c>
      <c r="G12" s="18">
        <f>IFERROR(IF(ISTEXT('ENTERED ON'!P12), 0, 'ENTERED ON'!P12*1.1), 0)</f>
        <v>605</v>
      </c>
      <c r="H12" s="27">
        <f>IF(ISTEXT(G12), 0, Table1[[#This Row],[Amount]] / 'COMPANY PROD'!$V$33)</f>
        <v>3.2895720565806391E-2</v>
      </c>
      <c r="I12" s="27">
        <f>Table1[[#This Row],[NIGHTS]]/'COMPANY PROD'!$V$41</f>
        <v>1.8181818181818181E-2</v>
      </c>
      <c r="J12" s="24">
        <f>IFERROR(Table1[[#This Row],[Amount]]/Table1[[#This Row],[NIGHTS]],0)</f>
        <v>605</v>
      </c>
      <c r="K12" s="21">
        <f>IF(ISTEXT('ENTERED ON'!C12), 0, IFERROR('ENTERED ON'!C12, 0))</f>
        <v>45893</v>
      </c>
      <c r="L12" s="21">
        <f>IF(ISTEXT('ENTERED ON'!D12), 0, IFERROR('ENTERED ON'!D12, 0))</f>
        <v>45894</v>
      </c>
      <c r="M12" s="19">
        <f>Table1[[#This Row],[Check out ]]-Table1[[#This Row],[Check in ]]</f>
        <v>1</v>
      </c>
      <c r="N12" s="19"/>
      <c r="O12" s="19">
        <f t="shared" si="0"/>
        <v>0</v>
      </c>
      <c r="P12" s="19">
        <f t="shared" si="1"/>
        <v>0</v>
      </c>
      <c r="Q12" s="19">
        <f t="shared" si="2"/>
        <v>0</v>
      </c>
      <c r="R12" s="19">
        <f t="shared" si="3"/>
        <v>0</v>
      </c>
      <c r="S12" s="19">
        <f t="shared" si="4"/>
        <v>0</v>
      </c>
      <c r="T12" s="19">
        <f t="shared" si="5"/>
        <v>0</v>
      </c>
      <c r="U12" s="19">
        <f t="shared" si="6"/>
        <v>1</v>
      </c>
      <c r="V12" s="19">
        <f t="shared" si="7"/>
        <v>0</v>
      </c>
      <c r="W12" s="19">
        <f t="shared" si="8"/>
        <v>0</v>
      </c>
      <c r="X12" s="19">
        <f t="shared" si="9"/>
        <v>0</v>
      </c>
      <c r="Y12" s="17">
        <f t="shared" si="10"/>
        <v>0</v>
      </c>
    </row>
    <row r="13" spans="1:25" x14ac:dyDescent="0.25">
      <c r="A13" s="18" t="str">
        <f>IF(OR(ISNUMBER('ENTERED ON'!M13), 'ENTERED ON'!M13=""), "M&amp;C / RESV/ OTHERS", 'ENTERED ON'!M13)</f>
        <v>T- Expedia</v>
      </c>
      <c r="B13" s="18">
        <f>IF(ISTEXT(Table1[[#This Row],[ROOM TYPE]]), 1, 0)</f>
        <v>1</v>
      </c>
      <c r="C13" s="18" t="str">
        <f>IF(ISNUMBER('ENTERED ON'!L13), 0, 'ENTERED ON'!L13)</f>
        <v>*INNLINK2WAY*</v>
      </c>
      <c r="D13" s="18" t="str">
        <f>'ENTERED ON'!G13</f>
        <v>SK</v>
      </c>
      <c r="E13" s="18">
        <f>IF(ISTEXT('ENTERED ON'!Q13), 1, 0)</f>
        <v>0</v>
      </c>
      <c r="F13" s="18">
        <f>IF(ISTEXT('ENTERED ON'!R12), 1, 0)</f>
        <v>0</v>
      </c>
      <c r="G13" s="18">
        <f>IFERROR(IF(ISTEXT('ENTERED ON'!P13), 0, 'ENTERED ON'!P13*1.1), 0)</f>
        <v>1320</v>
      </c>
      <c r="H13" s="27">
        <f>IF(ISTEXT(G13), 0, Table1[[#This Row],[Amount]] / 'COMPANY PROD'!$V$33)</f>
        <v>7.1772481234486679E-2</v>
      </c>
      <c r="I13" s="27">
        <f>Table1[[#This Row],[NIGHTS]]/'COMPANY PROD'!$V$41</f>
        <v>9.0909090909090912E-2</v>
      </c>
      <c r="J13" s="24">
        <f>IFERROR(Table1[[#This Row],[Amount]]/Table1[[#This Row],[NIGHTS]],0)</f>
        <v>264</v>
      </c>
      <c r="K13" s="21">
        <f>IF(ISTEXT('ENTERED ON'!C13), 0, IFERROR('ENTERED ON'!C13, 0))</f>
        <v>45893</v>
      </c>
      <c r="L13" s="21">
        <f>IF(ISTEXT('ENTERED ON'!D13), 0, IFERROR('ENTERED ON'!D13, 0))</f>
        <v>45898</v>
      </c>
      <c r="M13" s="19">
        <f>Table1[[#This Row],[Check out ]]-Table1[[#This Row],[Check in ]]</f>
        <v>5</v>
      </c>
      <c r="N13" s="19"/>
      <c r="O13" s="19">
        <f t="shared" si="0"/>
        <v>0</v>
      </c>
      <c r="P13" s="19">
        <f t="shared" si="1"/>
        <v>0</v>
      </c>
      <c r="Q13" s="19">
        <f t="shared" si="2"/>
        <v>0</v>
      </c>
      <c r="R13" s="19">
        <f t="shared" si="3"/>
        <v>0</v>
      </c>
      <c r="S13" s="19">
        <f t="shared" si="4"/>
        <v>0</v>
      </c>
      <c r="T13" s="19">
        <f t="shared" si="5"/>
        <v>0</v>
      </c>
      <c r="U13" s="19">
        <f t="shared" si="6"/>
        <v>5</v>
      </c>
      <c r="V13" s="19">
        <f t="shared" si="7"/>
        <v>0</v>
      </c>
      <c r="W13" s="19">
        <f t="shared" si="8"/>
        <v>0</v>
      </c>
      <c r="X13" s="19">
        <f t="shared" si="9"/>
        <v>0</v>
      </c>
      <c r="Y13" s="17">
        <f t="shared" si="10"/>
        <v>0</v>
      </c>
    </row>
    <row r="14" spans="1:25" x14ac:dyDescent="0.25">
      <c r="A14" s="18" t="str">
        <f>IF(OR(ISNUMBER('ENTERED ON'!M14), 'ENTERED ON'!M14=""), "M&amp;C / RESV/ OTHERS", 'ENTERED ON'!M14)</f>
        <v>C- ACWA POWER</v>
      </c>
      <c r="B14" s="18">
        <f>IF(ISTEXT(Table1[[#This Row],[ROOM TYPE]]), 1, 0)</f>
        <v>1</v>
      </c>
      <c r="C14" s="18" t="str">
        <f>IF(ISNUMBER('ENTERED ON'!L14), 0, 'ENTERED ON'!L14)</f>
        <v>JOY</v>
      </c>
      <c r="D14" s="18" t="str">
        <f>'ENTERED ON'!G14</f>
        <v>BS</v>
      </c>
      <c r="E14" s="18">
        <f>IF(ISTEXT('ENTERED ON'!Q14), 1, 0)</f>
        <v>0</v>
      </c>
      <c r="F14" s="18">
        <f>IF(ISTEXT('ENTERED ON'!R13), 1, 0)</f>
        <v>0</v>
      </c>
      <c r="G14" s="18">
        <f>IFERROR(IF(ISTEXT('ENTERED ON'!P14), 0, 'ENTERED ON'!P14*1.1), 0)</f>
        <v>2200</v>
      </c>
      <c r="H14" s="27">
        <f>IF(ISTEXT(G14), 0, Table1[[#This Row],[Amount]] / 'COMPANY PROD'!$V$33)</f>
        <v>0.11962080205747778</v>
      </c>
      <c r="I14" s="27">
        <f>Table1[[#This Row],[NIGHTS]]/'COMPANY PROD'!$V$41</f>
        <v>7.2727272727272724E-2</v>
      </c>
      <c r="J14" s="24">
        <f>IFERROR(Table1[[#This Row],[Amount]]/Table1[[#This Row],[NIGHTS]],0)</f>
        <v>550</v>
      </c>
      <c r="K14" s="21">
        <f>IF(ISTEXT('ENTERED ON'!C14), 0, IFERROR('ENTERED ON'!C14, 0))</f>
        <v>45894</v>
      </c>
      <c r="L14" s="21">
        <f>IF(ISTEXT('ENTERED ON'!D14), 0, IFERROR('ENTERED ON'!D14, 0))</f>
        <v>45898</v>
      </c>
      <c r="M14" s="19">
        <f>Table1[[#This Row],[Check out ]]-Table1[[#This Row],[Check in ]]</f>
        <v>4</v>
      </c>
      <c r="N14" s="19"/>
      <c r="O14" s="19">
        <f t="shared" si="0"/>
        <v>0</v>
      </c>
      <c r="P14" s="19">
        <f t="shared" si="1"/>
        <v>0</v>
      </c>
      <c r="Q14" s="19">
        <f t="shared" si="2"/>
        <v>0</v>
      </c>
      <c r="R14" s="19">
        <f t="shared" si="3"/>
        <v>0</v>
      </c>
      <c r="S14" s="19">
        <f t="shared" si="4"/>
        <v>0</v>
      </c>
      <c r="T14" s="19">
        <f t="shared" si="5"/>
        <v>0</v>
      </c>
      <c r="U14" s="19">
        <f t="shared" si="6"/>
        <v>4</v>
      </c>
      <c r="V14" s="19">
        <f t="shared" si="7"/>
        <v>0</v>
      </c>
      <c r="W14" s="19">
        <f t="shared" si="8"/>
        <v>0</v>
      </c>
      <c r="X14" s="19">
        <f t="shared" si="9"/>
        <v>0</v>
      </c>
      <c r="Y14" s="17">
        <f t="shared" si="10"/>
        <v>0</v>
      </c>
    </row>
    <row r="15" spans="1:25" x14ac:dyDescent="0.25">
      <c r="A15" s="18" t="str">
        <f>IF(OR(ISNUMBER('ENTERED ON'!M15), 'ENTERED ON'!M15=""), "M&amp;C / RESV/ OTHERS", 'ENTERED ON'!M15)</f>
        <v>T- Desert Gate Touris</v>
      </c>
      <c r="B15" s="18">
        <f>IF(ISTEXT(Table1[[#This Row],[ROOM TYPE]]), 1, 0)</f>
        <v>1</v>
      </c>
      <c r="C15" s="18" t="str">
        <f>IF(ISNUMBER('ENTERED ON'!L15), 0, 'ENTERED ON'!L15)</f>
        <v>JOY</v>
      </c>
      <c r="D15" s="18" t="str">
        <f>'ENTERED ON'!G15</f>
        <v>SK</v>
      </c>
      <c r="E15" s="18">
        <f>IF(ISTEXT('ENTERED ON'!Q15), 1, 0)</f>
        <v>0</v>
      </c>
      <c r="F15" s="18">
        <f>IF(ISTEXT('ENTERED ON'!R14), 1, 0)</f>
        <v>0</v>
      </c>
      <c r="G15" s="18">
        <f>IFERROR(IF(ISTEXT('ENTERED ON'!P15), 0, 'ENTERED ON'!P15*1.1), 0)</f>
        <v>1753.5980000000002</v>
      </c>
      <c r="H15" s="27">
        <f>IF(ISTEXT(G15), 0, Table1[[#This Row],[Amount]] / 'COMPANY PROD'!$V$33)</f>
        <v>9.5348545111994976E-2</v>
      </c>
      <c r="I15" s="27">
        <f>Table1[[#This Row],[NIGHTS]]/'COMPANY PROD'!$V$41</f>
        <v>0.12727272727272726</v>
      </c>
      <c r="J15" s="24">
        <f>IFERROR(Table1[[#This Row],[Amount]]/Table1[[#This Row],[NIGHTS]],0)</f>
        <v>250.51400000000004</v>
      </c>
      <c r="K15" s="21">
        <f>IF(ISTEXT('ENTERED ON'!C15), 0, IFERROR('ENTERED ON'!C15, 0))</f>
        <v>45895</v>
      </c>
      <c r="L15" s="21">
        <f>IF(ISTEXT('ENTERED ON'!D15), 0, IFERROR('ENTERED ON'!D15, 0))</f>
        <v>45902</v>
      </c>
      <c r="M15" s="19">
        <f>Table1[[#This Row],[Check out ]]-Table1[[#This Row],[Check in ]]</f>
        <v>7</v>
      </c>
      <c r="N15" s="19"/>
      <c r="O15" s="19">
        <f t="shared" si="0"/>
        <v>0</v>
      </c>
      <c r="P15" s="19">
        <f t="shared" si="1"/>
        <v>0</v>
      </c>
      <c r="Q15" s="19">
        <f t="shared" si="2"/>
        <v>0</v>
      </c>
      <c r="R15" s="19">
        <f t="shared" si="3"/>
        <v>0</v>
      </c>
      <c r="S15" s="19">
        <f t="shared" si="4"/>
        <v>0</v>
      </c>
      <c r="T15" s="19">
        <f t="shared" si="5"/>
        <v>0</v>
      </c>
      <c r="U15" s="19">
        <f t="shared" si="6"/>
        <v>6</v>
      </c>
      <c r="V15" s="19">
        <f t="shared" si="7"/>
        <v>1</v>
      </c>
      <c r="W15" s="19">
        <f t="shared" si="8"/>
        <v>0</v>
      </c>
      <c r="X15" s="19">
        <f t="shared" si="9"/>
        <v>0</v>
      </c>
      <c r="Y15" s="17">
        <f t="shared" si="10"/>
        <v>0</v>
      </c>
    </row>
    <row r="16" spans="1:25" x14ac:dyDescent="0.25">
      <c r="A16" s="18" t="str">
        <f>IF(OR(ISNUMBER('ENTERED ON'!M16), 'ENTERED ON'!M16=""), "M&amp;C / RESV/ OTHERS", 'ENTERED ON'!M16)</f>
        <v>T- Booking.com</v>
      </c>
      <c r="B16" s="18">
        <f>IF(ISTEXT(Table1[[#This Row],[ROOM TYPE]]), 1, 0)</f>
        <v>1</v>
      </c>
      <c r="C16" s="18" t="str">
        <f>IF(ISNUMBER('ENTERED ON'!L16), 0, 'ENTERED ON'!L16)</f>
        <v>*INNLINK2WAY*</v>
      </c>
      <c r="D16" s="18" t="str">
        <f>'ENTERED ON'!G16</f>
        <v>SK</v>
      </c>
      <c r="E16" s="18">
        <f>IF(ISTEXT('ENTERED ON'!Q16), 1, 0)</f>
        <v>0</v>
      </c>
      <c r="F16" s="18">
        <f>IF(ISTEXT('ENTERED ON'!R15), 1, 0)</f>
        <v>0</v>
      </c>
      <c r="G16" s="18">
        <f>IFERROR(IF(ISTEXT('ENTERED ON'!P16), 0, 'ENTERED ON'!P16*1.1), 0)</f>
        <v>277.20000000000005</v>
      </c>
      <c r="H16" s="27">
        <f>IF(ISTEXT(G16), 0, Table1[[#This Row],[Amount]] / 'COMPANY PROD'!$V$33)</f>
        <v>1.5072221059242203E-2</v>
      </c>
      <c r="I16" s="27">
        <f>Table1[[#This Row],[NIGHTS]]/'COMPANY PROD'!$V$41</f>
        <v>1.8181818181818181E-2</v>
      </c>
      <c r="J16" s="24">
        <f>IFERROR(Table1[[#This Row],[Amount]]/Table1[[#This Row],[NIGHTS]],0)</f>
        <v>277.20000000000005</v>
      </c>
      <c r="K16" s="21">
        <f>IF(ISTEXT('ENTERED ON'!C16), 0, IFERROR('ENTERED ON'!C16, 0))</f>
        <v>45897</v>
      </c>
      <c r="L16" s="21">
        <f>IF(ISTEXT('ENTERED ON'!D16), 0, IFERROR('ENTERED ON'!D16, 0))</f>
        <v>45898</v>
      </c>
      <c r="M16" s="19">
        <f>Table1[[#This Row],[Check out ]]-Table1[[#This Row],[Check in ]]</f>
        <v>1</v>
      </c>
      <c r="N16" s="19"/>
      <c r="O16" s="19">
        <f t="shared" si="0"/>
        <v>0</v>
      </c>
      <c r="P16" s="19">
        <f t="shared" si="1"/>
        <v>0</v>
      </c>
      <c r="Q16" s="19">
        <f t="shared" si="2"/>
        <v>0</v>
      </c>
      <c r="R16" s="19">
        <f t="shared" si="3"/>
        <v>0</v>
      </c>
      <c r="S16" s="19">
        <f t="shared" si="4"/>
        <v>0</v>
      </c>
      <c r="T16" s="19">
        <f t="shared" si="5"/>
        <v>0</v>
      </c>
      <c r="U16" s="19">
        <f t="shared" si="6"/>
        <v>1</v>
      </c>
      <c r="V16" s="19">
        <f t="shared" si="7"/>
        <v>0</v>
      </c>
      <c r="W16" s="19">
        <f t="shared" si="8"/>
        <v>0</v>
      </c>
      <c r="X16" s="19">
        <f t="shared" si="9"/>
        <v>0</v>
      </c>
      <c r="Y16" s="17">
        <f t="shared" si="10"/>
        <v>0</v>
      </c>
    </row>
    <row r="17" spans="1:31" x14ac:dyDescent="0.25">
      <c r="A17" s="18" t="str">
        <f>IF(OR(ISNUMBER('ENTERED ON'!M17), 'ENTERED ON'!M17=""), "M&amp;C / RESV/ OTHERS", 'ENTERED ON'!M17)</f>
        <v>T- Booking.com</v>
      </c>
      <c r="B17" s="18">
        <f>IF(ISTEXT(Table1[[#This Row],[ROOM TYPE]]), 1, 0)</f>
        <v>1</v>
      </c>
      <c r="C17" s="18" t="str">
        <f>IF(ISNUMBER('ENTERED ON'!L17), 0, 'ENTERED ON'!L17)</f>
        <v>*INNLINK2WAY*</v>
      </c>
      <c r="D17" s="18" t="str">
        <f>'ENTERED ON'!G17</f>
        <v>SK</v>
      </c>
      <c r="E17" s="18">
        <f>IF(ISTEXT('ENTERED ON'!Q17), 1, 0)</f>
        <v>0</v>
      </c>
      <c r="F17" s="18">
        <f>IF(ISTEXT('ENTERED ON'!R16), 1, 0)</f>
        <v>0</v>
      </c>
      <c r="G17" s="18">
        <f>IFERROR(IF(ISTEXT('ENTERED ON'!P17), 0, 'ENTERED ON'!P17*1.1), 0)</f>
        <v>475.20000000000005</v>
      </c>
      <c r="H17" s="27">
        <f>IF(ISTEXT(G17), 0, Table1[[#This Row],[Amount]] / 'COMPANY PROD'!$V$33)</f>
        <v>2.5838093244415206E-2</v>
      </c>
      <c r="I17" s="27">
        <f>Table1[[#This Row],[NIGHTS]]/'COMPANY PROD'!$V$41</f>
        <v>3.6363636363636362E-2</v>
      </c>
      <c r="J17" s="24">
        <f>IFERROR(Table1[[#This Row],[Amount]]/Table1[[#This Row],[NIGHTS]],0)</f>
        <v>237.60000000000002</v>
      </c>
      <c r="K17" s="21">
        <f>IF(ISTEXT('ENTERED ON'!C17), 0, IFERROR('ENTERED ON'!C17, 0))</f>
        <v>45897</v>
      </c>
      <c r="L17" s="21">
        <f>IF(ISTEXT('ENTERED ON'!D17), 0, IFERROR('ENTERED ON'!D17, 0))</f>
        <v>45899</v>
      </c>
      <c r="M17" s="19">
        <f>Table1[[#This Row],[Check out ]]-Table1[[#This Row],[Check in ]]</f>
        <v>2</v>
      </c>
      <c r="N17" s="19"/>
      <c r="O17" s="19">
        <f t="shared" si="0"/>
        <v>0</v>
      </c>
      <c r="P17" s="19">
        <f t="shared" si="1"/>
        <v>0</v>
      </c>
      <c r="Q17" s="19">
        <f t="shared" si="2"/>
        <v>0</v>
      </c>
      <c r="R17" s="19">
        <f t="shared" si="3"/>
        <v>0</v>
      </c>
      <c r="S17" s="19">
        <f t="shared" si="4"/>
        <v>0</v>
      </c>
      <c r="T17" s="19">
        <f t="shared" si="5"/>
        <v>0</v>
      </c>
      <c r="U17" s="19">
        <f t="shared" si="6"/>
        <v>2</v>
      </c>
      <c r="V17" s="19">
        <f t="shared" si="7"/>
        <v>0</v>
      </c>
      <c r="W17" s="19">
        <f t="shared" si="8"/>
        <v>0</v>
      </c>
      <c r="X17" s="19">
        <f t="shared" si="9"/>
        <v>0</v>
      </c>
      <c r="Y17" s="17">
        <f t="shared" si="10"/>
        <v>0</v>
      </c>
    </row>
    <row r="18" spans="1:31" x14ac:dyDescent="0.25">
      <c r="A18" s="18" t="str">
        <f>IF(OR(ISNUMBER('ENTERED ON'!M18), 'ENTERED ON'!M18=""), "M&amp;C / RESV/ OTHERS", 'ENTERED ON'!M18)</f>
        <v>T- Booking.com</v>
      </c>
      <c r="B18" s="18">
        <f>IF(ISTEXT(Table1[[#This Row],[ROOM TYPE]]), 1, 0)</f>
        <v>1</v>
      </c>
      <c r="C18" s="18" t="str">
        <f>IF(ISNUMBER('ENTERED ON'!L18), 0, 'ENTERED ON'!L18)</f>
        <v>*INNLINK2WAY*</v>
      </c>
      <c r="D18" s="18" t="str">
        <f>'ENTERED ON'!G18</f>
        <v>SK</v>
      </c>
      <c r="E18" s="18">
        <f>IF(ISTEXT('ENTERED ON'!Q18), 1, 0)</f>
        <v>0</v>
      </c>
      <c r="F18" s="18">
        <f>IF(ISTEXT('ENTERED ON'!R17), 1, 0)</f>
        <v>0</v>
      </c>
      <c r="G18" s="18">
        <f>IFERROR(IF(ISTEXT('ENTERED ON'!P18), 0, 'ENTERED ON'!P18*1.1), 0)</f>
        <v>1865.16</v>
      </c>
      <c r="H18" s="27">
        <f>IF(ISTEXT(G18), 0, Table1[[#This Row],[Amount]] / 'COMPANY PROD'!$V$33)</f>
        <v>0.10141451598432967</v>
      </c>
      <c r="I18" s="27">
        <f>Table1[[#This Row],[NIGHTS]]/'COMPANY PROD'!$V$41</f>
        <v>0.12727272727272726</v>
      </c>
      <c r="J18" s="24">
        <f>IFERROR(Table1[[#This Row],[Amount]]/Table1[[#This Row],[NIGHTS]],0)</f>
        <v>266.45142857142861</v>
      </c>
      <c r="K18" s="21">
        <f>IF(ISTEXT('ENTERED ON'!C18), 0, IFERROR('ENTERED ON'!C18, 0))</f>
        <v>45901</v>
      </c>
      <c r="L18" s="21">
        <f>IF(ISTEXT('ENTERED ON'!D18), 0, IFERROR('ENTERED ON'!D18, 0))</f>
        <v>45908</v>
      </c>
      <c r="M18" s="19">
        <f>Table1[[#This Row],[Check out ]]-Table1[[#This Row],[Check in ]]</f>
        <v>7</v>
      </c>
      <c r="N18" s="19"/>
      <c r="O18" s="19">
        <f t="shared" si="0"/>
        <v>0</v>
      </c>
      <c r="P18" s="19">
        <f t="shared" si="1"/>
        <v>0</v>
      </c>
      <c r="Q18" s="19">
        <f t="shared" si="2"/>
        <v>0</v>
      </c>
      <c r="R18" s="19">
        <f t="shared" si="3"/>
        <v>0</v>
      </c>
      <c r="S18" s="19">
        <f t="shared" si="4"/>
        <v>0</v>
      </c>
      <c r="T18" s="19">
        <f t="shared" si="5"/>
        <v>0</v>
      </c>
      <c r="U18" s="19">
        <f t="shared" si="6"/>
        <v>0</v>
      </c>
      <c r="V18" s="19">
        <f t="shared" si="7"/>
        <v>7</v>
      </c>
      <c r="W18" s="19">
        <f t="shared" si="8"/>
        <v>0</v>
      </c>
      <c r="X18" s="19">
        <f t="shared" si="9"/>
        <v>0</v>
      </c>
      <c r="Y18" s="17">
        <f t="shared" si="10"/>
        <v>0</v>
      </c>
      <c r="AD18" s="20" t="s">
        <v>77</v>
      </c>
      <c r="AE18" t="s">
        <v>163</v>
      </c>
    </row>
    <row r="19" spans="1:31" x14ac:dyDescent="0.25">
      <c r="A19" s="18" t="str">
        <f>IF(OR(ISNUMBER('ENTERED ON'!M19), 'ENTERED ON'!M19=""), "M&amp;C / RESV/ OTHERS", 'ENTERED ON'!M19)</f>
        <v>T- TRIPACTIONS</v>
      </c>
      <c r="B19" s="18">
        <f>IF(ISTEXT(Table1[[#This Row],[ROOM TYPE]]), 1, 0)</f>
        <v>1</v>
      </c>
      <c r="C19" s="18" t="str">
        <f>IF(ISNUMBER('ENTERED ON'!L19), 0, 'ENTERED ON'!L19)</f>
        <v>*INNLINK2WAY*</v>
      </c>
      <c r="D19" s="18" t="str">
        <f>'ENTERED ON'!G19</f>
        <v>SK</v>
      </c>
      <c r="E19" s="18">
        <f>IF(ISTEXT('ENTERED ON'!Q19), 1, 0)</f>
        <v>0</v>
      </c>
      <c r="F19" s="18">
        <f>IF(ISTEXT('ENTERED ON'!R18), 1, 0)</f>
        <v>0</v>
      </c>
      <c r="G19" s="18">
        <f>IFERROR(IF(ISTEXT('ENTERED ON'!P19), 0, 'ENTERED ON'!P19*1.1), 0)</f>
        <v>963.6</v>
      </c>
      <c r="H19" s="27">
        <f>IF(ISTEXT(G19), 0, Table1[[#This Row],[Amount]] / 'COMPANY PROD'!$V$33)</f>
        <v>5.2393911301175274E-2</v>
      </c>
      <c r="I19" s="27">
        <f>Table1[[#This Row],[NIGHTS]]/'COMPANY PROD'!$V$41</f>
        <v>5.4545454545454543E-2</v>
      </c>
      <c r="J19" s="24">
        <f>IFERROR(Table1[[#This Row],[Amount]]/Table1[[#This Row],[NIGHTS]],0)</f>
        <v>321.2</v>
      </c>
      <c r="K19" s="21">
        <f>IF(ISTEXT('ENTERED ON'!C19), 0, IFERROR('ENTERED ON'!C19, 0))</f>
        <v>45907</v>
      </c>
      <c r="L19" s="21">
        <f>IF(ISTEXT('ENTERED ON'!D19), 0, IFERROR('ENTERED ON'!D19, 0))</f>
        <v>45910</v>
      </c>
      <c r="M19" s="19">
        <f>Table1[[#This Row],[Check out ]]-Table1[[#This Row],[Check in ]]</f>
        <v>3</v>
      </c>
      <c r="N19" s="19"/>
      <c r="O19" s="19">
        <f t="shared" si="0"/>
        <v>0</v>
      </c>
      <c r="P19" s="19">
        <f t="shared" si="1"/>
        <v>0</v>
      </c>
      <c r="Q19" s="19">
        <f t="shared" si="2"/>
        <v>0</v>
      </c>
      <c r="R19" s="19">
        <f t="shared" si="3"/>
        <v>0</v>
      </c>
      <c r="S19" s="19">
        <f t="shared" si="4"/>
        <v>0</v>
      </c>
      <c r="T19" s="19">
        <f t="shared" si="5"/>
        <v>0</v>
      </c>
      <c r="U19" s="19">
        <f t="shared" si="6"/>
        <v>0</v>
      </c>
      <c r="V19" s="19">
        <f t="shared" si="7"/>
        <v>3</v>
      </c>
      <c r="W19" s="19">
        <f t="shared" si="8"/>
        <v>0</v>
      </c>
      <c r="X19" s="19">
        <f t="shared" si="9"/>
        <v>0</v>
      </c>
      <c r="Y19" s="17">
        <f t="shared" si="10"/>
        <v>0</v>
      </c>
      <c r="AD19" s="14">
        <v>0</v>
      </c>
      <c r="AE19" s="134">
        <v>0</v>
      </c>
    </row>
    <row r="20" spans="1:31" x14ac:dyDescent="0.25">
      <c r="A20" s="18" t="str">
        <f>IF(OR(ISNUMBER('ENTERED ON'!M20), 'ENTERED ON'!M20=""), "M&amp;C / RESV/ OTHERS", 'ENTERED ON'!M20)</f>
        <v>T- Almosafer Internat</v>
      </c>
      <c r="B20" s="18">
        <f>IF(ISTEXT(Table1[[#This Row],[ROOM TYPE]]), 1, 0)</f>
        <v>1</v>
      </c>
      <c r="C20" s="18" t="str">
        <f>IF(ISNUMBER('ENTERED ON'!L20), 0, 'ENTERED ON'!L20)</f>
        <v>JOY</v>
      </c>
      <c r="D20" s="18" t="str">
        <f>'ENTERED ON'!G20</f>
        <v>SK</v>
      </c>
      <c r="E20" s="18">
        <f>IF(ISTEXT('ENTERED ON'!Q20), 1, 0)</f>
        <v>0</v>
      </c>
      <c r="F20" s="18">
        <f>IF(ISTEXT('ENTERED ON'!R19), 1, 0)</f>
        <v>0</v>
      </c>
      <c r="G20" s="18">
        <f>IFERROR(IF(ISTEXT('ENTERED ON'!P20), 0, 'ENTERED ON'!P20*1.1), 0)</f>
        <v>538.79100000000005</v>
      </c>
      <c r="H20" s="27">
        <f>IF(ISTEXT(G20), 0, Table1[[#This Row],[Amount]] / 'COMPANY PROD'!$V$33)</f>
        <v>2.92957325278866E-2</v>
      </c>
      <c r="I20" s="27">
        <f>Table1[[#This Row],[NIGHTS]]/'COMPANY PROD'!$V$41</f>
        <v>5.4545454545454543E-2</v>
      </c>
      <c r="J20" s="24">
        <f>IFERROR(Table1[[#This Row],[Amount]]/Table1[[#This Row],[NIGHTS]],0)</f>
        <v>179.59700000000001</v>
      </c>
      <c r="K20" s="21">
        <f>IF(ISTEXT('ENTERED ON'!C20), 0, IFERROR('ENTERED ON'!C20, 0))</f>
        <v>45924</v>
      </c>
      <c r="L20" s="21">
        <f>IF(ISTEXT('ENTERED ON'!D20), 0, IFERROR('ENTERED ON'!D20, 0))</f>
        <v>45927</v>
      </c>
      <c r="M20" s="19">
        <f>Table1[[#This Row],[Check out ]]-Table1[[#This Row],[Check in ]]</f>
        <v>3</v>
      </c>
      <c r="N20" s="19"/>
      <c r="O20" s="19">
        <f t="shared" si="0"/>
        <v>0</v>
      </c>
      <c r="P20" s="19">
        <f t="shared" si="1"/>
        <v>0</v>
      </c>
      <c r="Q20" s="19">
        <f t="shared" si="2"/>
        <v>0</v>
      </c>
      <c r="R20" s="19">
        <f t="shared" si="3"/>
        <v>0</v>
      </c>
      <c r="S20" s="19">
        <f t="shared" si="4"/>
        <v>0</v>
      </c>
      <c r="T20" s="19">
        <f t="shared" si="5"/>
        <v>0</v>
      </c>
      <c r="U20" s="19">
        <f t="shared" si="6"/>
        <v>0</v>
      </c>
      <c r="V20" s="19">
        <f t="shared" si="7"/>
        <v>3</v>
      </c>
      <c r="W20" s="19">
        <f t="shared" si="8"/>
        <v>0</v>
      </c>
      <c r="X20" s="19">
        <f t="shared" si="9"/>
        <v>0</v>
      </c>
      <c r="Y20" s="17">
        <f t="shared" si="10"/>
        <v>0</v>
      </c>
      <c r="AD20" s="14" t="s">
        <v>38</v>
      </c>
      <c r="AE20" s="134">
        <v>11</v>
      </c>
    </row>
    <row r="21" spans="1:31" x14ac:dyDescent="0.25">
      <c r="A21" s="18" t="str">
        <f>IF(OR(ISNUMBER('ENTERED ON'!M21), 'ENTERED ON'!M21=""), "M&amp;C / RESV/ OTHERS", 'ENTERED ON'!M21)</f>
        <v>T- Almosafer Internat</v>
      </c>
      <c r="B21" s="18">
        <f>IF(ISTEXT(Table1[[#This Row],[ROOM TYPE]]), 1, 0)</f>
        <v>1</v>
      </c>
      <c r="C21" s="18" t="str">
        <f>IF(ISNUMBER('ENTERED ON'!L21), 0, 'ENTERED ON'!L21)</f>
        <v>JOY</v>
      </c>
      <c r="D21" s="18" t="str">
        <f>'ENTERED ON'!G21</f>
        <v>SK</v>
      </c>
      <c r="E21" s="18">
        <f>IF(ISTEXT('ENTERED ON'!Q21), 1, 0)</f>
        <v>0</v>
      </c>
      <c r="F21" s="18">
        <f>IF(ISTEXT('ENTERED ON'!R20), 1, 0)</f>
        <v>0</v>
      </c>
      <c r="G21" s="18">
        <f>IFERROR(IF(ISTEXT('ENTERED ON'!P21), 0, 'ENTERED ON'!P21*1.1), 0)</f>
        <v>359.19400000000007</v>
      </c>
      <c r="H21" s="27">
        <f>IF(ISTEXT(G21), 0, Table1[[#This Row],[Amount]] / 'COMPANY PROD'!$V$33)</f>
        <v>1.9530488351924401E-2</v>
      </c>
      <c r="I21" s="27">
        <f>Table1[[#This Row],[NIGHTS]]/'COMPANY PROD'!$V$41</f>
        <v>3.6363636363636362E-2</v>
      </c>
      <c r="J21" s="24">
        <f>IFERROR(Table1[[#This Row],[Amount]]/Table1[[#This Row],[NIGHTS]],0)</f>
        <v>179.59700000000004</v>
      </c>
      <c r="K21" s="21">
        <f>IF(ISTEXT('ENTERED ON'!C21), 0, IFERROR('ENTERED ON'!C21, 0))</f>
        <v>45924</v>
      </c>
      <c r="L21" s="21">
        <f>IF(ISTEXT('ENTERED ON'!D21), 0, IFERROR('ENTERED ON'!D21, 0))</f>
        <v>45926</v>
      </c>
      <c r="M21" s="19">
        <f>Table1[[#This Row],[Check out ]]-Table1[[#This Row],[Check in ]]</f>
        <v>2</v>
      </c>
      <c r="N21" s="19"/>
      <c r="O21" s="19">
        <f t="shared" si="0"/>
        <v>0</v>
      </c>
      <c r="P21" s="19">
        <f t="shared" si="1"/>
        <v>0</v>
      </c>
      <c r="Q21" s="19">
        <f t="shared" si="2"/>
        <v>0</v>
      </c>
      <c r="R21" s="19">
        <f t="shared" si="3"/>
        <v>0</v>
      </c>
      <c r="S21" s="19">
        <f t="shared" si="4"/>
        <v>0</v>
      </c>
      <c r="T21" s="19">
        <f t="shared" si="5"/>
        <v>0</v>
      </c>
      <c r="U21" s="19">
        <f t="shared" si="6"/>
        <v>0</v>
      </c>
      <c r="V21" s="19">
        <f t="shared" si="7"/>
        <v>2</v>
      </c>
      <c r="W21" s="19">
        <f t="shared" si="8"/>
        <v>0</v>
      </c>
      <c r="X21" s="19">
        <f t="shared" si="9"/>
        <v>0</v>
      </c>
      <c r="Y21" s="17">
        <f t="shared" si="10"/>
        <v>0</v>
      </c>
      <c r="AD21" s="14" t="s">
        <v>175</v>
      </c>
      <c r="AE21" s="134">
        <v>8</v>
      </c>
    </row>
    <row r="22" spans="1:31" x14ac:dyDescent="0.25">
      <c r="A22" s="18" t="str">
        <f>IF(OR(ISNUMBER('ENTERED ON'!M22), 'ENTERED ON'!M22=""), "M&amp;C / RESV/ OTHERS", 'ENTERED ON'!M22)</f>
        <v>T- Skymax Holidays c/</v>
      </c>
      <c r="B22" s="18">
        <f>IF(ISTEXT(Table1[[#This Row],[ROOM TYPE]]), 1, 0)</f>
        <v>1</v>
      </c>
      <c r="C22" s="18" t="str">
        <f>IF(ISNUMBER('ENTERED ON'!L22), 0, 'ENTERED ON'!L22)</f>
        <v>JOY</v>
      </c>
      <c r="D22" s="18" t="str">
        <f>'ENTERED ON'!G22</f>
        <v>SK</v>
      </c>
      <c r="E22" s="18">
        <f>IF(ISTEXT('ENTERED ON'!Q22), 1, 0)</f>
        <v>0</v>
      </c>
      <c r="F22" s="18">
        <f>IF(ISTEXT('ENTERED ON'!R21), 1, 0)</f>
        <v>0</v>
      </c>
      <c r="G22" s="18">
        <f>IFERROR(IF(ISTEXT('ENTERED ON'!P22), 0, 'ENTERED ON'!P22*1.1), 0)</f>
        <v>1364.9349999999999</v>
      </c>
      <c r="H22" s="27">
        <f>IF(ISTEXT(G22), 0, Table1[[#This Row],[Amount]] / 'COMPANY PROD'!$V$33)</f>
        <v>7.4215736116510653E-2</v>
      </c>
      <c r="I22" s="27">
        <f>Table1[[#This Row],[NIGHTS]]/'COMPANY PROD'!$V$41</f>
        <v>9.0909090909090912E-2</v>
      </c>
      <c r="J22" s="24">
        <f>IFERROR(Table1[[#This Row],[Amount]]/Table1[[#This Row],[NIGHTS]],0)</f>
        <v>272.98699999999997</v>
      </c>
      <c r="K22" s="21">
        <f>IF(ISTEXT('ENTERED ON'!C22), 0, IFERROR('ENTERED ON'!C22, 0))</f>
        <v>45928</v>
      </c>
      <c r="L22" s="21">
        <f>IF(ISTEXT('ENTERED ON'!D22), 0, IFERROR('ENTERED ON'!D22, 0))</f>
        <v>45933</v>
      </c>
      <c r="M22" s="19">
        <f>Table1[[#This Row],[Check out ]]-Table1[[#This Row],[Check in ]]</f>
        <v>5</v>
      </c>
      <c r="N22" s="19"/>
      <c r="O22" s="19">
        <f t="shared" si="0"/>
        <v>0</v>
      </c>
      <c r="P22" s="19">
        <f t="shared" si="1"/>
        <v>0</v>
      </c>
      <c r="Q22" s="19">
        <f t="shared" si="2"/>
        <v>0</v>
      </c>
      <c r="R22" s="19">
        <f t="shared" si="3"/>
        <v>0</v>
      </c>
      <c r="S22" s="19">
        <f t="shared" si="4"/>
        <v>0</v>
      </c>
      <c r="T22" s="19">
        <f t="shared" si="5"/>
        <v>0</v>
      </c>
      <c r="U22" s="19">
        <f t="shared" si="6"/>
        <v>0</v>
      </c>
      <c r="V22" s="19">
        <f t="shared" si="7"/>
        <v>3</v>
      </c>
      <c r="W22" s="19">
        <f t="shared" si="8"/>
        <v>2</v>
      </c>
      <c r="X22" s="19">
        <f t="shared" si="9"/>
        <v>0</v>
      </c>
      <c r="Y22" s="17">
        <f t="shared" si="10"/>
        <v>0</v>
      </c>
      <c r="AD22" s="14" t="s">
        <v>191</v>
      </c>
      <c r="AE22" s="134">
        <v>2</v>
      </c>
    </row>
    <row r="23" spans="1:31" x14ac:dyDescent="0.25">
      <c r="A23" s="18" t="str">
        <f>IF(OR(ISNUMBER('ENTERED ON'!M23), 'ENTERED ON'!M23=""), "M&amp;C / RESV/ OTHERS", 'ENTERED ON'!M23)</f>
        <v>T- Darina Holidays</v>
      </c>
      <c r="B23" s="18">
        <f>IF(ISTEXT(Table1[[#This Row],[ROOM TYPE]]), 1, 0)</f>
        <v>1</v>
      </c>
      <c r="C23" s="18" t="str">
        <f>IF(ISNUMBER('ENTERED ON'!L23), 0, 'ENTERED ON'!L23)</f>
        <v>JOY</v>
      </c>
      <c r="D23" s="18" t="str">
        <f>'ENTERED ON'!G23</f>
        <v>SK</v>
      </c>
      <c r="E23" s="18">
        <f>IF(ISTEXT('ENTERED ON'!Q23), 1, 0)</f>
        <v>0</v>
      </c>
      <c r="F23" s="18">
        <f>IF(ISTEXT('ENTERED ON'!R22), 1, 0)</f>
        <v>0</v>
      </c>
      <c r="G23" s="18">
        <f>IFERROR(IF(ISTEXT('ENTERED ON'!P23), 0, 'ENTERED ON'!P23*1.1), 0)</f>
        <v>413.072</v>
      </c>
      <c r="H23" s="27">
        <f>IF(ISTEXT(G23), 0, Table1[[#This Row],[Amount]] / 'COMPANY PROD'!$V$33)</f>
        <v>2.246000179431203E-2</v>
      </c>
      <c r="I23" s="27">
        <f>Table1[[#This Row],[NIGHTS]]/'COMPANY PROD'!$V$41</f>
        <v>1.8181818181818181E-2</v>
      </c>
      <c r="J23" s="24">
        <f>IFERROR(Table1[[#This Row],[Amount]]/Table1[[#This Row],[NIGHTS]],0)</f>
        <v>413.072</v>
      </c>
      <c r="K23" s="21">
        <f>IF(ISTEXT('ENTERED ON'!C23), 0, IFERROR('ENTERED ON'!C23, 0))</f>
        <v>45931</v>
      </c>
      <c r="L23" s="21">
        <f>IF(ISTEXT('ENTERED ON'!D23), 0, IFERROR('ENTERED ON'!D23, 0))</f>
        <v>45932</v>
      </c>
      <c r="M23" s="19">
        <f>Table1[[#This Row],[Check out ]]-Table1[[#This Row],[Check in ]]</f>
        <v>1</v>
      </c>
      <c r="N23" s="19"/>
      <c r="O23" s="19">
        <f t="shared" si="0"/>
        <v>0</v>
      </c>
      <c r="P23" s="19">
        <f t="shared" si="1"/>
        <v>0</v>
      </c>
      <c r="Q23" s="19">
        <f t="shared" si="2"/>
        <v>0</v>
      </c>
      <c r="R23" s="19">
        <f t="shared" si="3"/>
        <v>0</v>
      </c>
      <c r="S23" s="19">
        <f t="shared" si="4"/>
        <v>0</v>
      </c>
      <c r="T23" s="19">
        <f t="shared" si="5"/>
        <v>0</v>
      </c>
      <c r="U23" s="19">
        <f t="shared" si="6"/>
        <v>0</v>
      </c>
      <c r="V23" s="19">
        <f t="shared" si="7"/>
        <v>0</v>
      </c>
      <c r="W23" s="19">
        <f t="shared" si="8"/>
        <v>1</v>
      </c>
      <c r="X23" s="19">
        <f t="shared" si="9"/>
        <v>0</v>
      </c>
      <c r="Y23" s="17">
        <f t="shared" si="10"/>
        <v>0</v>
      </c>
      <c r="AD23" s="14" t="s">
        <v>195</v>
      </c>
      <c r="AE23" s="134">
        <v>2</v>
      </c>
    </row>
    <row r="24" spans="1:31" x14ac:dyDescent="0.25">
      <c r="A24" s="18" t="str">
        <f>IF(OR(ISNUMBER('ENTERED ON'!M24), 'ENTERED ON'!M24=""), "M&amp;C / RESV/ OTHERS", 'ENTERED ON'!M24)</f>
        <v>T- Desert Gate Touris</v>
      </c>
      <c r="B24" s="18">
        <f>IF(ISTEXT(Table1[[#This Row],[ROOM TYPE]]), 1, 0)</f>
        <v>1</v>
      </c>
      <c r="C24" s="18" t="str">
        <f>IF(ISNUMBER('ENTERED ON'!L24), 0, 'ENTERED ON'!L24)</f>
        <v>JOY</v>
      </c>
      <c r="D24" s="18" t="str">
        <f>'ENTERED ON'!G24</f>
        <v>SK</v>
      </c>
      <c r="E24" s="18">
        <f>IF(ISTEXT('ENTERED ON'!Q24), 1, 0)</f>
        <v>0</v>
      </c>
      <c r="F24" s="18">
        <f>IF(ISTEXT('ENTERED ON'!R23), 1, 0)</f>
        <v>0</v>
      </c>
      <c r="G24" s="18">
        <f>IFERROR(IF(ISTEXT('ENTERED ON'!P24), 0, 'ENTERED ON'!P24*1.1), 0)</f>
        <v>1912.68</v>
      </c>
      <c r="H24" s="27">
        <f>IF(ISTEXT(G24), 0, Table1[[#This Row],[Amount]] / 'COMPANY PROD'!$V$33)</f>
        <v>0.10399832530877119</v>
      </c>
      <c r="I24" s="27">
        <f>Table1[[#This Row],[NIGHTS]]/'COMPANY PROD'!$V$41</f>
        <v>5.4545454545454543E-2</v>
      </c>
      <c r="J24" s="24">
        <f>IFERROR(Table1[[#This Row],[Amount]]/Table1[[#This Row],[NIGHTS]],0)</f>
        <v>637.56000000000006</v>
      </c>
      <c r="K24" s="21">
        <f>IF(ISTEXT('ENTERED ON'!C24), 0, IFERROR('ENTERED ON'!C24, 0))</f>
        <v>46050</v>
      </c>
      <c r="L24" s="21">
        <f>IF(ISTEXT('ENTERED ON'!D24), 0, IFERROR('ENTERED ON'!D24, 0))</f>
        <v>46053</v>
      </c>
      <c r="M24" s="19">
        <f>Table1[[#This Row],[Check out ]]-Table1[[#This Row],[Check in ]]</f>
        <v>3</v>
      </c>
      <c r="N24" s="19"/>
      <c r="O24" s="19">
        <f t="shared" si="0"/>
        <v>0</v>
      </c>
      <c r="P24" s="19">
        <f t="shared" si="1"/>
        <v>0</v>
      </c>
      <c r="Q24" s="19">
        <f t="shared" si="2"/>
        <v>0</v>
      </c>
      <c r="R24" s="19">
        <f t="shared" si="3"/>
        <v>0</v>
      </c>
      <c r="S24" s="19">
        <f t="shared" si="4"/>
        <v>0</v>
      </c>
      <c r="T24" s="19">
        <f t="shared" si="5"/>
        <v>0</v>
      </c>
      <c r="U24" s="19">
        <f t="shared" si="6"/>
        <v>0</v>
      </c>
      <c r="V24" s="19">
        <f t="shared" si="7"/>
        <v>0</v>
      </c>
      <c r="W24" s="19">
        <f t="shared" si="8"/>
        <v>0</v>
      </c>
      <c r="X24" s="19">
        <f t="shared" si="9"/>
        <v>0</v>
      </c>
      <c r="Y24" s="17">
        <f t="shared" si="10"/>
        <v>0</v>
      </c>
      <c r="AD24" s="14" t="s">
        <v>50</v>
      </c>
      <c r="AE24" s="134">
        <v>23</v>
      </c>
    </row>
    <row r="25" spans="1:31" x14ac:dyDescent="0.25">
      <c r="A25" s="18" t="str">
        <f>IF(OR(ISNUMBER('ENTERED ON'!M25), 'ENTERED ON'!M25=""), "M&amp;C / RESV/ OTHERS", 'ENTERED ON'!M25)</f>
        <v>M&amp;C / RESV/ OTHERS</v>
      </c>
      <c r="B25" s="18">
        <f>IF(ISTEXT(Table1[[#This Row],[ROOM TYPE]]), 1, 0)</f>
        <v>0</v>
      </c>
      <c r="C25" s="18">
        <f>IF(ISNUMBER('ENTERED ON'!L25), 0, 'ENTERED ON'!L25)</f>
        <v>0</v>
      </c>
      <c r="D25" s="18">
        <f>'ENTERED ON'!G25</f>
        <v>0</v>
      </c>
      <c r="E25" s="18">
        <f>IF(ISTEXT('ENTERED ON'!Q25), 1, 0)</f>
        <v>0</v>
      </c>
      <c r="F25" s="18">
        <f>IF(ISTEXT('ENTERED ON'!R24), 1, 0)</f>
        <v>0</v>
      </c>
      <c r="G25" s="18">
        <f>IFERROR(IF(ISTEXT('ENTERED ON'!P25), 0, 'ENTERED ON'!P25*1.1), 0)</f>
        <v>0</v>
      </c>
      <c r="H25" s="27">
        <f>IF(ISTEXT(G25), 0, Table1[[#This Row],[Amount]] / 'COMPANY PROD'!$V$33)</f>
        <v>0</v>
      </c>
      <c r="I25" s="27">
        <f>Table1[[#This Row],[NIGHTS]]/'COMPANY PROD'!$V$41</f>
        <v>0</v>
      </c>
      <c r="J25" s="24">
        <f>IFERROR(Table1[[#This Row],[Amount]]/Table1[[#This Row],[NIGHTS]],0)</f>
        <v>0</v>
      </c>
      <c r="K25" s="21">
        <f>IF(ISTEXT('ENTERED ON'!C25), 0, IFERROR('ENTERED ON'!C25, 0))</f>
        <v>0</v>
      </c>
      <c r="L25" s="21">
        <f>IF(ISTEXT('ENTERED ON'!D25), 0, IFERROR('ENTERED ON'!D25, 0))</f>
        <v>0</v>
      </c>
      <c r="M25" s="19">
        <f>Table1[[#This Row],[Check out ]]-Table1[[#This Row],[Check in ]]</f>
        <v>0</v>
      </c>
      <c r="N25" s="19"/>
      <c r="O25" s="19">
        <f t="shared" si="0"/>
        <v>0</v>
      </c>
      <c r="P25" s="19">
        <f t="shared" si="1"/>
        <v>0</v>
      </c>
      <c r="Q25" s="19">
        <f t="shared" si="2"/>
        <v>0</v>
      </c>
      <c r="R25" s="19">
        <f t="shared" si="3"/>
        <v>0</v>
      </c>
      <c r="S25" s="19">
        <f t="shared" si="4"/>
        <v>0</v>
      </c>
      <c r="T25" s="19">
        <f t="shared" si="5"/>
        <v>0</v>
      </c>
      <c r="U25" s="19">
        <f t="shared" si="6"/>
        <v>0</v>
      </c>
      <c r="V25" s="19">
        <f t="shared" si="7"/>
        <v>0</v>
      </c>
      <c r="W25" s="19">
        <f t="shared" si="8"/>
        <v>0</v>
      </c>
      <c r="X25" s="19">
        <f t="shared" si="9"/>
        <v>0</v>
      </c>
      <c r="Y25" s="17">
        <f t="shared" si="10"/>
        <v>0</v>
      </c>
    </row>
    <row r="26" spans="1:31" x14ac:dyDescent="0.25">
      <c r="A26" s="18" t="str">
        <f>IF(OR(ISNUMBER('ENTERED ON'!M26), 'ENTERED ON'!M26=""), "M&amp;C / RESV/ OTHERS", 'ENTERED ON'!M26)</f>
        <v>M&amp;C / RESV/ OTHERS</v>
      </c>
      <c r="B26" s="18">
        <f>IF(ISTEXT(Table1[[#This Row],[ROOM TYPE]]), 1, 0)</f>
        <v>0</v>
      </c>
      <c r="C26" s="18">
        <f>IF(ISNUMBER('ENTERED ON'!L26), 0, 'ENTERED ON'!L26)</f>
        <v>0</v>
      </c>
      <c r="D26" s="18">
        <f>'ENTERED ON'!G26</f>
        <v>0</v>
      </c>
      <c r="E26" s="18">
        <f>IF(ISTEXT('ENTERED ON'!Q26), 1, 0)</f>
        <v>0</v>
      </c>
      <c r="F26" s="18">
        <f>IF(ISTEXT('ENTERED ON'!R25), 1, 0)</f>
        <v>0</v>
      </c>
      <c r="G26" s="18">
        <f>IFERROR(IF(ISTEXT('ENTERED ON'!P26), 0, 'ENTERED ON'!P26*1.1), 0)</f>
        <v>0</v>
      </c>
      <c r="H26" s="27">
        <f>IF(ISTEXT(G26), 0, Table1[[#This Row],[Amount]] / 'COMPANY PROD'!$V$33)</f>
        <v>0</v>
      </c>
      <c r="I26" s="27">
        <f>Table1[[#This Row],[NIGHTS]]/'COMPANY PROD'!$V$41</f>
        <v>0</v>
      </c>
      <c r="J26" s="24">
        <f>IFERROR(Table1[[#This Row],[Amount]]/Table1[[#This Row],[NIGHTS]],0)</f>
        <v>0</v>
      </c>
      <c r="K26" s="21">
        <f>IF(ISTEXT('ENTERED ON'!C26), 0, IFERROR('ENTERED ON'!C26, 0))</f>
        <v>0</v>
      </c>
      <c r="L26" s="21">
        <f>IF(ISTEXT('ENTERED ON'!D26), 0, IFERROR('ENTERED ON'!D26, 0))</f>
        <v>0</v>
      </c>
      <c r="M26" s="19">
        <f>Table1[[#This Row],[Check out ]]-Table1[[#This Row],[Check in ]]</f>
        <v>0</v>
      </c>
      <c r="N26" s="19"/>
      <c r="O26" s="19">
        <f t="shared" si="0"/>
        <v>0</v>
      </c>
      <c r="P26" s="19">
        <f t="shared" si="1"/>
        <v>0</v>
      </c>
      <c r="Q26" s="19">
        <f t="shared" si="2"/>
        <v>0</v>
      </c>
      <c r="R26" s="19">
        <f t="shared" si="3"/>
        <v>0</v>
      </c>
      <c r="S26" s="19">
        <f t="shared" si="4"/>
        <v>0</v>
      </c>
      <c r="T26" s="19">
        <f t="shared" si="5"/>
        <v>0</v>
      </c>
      <c r="U26" s="19">
        <f t="shared" si="6"/>
        <v>0</v>
      </c>
      <c r="V26" s="19">
        <f t="shared" si="7"/>
        <v>0</v>
      </c>
      <c r="W26" s="19">
        <f t="shared" si="8"/>
        <v>0</v>
      </c>
      <c r="X26" s="19">
        <f t="shared" si="9"/>
        <v>0</v>
      </c>
      <c r="Y26" s="17">
        <f t="shared" si="10"/>
        <v>0</v>
      </c>
    </row>
    <row r="27" spans="1:31" x14ac:dyDescent="0.25">
      <c r="A27" s="18" t="str">
        <f>IF(OR(ISNUMBER('ENTERED ON'!M27), 'ENTERED ON'!M27=""), "M&amp;C / RESV/ OTHERS", 'ENTERED ON'!M27)</f>
        <v>M&amp;C / RESV/ OTHERS</v>
      </c>
      <c r="B27" s="18">
        <f>IF(ISTEXT(Table1[[#This Row],[ROOM TYPE]]), 1, 0)</f>
        <v>0</v>
      </c>
      <c r="C27" s="18">
        <f>IF(ISNUMBER('ENTERED ON'!L27), 0, 'ENTERED ON'!L27)</f>
        <v>0</v>
      </c>
      <c r="D27" s="18">
        <f>'ENTERED ON'!G27</f>
        <v>0</v>
      </c>
      <c r="E27" s="18">
        <f>IF(ISTEXT('ENTERED ON'!Q27), 1, 0)</f>
        <v>0</v>
      </c>
      <c r="F27" s="18">
        <f>IF(ISTEXT('ENTERED ON'!R26), 1, 0)</f>
        <v>0</v>
      </c>
      <c r="G27" s="18">
        <f>IFERROR(IF(ISTEXT('ENTERED ON'!P27), 0, 'ENTERED ON'!P27*1.1), 0)</f>
        <v>0</v>
      </c>
      <c r="H27" s="27">
        <f>IF(ISTEXT(G27), 0, Table1[[#This Row],[Amount]] / 'COMPANY PROD'!$V$33)</f>
        <v>0</v>
      </c>
      <c r="I27" s="27">
        <f>Table1[[#This Row],[NIGHTS]]/'COMPANY PROD'!$V$41</f>
        <v>0</v>
      </c>
      <c r="J27" s="24">
        <f>IFERROR(Table1[[#This Row],[Amount]]/Table1[[#This Row],[NIGHTS]],0)</f>
        <v>0</v>
      </c>
      <c r="K27" s="21">
        <f>IF(ISTEXT('ENTERED ON'!C27), 0, IFERROR('ENTERED ON'!C27, 0))</f>
        <v>0</v>
      </c>
      <c r="L27" s="21">
        <f>IF(ISTEXT('ENTERED ON'!D27), 0, IFERROR('ENTERED ON'!D27, 0))</f>
        <v>0</v>
      </c>
      <c r="M27" s="19">
        <f>Table1[[#This Row],[Check out ]]-Table1[[#This Row],[Check in ]]</f>
        <v>0</v>
      </c>
      <c r="N27" s="19"/>
      <c r="O27" s="19">
        <f t="shared" si="0"/>
        <v>0</v>
      </c>
      <c r="P27" s="19">
        <f t="shared" si="1"/>
        <v>0</v>
      </c>
      <c r="Q27" s="19">
        <f t="shared" si="2"/>
        <v>0</v>
      </c>
      <c r="R27" s="19">
        <f t="shared" si="3"/>
        <v>0</v>
      </c>
      <c r="S27" s="19">
        <f t="shared" si="4"/>
        <v>0</v>
      </c>
      <c r="T27" s="19">
        <f t="shared" si="5"/>
        <v>0</v>
      </c>
      <c r="U27" s="19">
        <f t="shared" si="6"/>
        <v>0</v>
      </c>
      <c r="V27" s="19">
        <f t="shared" si="7"/>
        <v>0</v>
      </c>
      <c r="W27" s="19">
        <f t="shared" si="8"/>
        <v>0</v>
      </c>
      <c r="X27" s="19">
        <f t="shared" si="9"/>
        <v>0</v>
      </c>
      <c r="Y27" s="17">
        <f t="shared" si="10"/>
        <v>0</v>
      </c>
    </row>
    <row r="28" spans="1:31" x14ac:dyDescent="0.25">
      <c r="A28" s="18" t="str">
        <f>IF(OR(ISNUMBER('ENTERED ON'!M28), 'ENTERED ON'!M28=""), "M&amp;C / RESV/ OTHERS", 'ENTERED ON'!M28)</f>
        <v>M&amp;C / RESV/ OTHERS</v>
      </c>
      <c r="B28" s="18">
        <f>IF(ISTEXT(Table1[[#This Row],[ROOM TYPE]]), 1, 0)</f>
        <v>0</v>
      </c>
      <c r="C28" s="18">
        <f>IF(ISNUMBER('ENTERED ON'!L28), 0, 'ENTERED ON'!L28)</f>
        <v>0</v>
      </c>
      <c r="D28" s="18">
        <f>'ENTERED ON'!G28</f>
        <v>0</v>
      </c>
      <c r="E28" s="18">
        <f>IF(ISTEXT('ENTERED ON'!Q28), 1, 0)</f>
        <v>0</v>
      </c>
      <c r="F28" s="18">
        <f>IF(ISTEXT('ENTERED ON'!R27), 1, 0)</f>
        <v>0</v>
      </c>
      <c r="G28" s="18">
        <f>IFERROR(IF(ISTEXT('ENTERED ON'!P28), 0, 'ENTERED ON'!P28*1.1), 0)</f>
        <v>0</v>
      </c>
      <c r="H28" s="27">
        <f>IF(ISTEXT(G28), 0, Table1[[#This Row],[Amount]] / 'COMPANY PROD'!$V$33)</f>
        <v>0</v>
      </c>
      <c r="I28" s="27">
        <f>Table1[[#This Row],[NIGHTS]]/'COMPANY PROD'!$V$41</f>
        <v>0</v>
      </c>
      <c r="J28" s="24">
        <f>IFERROR(Table1[[#This Row],[Amount]]/Table1[[#This Row],[NIGHTS]],0)</f>
        <v>0</v>
      </c>
      <c r="K28" s="21">
        <f>IF(ISTEXT('ENTERED ON'!C28), 0, IFERROR('ENTERED ON'!C28, 0))</f>
        <v>0</v>
      </c>
      <c r="L28" s="21">
        <f>IF(ISTEXT('ENTERED ON'!D28), 0, IFERROR('ENTERED ON'!D28, 0))</f>
        <v>0</v>
      </c>
      <c r="M28" s="19">
        <f>Table1[[#This Row],[Check out ]]-Table1[[#This Row],[Check in ]]</f>
        <v>0</v>
      </c>
      <c r="N28" s="19"/>
      <c r="O28" s="19">
        <f t="shared" si="0"/>
        <v>0</v>
      </c>
      <c r="P28" s="19">
        <f t="shared" si="1"/>
        <v>0</v>
      </c>
      <c r="Q28" s="19">
        <f t="shared" si="2"/>
        <v>0</v>
      </c>
      <c r="R28" s="19">
        <f t="shared" si="3"/>
        <v>0</v>
      </c>
      <c r="S28" s="19">
        <f t="shared" si="4"/>
        <v>0</v>
      </c>
      <c r="T28" s="19">
        <f t="shared" si="5"/>
        <v>0</v>
      </c>
      <c r="U28" s="19">
        <f t="shared" si="6"/>
        <v>0</v>
      </c>
      <c r="V28" s="19">
        <f t="shared" si="7"/>
        <v>0</v>
      </c>
      <c r="W28" s="19">
        <f t="shared" si="8"/>
        <v>0</v>
      </c>
      <c r="X28" s="19">
        <f t="shared" si="9"/>
        <v>0</v>
      </c>
      <c r="Y28" s="17">
        <f t="shared" si="10"/>
        <v>0</v>
      </c>
    </row>
    <row r="29" spans="1:31" x14ac:dyDescent="0.25">
      <c r="A29" s="18" t="str">
        <f>IF(OR(ISNUMBER('ENTERED ON'!M29), 'ENTERED ON'!M29=""), "M&amp;C / RESV/ OTHERS", 'ENTERED ON'!M29)</f>
        <v>M&amp;C / RESV/ OTHERS</v>
      </c>
      <c r="B29" s="18">
        <f>IF(ISTEXT(Table1[[#This Row],[ROOM TYPE]]), 1, 0)</f>
        <v>0</v>
      </c>
      <c r="C29" s="18">
        <f>IF(ISNUMBER('ENTERED ON'!L29), 0, 'ENTERED ON'!L29)</f>
        <v>0</v>
      </c>
      <c r="D29" s="18">
        <f>'ENTERED ON'!G29</f>
        <v>0</v>
      </c>
      <c r="E29" s="18">
        <f>IF(ISTEXT('ENTERED ON'!Q29), 1, 0)</f>
        <v>0</v>
      </c>
      <c r="F29" s="18">
        <f>IF(ISTEXT('ENTERED ON'!R28), 1, 0)</f>
        <v>0</v>
      </c>
      <c r="G29" s="18">
        <f>IFERROR(IF(ISTEXT('ENTERED ON'!P29), 0, 'ENTERED ON'!P29*1.1), 0)</f>
        <v>0</v>
      </c>
      <c r="H29" s="27">
        <f>IF(ISTEXT(G29), 0, Table1[[#This Row],[Amount]] / 'COMPANY PROD'!$V$33)</f>
        <v>0</v>
      </c>
      <c r="I29" s="27">
        <f>Table1[[#This Row],[NIGHTS]]/'COMPANY PROD'!$V$41</f>
        <v>0</v>
      </c>
      <c r="J29" s="24">
        <f>IFERROR(Table1[[#This Row],[Amount]]/Table1[[#This Row],[NIGHTS]],0)</f>
        <v>0</v>
      </c>
      <c r="K29" s="21">
        <f>IF(ISTEXT('ENTERED ON'!C29), 0, IFERROR('ENTERED ON'!C29, 0))</f>
        <v>0</v>
      </c>
      <c r="L29" s="21">
        <f>IF(ISTEXT('ENTERED ON'!D29), 0, IFERROR('ENTERED ON'!D29, 0))</f>
        <v>0</v>
      </c>
      <c r="M29" s="19">
        <f>Table1[[#This Row],[Check out ]]-Table1[[#This Row],[Check in ]]</f>
        <v>0</v>
      </c>
      <c r="N29" s="19"/>
      <c r="O29" s="19">
        <f t="shared" si="0"/>
        <v>0</v>
      </c>
      <c r="P29" s="19">
        <f t="shared" si="1"/>
        <v>0</v>
      </c>
      <c r="Q29" s="19">
        <f t="shared" si="2"/>
        <v>0</v>
      </c>
      <c r="R29" s="19">
        <f t="shared" si="3"/>
        <v>0</v>
      </c>
      <c r="S29" s="19">
        <f t="shared" si="4"/>
        <v>0</v>
      </c>
      <c r="T29" s="19">
        <f t="shared" si="5"/>
        <v>0</v>
      </c>
      <c r="U29" s="19">
        <f t="shared" si="6"/>
        <v>0</v>
      </c>
      <c r="V29" s="19">
        <f t="shared" si="7"/>
        <v>0</v>
      </c>
      <c r="W29" s="19">
        <f t="shared" si="8"/>
        <v>0</v>
      </c>
      <c r="X29" s="19">
        <f t="shared" si="9"/>
        <v>0</v>
      </c>
      <c r="Y29" s="17">
        <f t="shared" si="10"/>
        <v>0</v>
      </c>
    </row>
    <row r="30" spans="1:31" x14ac:dyDescent="0.25">
      <c r="A30" s="18" t="str">
        <f>IF(OR(ISNUMBER('ENTERED ON'!M30), 'ENTERED ON'!M30=""), "M&amp;C / RESV/ OTHERS", 'ENTERED ON'!M30)</f>
        <v>M&amp;C / RESV/ OTHERS</v>
      </c>
      <c r="B30" s="18">
        <f>IF(ISTEXT(Table1[[#This Row],[ROOM TYPE]]), 1, 0)</f>
        <v>0</v>
      </c>
      <c r="C30" s="18">
        <f>IF(ISNUMBER('ENTERED ON'!L30), 0, 'ENTERED ON'!L30)</f>
        <v>0</v>
      </c>
      <c r="D30" s="18">
        <f>'ENTERED ON'!G30</f>
        <v>0</v>
      </c>
      <c r="E30" s="18">
        <f>IF(ISTEXT('ENTERED ON'!Q30), 1, 0)</f>
        <v>0</v>
      </c>
      <c r="F30" s="18">
        <f>IF(ISTEXT('ENTERED ON'!R29), 1, 0)</f>
        <v>0</v>
      </c>
      <c r="G30" s="18">
        <f>IFERROR(IF(ISTEXT('ENTERED ON'!P30), 0, 'ENTERED ON'!P30*1.1), 0)</f>
        <v>0</v>
      </c>
      <c r="H30" s="27">
        <f>IF(ISTEXT(G30), 0, Table1[[#This Row],[Amount]] / 'COMPANY PROD'!$V$33)</f>
        <v>0</v>
      </c>
      <c r="I30" s="27">
        <f>Table1[[#This Row],[NIGHTS]]/'COMPANY PROD'!$V$41</f>
        <v>0</v>
      </c>
      <c r="J30" s="24">
        <f>IFERROR(Table1[[#This Row],[Amount]]/Table1[[#This Row],[NIGHTS]],0)</f>
        <v>0</v>
      </c>
      <c r="K30" s="21">
        <f>IF(ISTEXT('ENTERED ON'!C30), 0, IFERROR('ENTERED ON'!C30, 0))</f>
        <v>0</v>
      </c>
      <c r="L30" s="21">
        <f>IF(ISTEXT('ENTERED ON'!D30), 0, IFERROR('ENTERED ON'!D30, 0))</f>
        <v>0</v>
      </c>
      <c r="M30" s="19">
        <f>Table1[[#This Row],[Check out ]]-Table1[[#This Row],[Check in ]]</f>
        <v>0</v>
      </c>
      <c r="N30" s="19"/>
      <c r="O30" s="19">
        <f t="shared" si="0"/>
        <v>0</v>
      </c>
      <c r="P30" s="19">
        <f t="shared" si="1"/>
        <v>0</v>
      </c>
      <c r="Q30" s="19">
        <f t="shared" si="2"/>
        <v>0</v>
      </c>
      <c r="R30" s="19">
        <f t="shared" si="3"/>
        <v>0</v>
      </c>
      <c r="S30" s="19">
        <f t="shared" si="4"/>
        <v>0</v>
      </c>
      <c r="T30" s="19">
        <f t="shared" si="5"/>
        <v>0</v>
      </c>
      <c r="U30" s="19">
        <f t="shared" si="6"/>
        <v>0</v>
      </c>
      <c r="V30" s="19">
        <f t="shared" si="7"/>
        <v>0</v>
      </c>
      <c r="W30" s="19">
        <f t="shared" si="8"/>
        <v>0</v>
      </c>
      <c r="X30" s="19">
        <f t="shared" si="9"/>
        <v>0</v>
      </c>
      <c r="Y30" s="17">
        <f t="shared" si="10"/>
        <v>0</v>
      </c>
    </row>
    <row r="31" spans="1:31" x14ac:dyDescent="0.25">
      <c r="A31" s="18" t="str">
        <f>IF(OR(ISNUMBER('ENTERED ON'!M31), 'ENTERED ON'!M31=""), "M&amp;C / RESV/ OTHERS", 'ENTERED ON'!M31)</f>
        <v>M&amp;C / RESV/ OTHERS</v>
      </c>
      <c r="B31" s="18">
        <f>IF(ISTEXT(Table1[[#This Row],[ROOM TYPE]]), 1, 0)</f>
        <v>0</v>
      </c>
      <c r="C31" s="18">
        <f>IF(ISNUMBER('ENTERED ON'!L31), 0, 'ENTERED ON'!L31)</f>
        <v>0</v>
      </c>
      <c r="D31" s="18">
        <f>'ENTERED ON'!G31</f>
        <v>0</v>
      </c>
      <c r="E31" s="18">
        <f>IF(ISTEXT('ENTERED ON'!Q31), 1, 0)</f>
        <v>0</v>
      </c>
      <c r="F31" s="18">
        <f>IF(ISTEXT('ENTERED ON'!R30), 1, 0)</f>
        <v>0</v>
      </c>
      <c r="G31" s="18">
        <f>IFERROR(IF(ISTEXT('ENTERED ON'!P31), 0, 'ENTERED ON'!P31*1.1), 0)</f>
        <v>0</v>
      </c>
      <c r="H31" s="27">
        <f>IF(ISTEXT(G31), 0, Table1[[#This Row],[Amount]] / 'COMPANY PROD'!$V$33)</f>
        <v>0</v>
      </c>
      <c r="I31" s="27">
        <f>Table1[[#This Row],[NIGHTS]]/'COMPANY PROD'!$V$41</f>
        <v>0</v>
      </c>
      <c r="J31" s="24">
        <f>IFERROR(Table1[[#This Row],[Amount]]/Table1[[#This Row],[NIGHTS]],0)</f>
        <v>0</v>
      </c>
      <c r="K31" s="21">
        <f>IF(ISTEXT('ENTERED ON'!C31), 0, IFERROR('ENTERED ON'!C31, 0))</f>
        <v>0</v>
      </c>
      <c r="L31" s="21">
        <f>IF(ISTEXT('ENTERED ON'!D31), 0, IFERROR('ENTERED ON'!D31, 0))</f>
        <v>0</v>
      </c>
      <c r="M31" s="19">
        <f>Table1[[#This Row],[Check out ]]-Table1[[#This Row],[Check in ]]</f>
        <v>0</v>
      </c>
      <c r="N31" s="19"/>
      <c r="O31" s="19">
        <f t="shared" si="0"/>
        <v>0</v>
      </c>
      <c r="P31" s="19">
        <f t="shared" si="1"/>
        <v>0</v>
      </c>
      <c r="Q31" s="19">
        <f t="shared" si="2"/>
        <v>0</v>
      </c>
      <c r="R31" s="19">
        <f t="shared" si="3"/>
        <v>0</v>
      </c>
      <c r="S31" s="19">
        <f t="shared" si="4"/>
        <v>0</v>
      </c>
      <c r="T31" s="19">
        <f t="shared" si="5"/>
        <v>0</v>
      </c>
      <c r="U31" s="19">
        <f t="shared" si="6"/>
        <v>0</v>
      </c>
      <c r="V31" s="19">
        <f t="shared" si="7"/>
        <v>0</v>
      </c>
      <c r="W31" s="19">
        <f t="shared" si="8"/>
        <v>0</v>
      </c>
      <c r="X31" s="19">
        <f t="shared" si="9"/>
        <v>0</v>
      </c>
      <c r="Y31" s="17">
        <f t="shared" si="10"/>
        <v>0</v>
      </c>
    </row>
    <row r="32" spans="1:31" x14ac:dyDescent="0.25">
      <c r="A32" s="18" t="str">
        <f>IF(OR(ISNUMBER('ENTERED ON'!M32), 'ENTERED ON'!M32=""), "M&amp;C / RESV/ OTHERS", 'ENTERED ON'!M32)</f>
        <v>M&amp;C / RESV/ OTHERS</v>
      </c>
      <c r="B32" s="18">
        <f>IF(ISTEXT(Table1[[#This Row],[ROOM TYPE]]), 1, 0)</f>
        <v>0</v>
      </c>
      <c r="C32" s="18">
        <f>IF(ISNUMBER('ENTERED ON'!L32), 0, 'ENTERED ON'!L32)</f>
        <v>0</v>
      </c>
      <c r="D32" s="18">
        <f>'ENTERED ON'!G32</f>
        <v>0</v>
      </c>
      <c r="E32" s="18">
        <f>IF(ISTEXT('ENTERED ON'!Q32), 1, 0)</f>
        <v>0</v>
      </c>
      <c r="F32" s="18">
        <f>IF(ISTEXT('ENTERED ON'!R31), 1, 0)</f>
        <v>0</v>
      </c>
      <c r="G32" s="18">
        <f>IFERROR(IF(ISTEXT('ENTERED ON'!P32), 0, 'ENTERED ON'!P32*1.1), 0)</f>
        <v>0</v>
      </c>
      <c r="H32" s="27">
        <f>IF(ISTEXT(G32), 0, Table1[[#This Row],[Amount]] / 'COMPANY PROD'!$V$33)</f>
        <v>0</v>
      </c>
      <c r="I32" s="27">
        <f>Table1[[#This Row],[NIGHTS]]/'COMPANY PROD'!$V$41</f>
        <v>0</v>
      </c>
      <c r="J32" s="24">
        <f>IFERROR(Table1[[#This Row],[Amount]]/Table1[[#This Row],[NIGHTS]],0)</f>
        <v>0</v>
      </c>
      <c r="K32" s="21">
        <f>IF(ISTEXT('ENTERED ON'!C32), 0, IFERROR('ENTERED ON'!C32, 0))</f>
        <v>0</v>
      </c>
      <c r="L32" s="21">
        <f>IF(ISTEXT('ENTERED ON'!D32), 0, IFERROR('ENTERED ON'!D32, 0))</f>
        <v>0</v>
      </c>
      <c r="M32" s="19">
        <f>Table1[[#This Row],[Check out ]]-Table1[[#This Row],[Check in ]]</f>
        <v>0</v>
      </c>
      <c r="N32" s="19"/>
      <c r="O32" s="19">
        <f t="shared" si="0"/>
        <v>0</v>
      </c>
      <c r="P32" s="19">
        <f t="shared" si="1"/>
        <v>0</v>
      </c>
      <c r="Q32" s="19">
        <f t="shared" si="2"/>
        <v>0</v>
      </c>
      <c r="R32" s="19">
        <f t="shared" si="3"/>
        <v>0</v>
      </c>
      <c r="S32" s="19">
        <f t="shared" si="4"/>
        <v>0</v>
      </c>
      <c r="T32" s="19">
        <f t="shared" si="5"/>
        <v>0</v>
      </c>
      <c r="U32" s="19">
        <f t="shared" si="6"/>
        <v>0</v>
      </c>
      <c r="V32" s="19">
        <f t="shared" si="7"/>
        <v>0</v>
      </c>
      <c r="W32" s="19">
        <f t="shared" si="8"/>
        <v>0</v>
      </c>
      <c r="X32" s="19">
        <f t="shared" si="9"/>
        <v>0</v>
      </c>
      <c r="Y32" s="17">
        <f t="shared" si="10"/>
        <v>0</v>
      </c>
    </row>
    <row r="33" spans="1:25" x14ac:dyDescent="0.25">
      <c r="A33" s="18" t="str">
        <f>IF(OR(ISNUMBER('ENTERED ON'!M33), 'ENTERED ON'!M33=""), "M&amp;C / RESV/ OTHERS", 'ENTERED ON'!M33)</f>
        <v>M&amp;C / RESV/ OTHERS</v>
      </c>
      <c r="B33" s="18">
        <f>IF(ISTEXT(Table1[[#This Row],[ROOM TYPE]]), 1, 0)</f>
        <v>0</v>
      </c>
      <c r="C33" s="18">
        <f>IF(ISNUMBER('ENTERED ON'!L33), 0, 'ENTERED ON'!L33)</f>
        <v>0</v>
      </c>
      <c r="D33" s="18">
        <f>'ENTERED ON'!G33</f>
        <v>0</v>
      </c>
      <c r="E33" s="18">
        <f>IF(ISTEXT('ENTERED ON'!Q33), 1, 0)</f>
        <v>0</v>
      </c>
      <c r="F33" s="18">
        <f>IF(ISTEXT('ENTERED ON'!R32), 1, 0)</f>
        <v>0</v>
      </c>
      <c r="G33" s="18">
        <f>IFERROR(IF(ISTEXT('ENTERED ON'!P33), 0, 'ENTERED ON'!P33*1.1), 0)</f>
        <v>0</v>
      </c>
      <c r="H33" s="27">
        <f>IF(ISTEXT(G33), 0, Table1[[#This Row],[Amount]] / 'COMPANY PROD'!$V$33)</f>
        <v>0</v>
      </c>
      <c r="I33" s="27">
        <f>Table1[[#This Row],[NIGHTS]]/'COMPANY PROD'!$V$41</f>
        <v>0</v>
      </c>
      <c r="J33" s="24">
        <f>IFERROR(Table1[[#This Row],[Amount]]/Table1[[#This Row],[NIGHTS]],0)</f>
        <v>0</v>
      </c>
      <c r="K33" s="21">
        <f>IF(ISTEXT('ENTERED ON'!C33), 0, IFERROR('ENTERED ON'!C33, 0))</f>
        <v>0</v>
      </c>
      <c r="L33" s="21">
        <f>IF(ISTEXT('ENTERED ON'!D33), 0, IFERROR('ENTERED ON'!D33, 0))</f>
        <v>0</v>
      </c>
      <c r="M33" s="19">
        <f>Table1[[#This Row],[Check out ]]-Table1[[#This Row],[Check in ]]</f>
        <v>0</v>
      </c>
      <c r="N33" s="19"/>
      <c r="O33" s="19">
        <f t="shared" si="0"/>
        <v>0</v>
      </c>
      <c r="P33" s="19">
        <f t="shared" si="1"/>
        <v>0</v>
      </c>
      <c r="Q33" s="19">
        <f t="shared" si="2"/>
        <v>0</v>
      </c>
      <c r="R33" s="19">
        <f t="shared" si="3"/>
        <v>0</v>
      </c>
      <c r="S33" s="19">
        <f t="shared" si="4"/>
        <v>0</v>
      </c>
      <c r="T33" s="19">
        <f t="shared" si="5"/>
        <v>0</v>
      </c>
      <c r="U33" s="19">
        <f t="shared" si="6"/>
        <v>0</v>
      </c>
      <c r="V33" s="19">
        <f t="shared" si="7"/>
        <v>0</v>
      </c>
      <c r="W33" s="19">
        <f t="shared" si="8"/>
        <v>0</v>
      </c>
      <c r="X33" s="19">
        <f t="shared" si="9"/>
        <v>0</v>
      </c>
      <c r="Y33" s="17">
        <f t="shared" si="10"/>
        <v>0</v>
      </c>
    </row>
    <row r="34" spans="1:25" x14ac:dyDescent="0.25">
      <c r="A34" s="18" t="str">
        <f>IF(OR(ISNUMBER('ENTERED ON'!M34), 'ENTERED ON'!M34=""), "M&amp;C / RESV/ OTHERS", 'ENTERED ON'!M34)</f>
        <v>M&amp;C / RESV/ OTHERS</v>
      </c>
      <c r="B34" s="18">
        <f>IF(ISTEXT(Table1[[#This Row],[ROOM TYPE]]), 1, 0)</f>
        <v>0</v>
      </c>
      <c r="C34" s="18">
        <f>IF(ISNUMBER('ENTERED ON'!L34), 0, 'ENTERED ON'!L34)</f>
        <v>0</v>
      </c>
      <c r="D34" s="18">
        <f>'ENTERED ON'!G34</f>
        <v>0</v>
      </c>
      <c r="E34" s="18">
        <f>IF(ISTEXT('ENTERED ON'!Q34), 1, 0)</f>
        <v>0</v>
      </c>
      <c r="F34" s="18">
        <f>IF(ISTEXT('ENTERED ON'!R33), 1, 0)</f>
        <v>0</v>
      </c>
      <c r="G34" s="18">
        <f>IFERROR(IF(ISTEXT('ENTERED ON'!P34), 0, 'ENTERED ON'!P34*1.1), 0)</f>
        <v>0</v>
      </c>
      <c r="H34" s="27">
        <f>IF(ISTEXT(G34), 0, Table1[[#This Row],[Amount]] / 'COMPANY PROD'!$V$33)</f>
        <v>0</v>
      </c>
      <c r="I34" s="27">
        <f>Table1[[#This Row],[NIGHTS]]/'COMPANY PROD'!$V$41</f>
        <v>0</v>
      </c>
      <c r="J34" s="24">
        <f>IFERROR(Table1[[#This Row],[Amount]]/Table1[[#This Row],[NIGHTS]],0)</f>
        <v>0</v>
      </c>
      <c r="K34" s="21">
        <f>IF(ISTEXT('ENTERED ON'!C34), 0, IFERROR('ENTERED ON'!C34, 0))</f>
        <v>0</v>
      </c>
      <c r="L34" s="21">
        <f>IF(ISTEXT('ENTERED ON'!D34), 0, IFERROR('ENTERED ON'!D34, 0))</f>
        <v>0</v>
      </c>
      <c r="M34" s="19">
        <f>Table1[[#This Row],[Check out ]]-Table1[[#This Row],[Check in ]]</f>
        <v>0</v>
      </c>
      <c r="N34" s="19"/>
      <c r="O34" s="19">
        <f t="shared" si="0"/>
        <v>0</v>
      </c>
      <c r="P34" s="19">
        <f t="shared" si="1"/>
        <v>0</v>
      </c>
      <c r="Q34" s="19">
        <f t="shared" si="2"/>
        <v>0</v>
      </c>
      <c r="R34" s="19">
        <f t="shared" si="3"/>
        <v>0</v>
      </c>
      <c r="S34" s="19">
        <f t="shared" si="4"/>
        <v>0</v>
      </c>
      <c r="T34" s="19">
        <f t="shared" si="5"/>
        <v>0</v>
      </c>
      <c r="U34" s="19">
        <f t="shared" si="6"/>
        <v>0</v>
      </c>
      <c r="V34" s="19">
        <f t="shared" si="7"/>
        <v>0</v>
      </c>
      <c r="W34" s="19">
        <f t="shared" si="8"/>
        <v>0</v>
      </c>
      <c r="X34" s="19">
        <f t="shared" si="9"/>
        <v>0</v>
      </c>
      <c r="Y34" s="17">
        <f t="shared" si="10"/>
        <v>0</v>
      </c>
    </row>
    <row r="35" spans="1:25" x14ac:dyDescent="0.25">
      <c r="A35" s="18" t="str">
        <f>IF(OR(ISNUMBER('ENTERED ON'!M35), 'ENTERED ON'!M35=""), "M&amp;C / RESV/ OTHERS", 'ENTERED ON'!M35)</f>
        <v>M&amp;C / RESV/ OTHERS</v>
      </c>
      <c r="B35" s="18">
        <f>IF(ISTEXT(Table1[[#This Row],[ROOM TYPE]]), 1, 0)</f>
        <v>0</v>
      </c>
      <c r="C35" s="18">
        <f>IF(ISNUMBER('ENTERED ON'!L35), 0, 'ENTERED ON'!L35)</f>
        <v>0</v>
      </c>
      <c r="D35" s="18">
        <f>'ENTERED ON'!G35</f>
        <v>0</v>
      </c>
      <c r="E35" s="18">
        <f>IF(ISTEXT('ENTERED ON'!Q35), 1, 0)</f>
        <v>0</v>
      </c>
      <c r="F35" s="18">
        <f>IF(ISTEXT('ENTERED ON'!R34), 1, 0)</f>
        <v>0</v>
      </c>
      <c r="G35" s="18">
        <f>IFERROR(IF(ISTEXT('ENTERED ON'!P35), 0, 'ENTERED ON'!P35*1.1), 0)</f>
        <v>0</v>
      </c>
      <c r="H35" s="27">
        <f>IF(ISTEXT(G35), 0, Table1[[#This Row],[Amount]] / 'COMPANY PROD'!$V$33)</f>
        <v>0</v>
      </c>
      <c r="I35" s="27">
        <f>Table1[[#This Row],[NIGHTS]]/'COMPANY PROD'!$V$41</f>
        <v>0</v>
      </c>
      <c r="J35" s="24">
        <f>IFERROR(Table1[[#This Row],[Amount]]/Table1[[#This Row],[NIGHTS]],0)</f>
        <v>0</v>
      </c>
      <c r="K35" s="21">
        <f>IF(ISTEXT('ENTERED ON'!C35), 0, IFERROR('ENTERED ON'!C35, 0))</f>
        <v>0</v>
      </c>
      <c r="L35" s="21">
        <f>IF(ISTEXT('ENTERED ON'!D35), 0, IFERROR('ENTERED ON'!D35, 0))</f>
        <v>0</v>
      </c>
      <c r="M35" s="19">
        <f>Table1[[#This Row],[Check out ]]-Table1[[#This Row],[Check in ]]</f>
        <v>0</v>
      </c>
      <c r="N35" s="19"/>
      <c r="O35" s="19">
        <f t="shared" si="0"/>
        <v>0</v>
      </c>
      <c r="P35" s="19">
        <f t="shared" si="1"/>
        <v>0</v>
      </c>
      <c r="Q35" s="19">
        <f t="shared" si="2"/>
        <v>0</v>
      </c>
      <c r="R35" s="19">
        <f t="shared" si="3"/>
        <v>0</v>
      </c>
      <c r="S35" s="19">
        <f t="shared" si="4"/>
        <v>0</v>
      </c>
      <c r="T35" s="19">
        <f t="shared" si="5"/>
        <v>0</v>
      </c>
      <c r="U35" s="19">
        <f t="shared" si="6"/>
        <v>0</v>
      </c>
      <c r="V35" s="19">
        <f t="shared" si="7"/>
        <v>0</v>
      </c>
      <c r="W35" s="19">
        <f t="shared" si="8"/>
        <v>0</v>
      </c>
      <c r="X35" s="19">
        <f t="shared" si="9"/>
        <v>0</v>
      </c>
      <c r="Y35" s="17">
        <f t="shared" si="10"/>
        <v>0</v>
      </c>
    </row>
    <row r="36" spans="1:25" x14ac:dyDescent="0.25">
      <c r="A36" s="18" t="str">
        <f>IF(OR(ISNUMBER('ENTERED ON'!M36), 'ENTERED ON'!M36=""), "M&amp;C / RESV/ OTHERS", 'ENTERED ON'!M36)</f>
        <v>M&amp;C / RESV/ OTHERS</v>
      </c>
      <c r="B36" s="18">
        <f>IF(ISTEXT(Table1[[#This Row],[ROOM TYPE]]), 1, 0)</f>
        <v>0</v>
      </c>
      <c r="C36" s="18">
        <f>IF(ISNUMBER('ENTERED ON'!L36), 0, 'ENTERED ON'!L36)</f>
        <v>0</v>
      </c>
      <c r="D36" s="18">
        <f>'ENTERED ON'!G36</f>
        <v>0</v>
      </c>
      <c r="E36" s="18">
        <f>IF(ISTEXT('ENTERED ON'!Q36), 1, 0)</f>
        <v>0</v>
      </c>
      <c r="F36" s="18">
        <f>IF(ISTEXT('ENTERED ON'!R35), 1, 0)</f>
        <v>0</v>
      </c>
      <c r="G36" s="18">
        <f>IFERROR(IF(ISTEXT('ENTERED ON'!P36), 0, 'ENTERED ON'!P36*1.1), 0)</f>
        <v>0</v>
      </c>
      <c r="H36" s="27">
        <f>IF(ISTEXT(G36), 0, Table1[[#This Row],[Amount]] / 'COMPANY PROD'!$V$33)</f>
        <v>0</v>
      </c>
      <c r="I36" s="27">
        <f>Table1[[#This Row],[NIGHTS]]/'COMPANY PROD'!$V$41</f>
        <v>0</v>
      </c>
      <c r="J36" s="24">
        <f>IFERROR(Table1[[#This Row],[Amount]]/Table1[[#This Row],[NIGHTS]],0)</f>
        <v>0</v>
      </c>
      <c r="K36" s="21">
        <f>IF(ISTEXT('ENTERED ON'!C36), 0, IFERROR('ENTERED ON'!C36, 0))</f>
        <v>0</v>
      </c>
      <c r="L36" s="21">
        <f>IF(ISTEXT('ENTERED ON'!D36), 0, IFERROR('ENTERED ON'!D36, 0))</f>
        <v>0</v>
      </c>
      <c r="M36" s="19">
        <f>Table1[[#This Row],[Check out ]]-Table1[[#This Row],[Check in ]]</f>
        <v>0</v>
      </c>
      <c r="N36" s="19"/>
      <c r="O36" s="19">
        <f t="shared" si="0"/>
        <v>0</v>
      </c>
      <c r="P36" s="19">
        <f t="shared" si="1"/>
        <v>0</v>
      </c>
      <c r="Q36" s="19">
        <f t="shared" si="2"/>
        <v>0</v>
      </c>
      <c r="R36" s="19">
        <f t="shared" si="3"/>
        <v>0</v>
      </c>
      <c r="S36" s="19">
        <f t="shared" si="4"/>
        <v>0</v>
      </c>
      <c r="T36" s="19">
        <f t="shared" si="5"/>
        <v>0</v>
      </c>
      <c r="U36" s="19">
        <f t="shared" si="6"/>
        <v>0</v>
      </c>
      <c r="V36" s="19">
        <f t="shared" si="7"/>
        <v>0</v>
      </c>
      <c r="W36" s="19">
        <f t="shared" si="8"/>
        <v>0</v>
      </c>
      <c r="X36" s="19">
        <f t="shared" si="9"/>
        <v>0</v>
      </c>
      <c r="Y36" s="17">
        <f t="shared" si="10"/>
        <v>0</v>
      </c>
    </row>
    <row r="37" spans="1:25" x14ac:dyDescent="0.25">
      <c r="A37" s="18" t="str">
        <f>IF(OR(ISNUMBER('ENTERED ON'!M37), 'ENTERED ON'!M37=""), "M&amp;C / RESV/ OTHERS", 'ENTERED ON'!M37)</f>
        <v>M&amp;C / RESV/ OTHERS</v>
      </c>
      <c r="B37" s="18">
        <f>IF(ISTEXT(Table1[[#This Row],[ROOM TYPE]]), 1, 0)</f>
        <v>0</v>
      </c>
      <c r="C37" s="18">
        <f>IF(ISNUMBER('ENTERED ON'!L37), 0, 'ENTERED ON'!L37)</f>
        <v>0</v>
      </c>
      <c r="D37" s="18">
        <f>'ENTERED ON'!G37</f>
        <v>0</v>
      </c>
      <c r="E37" s="18">
        <f>IF(ISTEXT('ENTERED ON'!Q37), 1, 0)</f>
        <v>0</v>
      </c>
      <c r="F37" s="18">
        <f>IF(ISTEXT('ENTERED ON'!R36), 1, 0)</f>
        <v>0</v>
      </c>
      <c r="G37" s="18">
        <f>IFERROR(IF(ISTEXT('ENTERED ON'!P37), 0, 'ENTERED ON'!P37*1.1), 0)</f>
        <v>0</v>
      </c>
      <c r="H37" s="27">
        <f>IF(ISTEXT(G37), 0, Table1[[#This Row],[Amount]] / 'COMPANY PROD'!$V$33)</f>
        <v>0</v>
      </c>
      <c r="I37" s="27">
        <f>Table1[[#This Row],[NIGHTS]]/'COMPANY PROD'!$V$41</f>
        <v>0</v>
      </c>
      <c r="J37" s="24">
        <f>IFERROR(Table1[[#This Row],[Amount]]/Table1[[#This Row],[NIGHTS]],0)</f>
        <v>0</v>
      </c>
      <c r="K37" s="21">
        <f>IF(ISTEXT('ENTERED ON'!C37), 0, IFERROR('ENTERED ON'!C37, 0))</f>
        <v>0</v>
      </c>
      <c r="L37" s="21">
        <f>IF(ISTEXT('ENTERED ON'!D37), 0, IFERROR('ENTERED ON'!D37, 0))</f>
        <v>0</v>
      </c>
      <c r="M37" s="19">
        <f>Table1[[#This Row],[Check out ]]-Table1[[#This Row],[Check in ]]</f>
        <v>0</v>
      </c>
      <c r="N37" s="19"/>
      <c r="O37" s="19">
        <f t="shared" si="0"/>
        <v>0</v>
      </c>
      <c r="P37" s="19">
        <f t="shared" si="1"/>
        <v>0</v>
      </c>
      <c r="Q37" s="19">
        <f t="shared" si="2"/>
        <v>0</v>
      </c>
      <c r="R37" s="19">
        <f t="shared" si="3"/>
        <v>0</v>
      </c>
      <c r="S37" s="19">
        <f t="shared" si="4"/>
        <v>0</v>
      </c>
      <c r="T37" s="19">
        <f t="shared" si="5"/>
        <v>0</v>
      </c>
      <c r="U37" s="19">
        <f t="shared" si="6"/>
        <v>0</v>
      </c>
      <c r="V37" s="19">
        <f t="shared" si="7"/>
        <v>0</v>
      </c>
      <c r="W37" s="19">
        <f t="shared" si="8"/>
        <v>0</v>
      </c>
      <c r="X37" s="19">
        <f t="shared" si="9"/>
        <v>0</v>
      </c>
      <c r="Y37" s="17">
        <f t="shared" si="10"/>
        <v>0</v>
      </c>
    </row>
    <row r="38" spans="1:25" x14ac:dyDescent="0.25">
      <c r="A38" s="18" t="str">
        <f>IF(OR(ISNUMBER('ENTERED ON'!M38), 'ENTERED ON'!M38=""), "M&amp;C / RESV/ OTHERS", 'ENTERED ON'!M38)</f>
        <v>M&amp;C / RESV/ OTHERS</v>
      </c>
      <c r="B38" s="18">
        <f>IF(ISTEXT(Table1[[#This Row],[ROOM TYPE]]), 1, 0)</f>
        <v>0</v>
      </c>
      <c r="C38" s="18">
        <f>IF(ISNUMBER('ENTERED ON'!L38), 0, 'ENTERED ON'!L38)</f>
        <v>0</v>
      </c>
      <c r="D38" s="18">
        <f>'ENTERED ON'!G38</f>
        <v>0</v>
      </c>
      <c r="E38" s="18">
        <f>IF(ISTEXT('ENTERED ON'!Q38), 1, 0)</f>
        <v>0</v>
      </c>
      <c r="F38" s="18">
        <f>IF(ISTEXT('ENTERED ON'!R37), 1, 0)</f>
        <v>0</v>
      </c>
      <c r="G38" s="18">
        <f>IFERROR(IF(ISTEXT('ENTERED ON'!P38), 0, 'ENTERED ON'!P38*1.1), 0)</f>
        <v>0</v>
      </c>
      <c r="H38" s="27">
        <f>IF(ISTEXT(G38), 0, Table1[[#This Row],[Amount]] / 'COMPANY PROD'!$V$33)</f>
        <v>0</v>
      </c>
      <c r="I38" s="27">
        <f>Table1[[#This Row],[NIGHTS]]/'COMPANY PROD'!$V$41</f>
        <v>0</v>
      </c>
      <c r="J38" s="24">
        <f>IFERROR(Table1[[#This Row],[Amount]]/Table1[[#This Row],[NIGHTS]],0)</f>
        <v>0</v>
      </c>
      <c r="K38" s="21">
        <f>IF(ISTEXT('ENTERED ON'!C38), 0, IFERROR('ENTERED ON'!C38, 0))</f>
        <v>0</v>
      </c>
      <c r="L38" s="21">
        <f>IF(ISTEXT('ENTERED ON'!D38), 0, IFERROR('ENTERED ON'!D38, 0))</f>
        <v>0</v>
      </c>
      <c r="M38" s="19">
        <f>Table1[[#This Row],[Check out ]]-Table1[[#This Row],[Check in ]]</f>
        <v>0</v>
      </c>
      <c r="N38" s="19"/>
      <c r="O38" s="19">
        <f t="shared" si="0"/>
        <v>0</v>
      </c>
      <c r="P38" s="19">
        <f t="shared" si="1"/>
        <v>0</v>
      </c>
      <c r="Q38" s="19">
        <f t="shared" si="2"/>
        <v>0</v>
      </c>
      <c r="R38" s="19">
        <f t="shared" si="3"/>
        <v>0</v>
      </c>
      <c r="S38" s="19">
        <f t="shared" si="4"/>
        <v>0</v>
      </c>
      <c r="T38" s="19">
        <f t="shared" si="5"/>
        <v>0</v>
      </c>
      <c r="U38" s="19">
        <f t="shared" si="6"/>
        <v>0</v>
      </c>
      <c r="V38" s="19">
        <f t="shared" si="7"/>
        <v>0</v>
      </c>
      <c r="W38" s="19">
        <f t="shared" si="8"/>
        <v>0</v>
      </c>
      <c r="X38" s="19">
        <f t="shared" si="9"/>
        <v>0</v>
      </c>
      <c r="Y38" s="17">
        <f t="shared" si="10"/>
        <v>0</v>
      </c>
    </row>
    <row r="39" spans="1:25" x14ac:dyDescent="0.25">
      <c r="A39" s="18" t="str">
        <f>IF(OR(ISNUMBER('ENTERED ON'!M39), 'ENTERED ON'!M39=""), "M&amp;C / RESV/ OTHERS", 'ENTERED ON'!M39)</f>
        <v>M&amp;C / RESV/ OTHERS</v>
      </c>
      <c r="B39" s="18">
        <f>IF(ISTEXT(Table1[[#This Row],[ROOM TYPE]]), 1, 0)</f>
        <v>0</v>
      </c>
      <c r="C39" s="18">
        <f>IF(ISNUMBER('ENTERED ON'!L39), 0, 'ENTERED ON'!L39)</f>
        <v>0</v>
      </c>
      <c r="D39" s="18">
        <f>'ENTERED ON'!G39</f>
        <v>0</v>
      </c>
      <c r="E39" s="18">
        <f>IF(ISTEXT('ENTERED ON'!Q39), 1, 0)</f>
        <v>0</v>
      </c>
      <c r="F39" s="18">
        <f>IF(ISTEXT('ENTERED ON'!R38), 1, 0)</f>
        <v>0</v>
      </c>
      <c r="G39" s="18">
        <f>IFERROR(IF(ISTEXT('ENTERED ON'!P39), 0, 'ENTERED ON'!P39*1.1), 0)</f>
        <v>0</v>
      </c>
      <c r="H39" s="27">
        <f>IF(ISTEXT(G39), 0, Table1[[#This Row],[Amount]] / 'COMPANY PROD'!$V$33)</f>
        <v>0</v>
      </c>
      <c r="I39" s="27">
        <f>Table1[[#This Row],[NIGHTS]]/'COMPANY PROD'!$V$41</f>
        <v>0</v>
      </c>
      <c r="J39" s="24">
        <f>IFERROR(Table1[[#This Row],[Amount]]/Table1[[#This Row],[NIGHTS]],0)</f>
        <v>0</v>
      </c>
      <c r="K39" s="21">
        <f>IF(ISTEXT('ENTERED ON'!C39), 0, IFERROR('ENTERED ON'!C39, 0))</f>
        <v>0</v>
      </c>
      <c r="L39" s="21">
        <f>IF(ISTEXT('ENTERED ON'!D39), 0, IFERROR('ENTERED ON'!D39, 0))</f>
        <v>0</v>
      </c>
      <c r="M39" s="19">
        <f>Table1[[#This Row],[Check out ]]-Table1[[#This Row],[Check in ]]</f>
        <v>0</v>
      </c>
      <c r="N39" s="19"/>
      <c r="O39" s="19">
        <f t="shared" si="0"/>
        <v>0</v>
      </c>
      <c r="P39" s="19">
        <f t="shared" si="1"/>
        <v>0</v>
      </c>
      <c r="Q39" s="19">
        <f t="shared" si="2"/>
        <v>0</v>
      </c>
      <c r="R39" s="19">
        <f t="shared" si="3"/>
        <v>0</v>
      </c>
      <c r="S39" s="19">
        <f t="shared" si="4"/>
        <v>0</v>
      </c>
      <c r="T39" s="19">
        <f t="shared" si="5"/>
        <v>0</v>
      </c>
      <c r="U39" s="19">
        <f t="shared" si="6"/>
        <v>0</v>
      </c>
      <c r="V39" s="19">
        <f t="shared" si="7"/>
        <v>0</v>
      </c>
      <c r="W39" s="19">
        <f t="shared" si="8"/>
        <v>0</v>
      </c>
      <c r="X39" s="19">
        <f t="shared" si="9"/>
        <v>0</v>
      </c>
      <c r="Y39" s="17">
        <f t="shared" si="10"/>
        <v>0</v>
      </c>
    </row>
    <row r="40" spans="1:25" x14ac:dyDescent="0.25">
      <c r="A40" s="18" t="str">
        <f>IF(OR(ISNUMBER('ENTERED ON'!M40), 'ENTERED ON'!M40=""), "M&amp;C / RESV/ OTHERS", 'ENTERED ON'!M40)</f>
        <v>M&amp;C / RESV/ OTHERS</v>
      </c>
      <c r="B40" s="18">
        <f>IF(ISTEXT(Table1[[#This Row],[ROOM TYPE]]), 1, 0)</f>
        <v>0</v>
      </c>
      <c r="C40" s="18">
        <f>IF(ISNUMBER('ENTERED ON'!L40), 0, 'ENTERED ON'!L40)</f>
        <v>0</v>
      </c>
      <c r="D40" s="18">
        <f>'ENTERED ON'!G40</f>
        <v>0</v>
      </c>
      <c r="E40" s="18">
        <f>IF(ISTEXT('ENTERED ON'!Q40), 1, 0)</f>
        <v>0</v>
      </c>
      <c r="F40" s="18">
        <f>IF(ISTEXT('ENTERED ON'!R39), 1, 0)</f>
        <v>0</v>
      </c>
      <c r="G40" s="18">
        <f>IFERROR(IF(ISTEXT('ENTERED ON'!P40), 0, 'ENTERED ON'!P40*1.1), 0)</f>
        <v>0</v>
      </c>
      <c r="H40" s="27">
        <f>IF(ISTEXT(G40), 0, Table1[[#This Row],[Amount]] / 'COMPANY PROD'!$V$33)</f>
        <v>0</v>
      </c>
      <c r="I40" s="27">
        <f>Table1[[#This Row],[NIGHTS]]/'COMPANY PROD'!$V$41</f>
        <v>0</v>
      </c>
      <c r="J40" s="24">
        <f>IFERROR(Table1[[#This Row],[Amount]]/Table1[[#This Row],[NIGHTS]],0)</f>
        <v>0</v>
      </c>
      <c r="K40" s="21">
        <f>IF(ISTEXT('ENTERED ON'!C40), 0, IFERROR('ENTERED ON'!C40, 0))</f>
        <v>0</v>
      </c>
      <c r="L40" s="21">
        <f>IF(ISTEXT('ENTERED ON'!D40), 0, IFERROR('ENTERED ON'!D40, 0))</f>
        <v>0</v>
      </c>
      <c r="M40" s="19">
        <f>Table1[[#This Row],[Check out ]]-Table1[[#This Row],[Check in ]]</f>
        <v>0</v>
      </c>
      <c r="N40" s="19"/>
      <c r="O40" s="19">
        <f t="shared" si="0"/>
        <v>0</v>
      </c>
      <c r="P40" s="19">
        <f t="shared" si="1"/>
        <v>0</v>
      </c>
      <c r="Q40" s="19">
        <f t="shared" si="2"/>
        <v>0</v>
      </c>
      <c r="R40" s="19">
        <f t="shared" si="3"/>
        <v>0</v>
      </c>
      <c r="S40" s="19">
        <f t="shared" si="4"/>
        <v>0</v>
      </c>
      <c r="T40" s="19">
        <f t="shared" si="5"/>
        <v>0</v>
      </c>
      <c r="U40" s="19">
        <f t="shared" si="6"/>
        <v>0</v>
      </c>
      <c r="V40" s="19">
        <f t="shared" si="7"/>
        <v>0</v>
      </c>
      <c r="W40" s="19">
        <f t="shared" si="8"/>
        <v>0</v>
      </c>
      <c r="X40" s="19">
        <f t="shared" si="9"/>
        <v>0</v>
      </c>
      <c r="Y40" s="17">
        <f t="shared" si="10"/>
        <v>0</v>
      </c>
    </row>
    <row r="41" spans="1:25" x14ac:dyDescent="0.25">
      <c r="A41" s="18" t="str">
        <f>IF(OR(ISNUMBER('ENTERED ON'!M41), 'ENTERED ON'!M41=""), "M&amp;C / RESV/ OTHERS", 'ENTERED ON'!M41)</f>
        <v>M&amp;C / RESV/ OTHERS</v>
      </c>
      <c r="B41" s="18">
        <f>IF(ISTEXT(Table1[[#This Row],[ROOM TYPE]]), 1, 0)</f>
        <v>0</v>
      </c>
      <c r="C41" s="18">
        <f>IF(ISNUMBER('ENTERED ON'!L41), 0, 'ENTERED ON'!L41)</f>
        <v>0</v>
      </c>
      <c r="D41" s="18">
        <f>'ENTERED ON'!G41</f>
        <v>0</v>
      </c>
      <c r="E41" s="18">
        <f>IF(ISTEXT('ENTERED ON'!Q41), 1, 0)</f>
        <v>0</v>
      </c>
      <c r="F41" s="18">
        <f>IF(ISTEXT('ENTERED ON'!R40), 1, 0)</f>
        <v>0</v>
      </c>
      <c r="G41" s="18">
        <f>IFERROR(IF(ISTEXT('ENTERED ON'!P41), 0, 'ENTERED ON'!P41*1.1), 0)</f>
        <v>0</v>
      </c>
      <c r="H41" s="27">
        <f>IF(ISTEXT(G41), 0, Table1[[#This Row],[Amount]] / 'COMPANY PROD'!$V$33)</f>
        <v>0</v>
      </c>
      <c r="I41" s="27">
        <f>Table1[[#This Row],[NIGHTS]]/'COMPANY PROD'!$V$41</f>
        <v>0</v>
      </c>
      <c r="J41" s="24">
        <f>IFERROR(Table1[[#This Row],[Amount]]/Table1[[#This Row],[NIGHTS]],0)</f>
        <v>0</v>
      </c>
      <c r="K41" s="21">
        <f>IF(ISTEXT('ENTERED ON'!C41), 0, IFERROR('ENTERED ON'!C41, 0))</f>
        <v>0</v>
      </c>
      <c r="L41" s="21">
        <f>IF(ISTEXT('ENTERED ON'!D41), 0, IFERROR('ENTERED ON'!D41, 0))</f>
        <v>0</v>
      </c>
      <c r="M41" s="19">
        <f>Table1[[#This Row],[Check out ]]-Table1[[#This Row],[Check in ]]</f>
        <v>0</v>
      </c>
      <c r="N41" s="19"/>
      <c r="O41" s="19">
        <f t="shared" si="0"/>
        <v>0</v>
      </c>
      <c r="P41" s="19">
        <f t="shared" si="1"/>
        <v>0</v>
      </c>
      <c r="Q41" s="19">
        <f t="shared" si="2"/>
        <v>0</v>
      </c>
      <c r="R41" s="19">
        <f t="shared" si="3"/>
        <v>0</v>
      </c>
      <c r="S41" s="19">
        <f t="shared" si="4"/>
        <v>0</v>
      </c>
      <c r="T41" s="19">
        <f t="shared" si="5"/>
        <v>0</v>
      </c>
      <c r="U41" s="19">
        <f t="shared" si="6"/>
        <v>0</v>
      </c>
      <c r="V41" s="19">
        <f t="shared" si="7"/>
        <v>0</v>
      </c>
      <c r="W41" s="19">
        <f t="shared" si="8"/>
        <v>0</v>
      </c>
      <c r="X41" s="19">
        <f t="shared" si="9"/>
        <v>0</v>
      </c>
      <c r="Y41" s="17">
        <f t="shared" si="10"/>
        <v>0</v>
      </c>
    </row>
    <row r="42" spans="1:25" x14ac:dyDescent="0.25">
      <c r="A42" s="18" t="str">
        <f>IF(OR(ISNUMBER('ENTERED ON'!M42), 'ENTERED ON'!M42=""), "M&amp;C / RESV/ OTHERS", 'ENTERED ON'!M42)</f>
        <v>M&amp;C / RESV/ OTHERS</v>
      </c>
      <c r="B42" s="18">
        <f>IF(ISTEXT(Table1[[#This Row],[ROOM TYPE]]), 1, 0)</f>
        <v>0</v>
      </c>
      <c r="C42" s="18">
        <f>IF(ISNUMBER('ENTERED ON'!L42), 0, 'ENTERED ON'!L42)</f>
        <v>0</v>
      </c>
      <c r="D42" s="18">
        <f>'ENTERED ON'!G42</f>
        <v>0</v>
      </c>
      <c r="E42" s="18">
        <f>IF(ISTEXT('ENTERED ON'!Q42), 1, 0)</f>
        <v>0</v>
      </c>
      <c r="F42" s="18">
        <f>IF(ISTEXT('ENTERED ON'!R41), 1, 0)</f>
        <v>0</v>
      </c>
      <c r="G42" s="18">
        <f>IFERROR(IF(ISTEXT('ENTERED ON'!P42), 0, 'ENTERED ON'!P42*1.1), 0)</f>
        <v>0</v>
      </c>
      <c r="H42" s="27">
        <f>IF(ISTEXT(G42), 0, Table1[[#This Row],[Amount]] / 'COMPANY PROD'!$V$33)</f>
        <v>0</v>
      </c>
      <c r="I42" s="27">
        <f>Table1[[#This Row],[NIGHTS]]/'COMPANY PROD'!$V$41</f>
        <v>0</v>
      </c>
      <c r="J42" s="24">
        <f>IFERROR(Table1[[#This Row],[Amount]]/Table1[[#This Row],[NIGHTS]],0)</f>
        <v>0</v>
      </c>
      <c r="K42" s="21">
        <f>IF(ISTEXT('ENTERED ON'!C42), 0, IFERROR('ENTERED ON'!C42, 0))</f>
        <v>0</v>
      </c>
      <c r="L42" s="21">
        <f>IF(ISTEXT('ENTERED ON'!D42), 0, IFERROR('ENTERED ON'!D42, 0))</f>
        <v>0</v>
      </c>
      <c r="M42" s="19">
        <f>Table1[[#This Row],[Check out ]]-Table1[[#This Row],[Check in ]]</f>
        <v>0</v>
      </c>
      <c r="N42" s="19"/>
      <c r="O42" s="19">
        <f t="shared" si="0"/>
        <v>0</v>
      </c>
      <c r="P42" s="19">
        <f t="shared" si="1"/>
        <v>0</v>
      </c>
      <c r="Q42" s="19">
        <f t="shared" si="2"/>
        <v>0</v>
      </c>
      <c r="R42" s="19">
        <f t="shared" si="3"/>
        <v>0</v>
      </c>
      <c r="S42" s="19">
        <f t="shared" si="4"/>
        <v>0</v>
      </c>
      <c r="T42" s="19">
        <f t="shared" si="5"/>
        <v>0</v>
      </c>
      <c r="U42" s="19">
        <f t="shared" si="6"/>
        <v>0</v>
      </c>
      <c r="V42" s="19">
        <f t="shared" si="7"/>
        <v>0</v>
      </c>
      <c r="W42" s="19">
        <f t="shared" si="8"/>
        <v>0</v>
      </c>
      <c r="X42" s="19">
        <f t="shared" si="9"/>
        <v>0</v>
      </c>
      <c r="Y42" s="17">
        <f t="shared" si="10"/>
        <v>0</v>
      </c>
    </row>
    <row r="43" spans="1:25" x14ac:dyDescent="0.25">
      <c r="A43" s="18" t="str">
        <f>IF(OR(ISNUMBER('ENTERED ON'!M43), 'ENTERED ON'!M43=""), "M&amp;C / RESV/ OTHERS", 'ENTERED ON'!M43)</f>
        <v>M&amp;C / RESV/ OTHERS</v>
      </c>
      <c r="B43" s="18">
        <f>IF(ISTEXT(Table1[[#This Row],[ROOM TYPE]]), 1, 0)</f>
        <v>0</v>
      </c>
      <c r="C43" s="18">
        <f>IF(ISNUMBER('ENTERED ON'!L43), 0, 'ENTERED ON'!L43)</f>
        <v>0</v>
      </c>
      <c r="D43" s="18">
        <f>'ENTERED ON'!G43</f>
        <v>0</v>
      </c>
      <c r="E43" s="18">
        <f>IF(ISTEXT('ENTERED ON'!Q43), 1, 0)</f>
        <v>0</v>
      </c>
      <c r="F43" s="18">
        <f>IF(ISTEXT('ENTERED ON'!R42), 1, 0)</f>
        <v>0</v>
      </c>
      <c r="G43" s="18">
        <f>IFERROR(IF(ISTEXT('ENTERED ON'!P43), 0, 'ENTERED ON'!P43*1.1), 0)</f>
        <v>0</v>
      </c>
      <c r="H43" s="27">
        <f>IF(ISTEXT(G43), 0, Table1[[#This Row],[Amount]] / 'COMPANY PROD'!$V$33)</f>
        <v>0</v>
      </c>
      <c r="I43" s="27">
        <f>Table1[[#This Row],[NIGHTS]]/'COMPANY PROD'!$V$41</f>
        <v>0</v>
      </c>
      <c r="J43" s="24">
        <f>IFERROR(Table1[[#This Row],[Amount]]/Table1[[#This Row],[NIGHTS]],0)</f>
        <v>0</v>
      </c>
      <c r="K43" s="21">
        <f>IF(ISTEXT('ENTERED ON'!C43), 0, IFERROR('ENTERED ON'!C43, 0))</f>
        <v>0</v>
      </c>
      <c r="L43" s="21">
        <f>IF(ISTEXT('ENTERED ON'!D43), 0, IFERROR('ENTERED ON'!D43, 0))</f>
        <v>0</v>
      </c>
      <c r="M43" s="19">
        <f>Table1[[#This Row],[Check out ]]-Table1[[#This Row],[Check in ]]</f>
        <v>0</v>
      </c>
      <c r="N43" s="19"/>
      <c r="O43" s="19">
        <f t="shared" si="0"/>
        <v>0</v>
      </c>
      <c r="P43" s="19">
        <f t="shared" si="1"/>
        <v>0</v>
      </c>
      <c r="Q43" s="19">
        <f t="shared" si="2"/>
        <v>0</v>
      </c>
      <c r="R43" s="19">
        <f t="shared" si="3"/>
        <v>0</v>
      </c>
      <c r="S43" s="19">
        <f t="shared" si="4"/>
        <v>0</v>
      </c>
      <c r="T43" s="19">
        <f t="shared" si="5"/>
        <v>0</v>
      </c>
      <c r="U43" s="19">
        <f t="shared" si="6"/>
        <v>0</v>
      </c>
      <c r="V43" s="19">
        <f t="shared" si="7"/>
        <v>0</v>
      </c>
      <c r="W43" s="19">
        <f t="shared" si="8"/>
        <v>0</v>
      </c>
      <c r="X43" s="19">
        <f t="shared" si="9"/>
        <v>0</v>
      </c>
      <c r="Y43" s="17">
        <f t="shared" si="10"/>
        <v>0</v>
      </c>
    </row>
    <row r="44" spans="1:25" x14ac:dyDescent="0.25">
      <c r="A44" s="18" t="str">
        <f>IF(OR(ISNUMBER('ENTERED ON'!M44), 'ENTERED ON'!M44=""), "M&amp;C / RESV/ OTHERS", 'ENTERED ON'!M44)</f>
        <v>M&amp;C / RESV/ OTHERS</v>
      </c>
      <c r="B44" s="18">
        <f>IF(ISTEXT(Table1[[#This Row],[ROOM TYPE]]), 1, 0)</f>
        <v>0</v>
      </c>
      <c r="C44" s="18">
        <f>IF(ISNUMBER('ENTERED ON'!L44), 0, 'ENTERED ON'!L44)</f>
        <v>0</v>
      </c>
      <c r="D44" s="18">
        <f>'ENTERED ON'!G44</f>
        <v>0</v>
      </c>
      <c r="E44" s="18">
        <f>IF(ISTEXT('ENTERED ON'!Q44), 1, 0)</f>
        <v>0</v>
      </c>
      <c r="F44" s="18">
        <f>IF(ISTEXT('ENTERED ON'!R43), 1, 0)</f>
        <v>0</v>
      </c>
      <c r="G44" s="18">
        <f>IFERROR(IF(ISTEXT('ENTERED ON'!P44), 0, 'ENTERED ON'!P44*1.1), 0)</f>
        <v>0</v>
      </c>
      <c r="H44" s="27">
        <f>IF(ISTEXT(G44), 0, Table1[[#This Row],[Amount]] / 'COMPANY PROD'!$V$33)</f>
        <v>0</v>
      </c>
      <c r="I44" s="27">
        <f>Table1[[#This Row],[NIGHTS]]/'COMPANY PROD'!$V$41</f>
        <v>0</v>
      </c>
      <c r="J44" s="24">
        <f>IFERROR(Table1[[#This Row],[Amount]]/Table1[[#This Row],[NIGHTS]],0)</f>
        <v>0</v>
      </c>
      <c r="K44" s="21">
        <f>IF(ISTEXT('ENTERED ON'!C44), 0, IFERROR('ENTERED ON'!C44, 0))</f>
        <v>0</v>
      </c>
      <c r="L44" s="21">
        <f>IF(ISTEXT('ENTERED ON'!D44), 0, IFERROR('ENTERED ON'!D44, 0))</f>
        <v>0</v>
      </c>
      <c r="M44" s="19">
        <f>Table1[[#This Row],[Check out ]]-Table1[[#This Row],[Check in ]]</f>
        <v>0</v>
      </c>
      <c r="N44" s="19"/>
      <c r="O44" s="19">
        <f t="shared" si="0"/>
        <v>0</v>
      </c>
      <c r="P44" s="19">
        <f t="shared" si="1"/>
        <v>0</v>
      </c>
      <c r="Q44" s="19">
        <f t="shared" si="2"/>
        <v>0</v>
      </c>
      <c r="R44" s="19">
        <f t="shared" si="3"/>
        <v>0</v>
      </c>
      <c r="S44" s="19">
        <f t="shared" si="4"/>
        <v>0</v>
      </c>
      <c r="T44" s="19">
        <f t="shared" si="5"/>
        <v>0</v>
      </c>
      <c r="U44" s="19">
        <f t="shared" si="6"/>
        <v>0</v>
      </c>
      <c r="V44" s="19">
        <f t="shared" si="7"/>
        <v>0</v>
      </c>
      <c r="W44" s="19">
        <f t="shared" si="8"/>
        <v>0</v>
      </c>
      <c r="X44" s="19">
        <f t="shared" si="9"/>
        <v>0</v>
      </c>
      <c r="Y44" s="17">
        <f t="shared" si="10"/>
        <v>0</v>
      </c>
    </row>
    <row r="45" spans="1:25" x14ac:dyDescent="0.25">
      <c r="A45" s="18" t="str">
        <f>IF(OR(ISNUMBER('ENTERED ON'!M45), 'ENTERED ON'!M45=""), "M&amp;C / RESV/ OTHERS", 'ENTERED ON'!M45)</f>
        <v>M&amp;C / RESV/ OTHERS</v>
      </c>
      <c r="B45" s="18">
        <f>IF(ISTEXT(Table1[[#This Row],[ROOM TYPE]]), 1, 0)</f>
        <v>0</v>
      </c>
      <c r="C45" s="18">
        <f>IF(ISNUMBER('ENTERED ON'!L45), 0, 'ENTERED ON'!L45)</f>
        <v>0</v>
      </c>
      <c r="D45" s="18">
        <f>'ENTERED ON'!G45</f>
        <v>0</v>
      </c>
      <c r="E45" s="18">
        <f>IF(ISTEXT('ENTERED ON'!Q45), 1, 0)</f>
        <v>0</v>
      </c>
      <c r="F45" s="18">
        <f>IF(ISTEXT('ENTERED ON'!R44), 1, 0)</f>
        <v>0</v>
      </c>
      <c r="G45" s="18">
        <f>IFERROR(IF(ISTEXT('ENTERED ON'!P45), 0, 'ENTERED ON'!P45*1.1), 0)</f>
        <v>0</v>
      </c>
      <c r="H45" s="27">
        <f>IF(ISTEXT(G45), 0, Table1[[#This Row],[Amount]] / 'COMPANY PROD'!$V$33)</f>
        <v>0</v>
      </c>
      <c r="I45" s="27">
        <f>Table1[[#This Row],[NIGHTS]]/'COMPANY PROD'!$V$41</f>
        <v>0</v>
      </c>
      <c r="J45" s="24">
        <f>IFERROR(Table1[[#This Row],[Amount]]/Table1[[#This Row],[NIGHTS]],0)</f>
        <v>0</v>
      </c>
      <c r="K45" s="21">
        <f>IF(ISTEXT('ENTERED ON'!C45), 0, IFERROR('ENTERED ON'!C45, 0))</f>
        <v>0</v>
      </c>
      <c r="L45" s="21">
        <f>IF(ISTEXT('ENTERED ON'!D45), 0, IFERROR('ENTERED ON'!D45, 0))</f>
        <v>0</v>
      </c>
      <c r="M45" s="19">
        <f>Table1[[#This Row],[Check out ]]-Table1[[#This Row],[Check in ]]</f>
        <v>0</v>
      </c>
      <c r="N45" s="19"/>
      <c r="O45" s="19">
        <f t="shared" si="0"/>
        <v>0</v>
      </c>
      <c r="P45" s="19">
        <f t="shared" si="1"/>
        <v>0</v>
      </c>
      <c r="Q45" s="19">
        <f t="shared" si="2"/>
        <v>0</v>
      </c>
      <c r="R45" s="19">
        <f t="shared" si="3"/>
        <v>0</v>
      </c>
      <c r="S45" s="19">
        <f t="shared" si="4"/>
        <v>0</v>
      </c>
      <c r="T45" s="19">
        <f t="shared" si="5"/>
        <v>0</v>
      </c>
      <c r="U45" s="19">
        <f t="shared" si="6"/>
        <v>0</v>
      </c>
      <c r="V45" s="19">
        <f t="shared" si="7"/>
        <v>0</v>
      </c>
      <c r="W45" s="19">
        <f t="shared" si="8"/>
        <v>0</v>
      </c>
      <c r="X45" s="19">
        <f t="shared" si="9"/>
        <v>0</v>
      </c>
      <c r="Y45" s="17">
        <f t="shared" si="10"/>
        <v>0</v>
      </c>
    </row>
    <row r="46" spans="1:25" x14ac:dyDescent="0.25">
      <c r="A46" s="18" t="str">
        <f>IF(OR(ISNUMBER('ENTERED ON'!M46), 'ENTERED ON'!M46=""), "M&amp;C / RESV/ OTHERS", 'ENTERED ON'!M46)</f>
        <v>M&amp;C / RESV/ OTHERS</v>
      </c>
      <c r="B46" s="18">
        <f>IF(ISTEXT(Table1[[#This Row],[ROOM TYPE]]), 1, 0)</f>
        <v>0</v>
      </c>
      <c r="C46" s="18">
        <f>IF(ISNUMBER('ENTERED ON'!L46), 0, 'ENTERED ON'!L46)</f>
        <v>0</v>
      </c>
      <c r="D46" s="18">
        <f>'ENTERED ON'!G46</f>
        <v>0</v>
      </c>
      <c r="E46" s="18">
        <f>IF(ISTEXT('ENTERED ON'!Q46), 1, 0)</f>
        <v>0</v>
      </c>
      <c r="F46" s="18">
        <f>IF(ISTEXT('ENTERED ON'!R45), 1, 0)</f>
        <v>0</v>
      </c>
      <c r="G46" s="18">
        <f>IFERROR(IF(ISTEXT('ENTERED ON'!P46), 0, 'ENTERED ON'!P46*1.1), 0)</f>
        <v>0</v>
      </c>
      <c r="H46" s="27">
        <f>IF(ISTEXT(G46), 0, Table1[[#This Row],[Amount]] / 'COMPANY PROD'!$V$33)</f>
        <v>0</v>
      </c>
      <c r="I46" s="27">
        <f>Table1[[#This Row],[NIGHTS]]/'COMPANY PROD'!$V$41</f>
        <v>0</v>
      </c>
      <c r="J46" s="24">
        <f>IFERROR(Table1[[#This Row],[Amount]]/Table1[[#This Row],[NIGHTS]],0)</f>
        <v>0</v>
      </c>
      <c r="K46" s="21">
        <f>IF(ISTEXT('ENTERED ON'!C46), 0, IFERROR('ENTERED ON'!C46, 0))</f>
        <v>0</v>
      </c>
      <c r="L46" s="21">
        <f>IF(ISTEXT('ENTERED ON'!D46), 0, IFERROR('ENTERED ON'!D46, 0))</f>
        <v>0</v>
      </c>
      <c r="M46" s="19">
        <f>Table1[[#This Row],[Check out ]]-Table1[[#This Row],[Check in ]]</f>
        <v>0</v>
      </c>
      <c r="N46" s="19"/>
      <c r="O46" s="19">
        <f t="shared" si="0"/>
        <v>0</v>
      </c>
      <c r="P46" s="19">
        <f t="shared" si="1"/>
        <v>0</v>
      </c>
      <c r="Q46" s="19">
        <f t="shared" si="2"/>
        <v>0</v>
      </c>
      <c r="R46" s="19">
        <f t="shared" si="3"/>
        <v>0</v>
      </c>
      <c r="S46" s="19">
        <f t="shared" si="4"/>
        <v>0</v>
      </c>
      <c r="T46" s="19">
        <f t="shared" si="5"/>
        <v>0</v>
      </c>
      <c r="U46" s="19">
        <f t="shared" si="6"/>
        <v>0</v>
      </c>
      <c r="V46" s="19">
        <f t="shared" si="7"/>
        <v>0</v>
      </c>
      <c r="W46" s="19">
        <f t="shared" si="8"/>
        <v>0</v>
      </c>
      <c r="X46" s="19">
        <f t="shared" si="9"/>
        <v>0</v>
      </c>
      <c r="Y46" s="17">
        <f t="shared" si="10"/>
        <v>0</v>
      </c>
    </row>
    <row r="47" spans="1:25" x14ac:dyDescent="0.25">
      <c r="A47" s="18" t="str">
        <f>IF(OR(ISNUMBER('ENTERED ON'!M47), 'ENTERED ON'!M47=""), "M&amp;C / RESV/ OTHERS", 'ENTERED ON'!M47)</f>
        <v>M&amp;C / RESV/ OTHERS</v>
      </c>
      <c r="B47" s="18">
        <f>IF(ISTEXT(Table1[[#This Row],[ROOM TYPE]]), 1, 0)</f>
        <v>0</v>
      </c>
      <c r="C47" s="18">
        <f>IF(ISNUMBER('ENTERED ON'!L47), 0, 'ENTERED ON'!L47)</f>
        <v>0</v>
      </c>
      <c r="D47" s="18">
        <f>'ENTERED ON'!G47</f>
        <v>0</v>
      </c>
      <c r="E47" s="18">
        <f>IF(ISTEXT('ENTERED ON'!Q47), 1, 0)</f>
        <v>0</v>
      </c>
      <c r="F47" s="18">
        <f>IF(ISTEXT('ENTERED ON'!R46), 1, 0)</f>
        <v>0</v>
      </c>
      <c r="G47" s="18">
        <f>IFERROR(IF(ISTEXT('ENTERED ON'!P47), 0, 'ENTERED ON'!P47*1.1), 0)</f>
        <v>0</v>
      </c>
      <c r="H47" s="27">
        <f>IF(ISTEXT(G47), 0, Table1[[#This Row],[Amount]] / 'COMPANY PROD'!$V$33)</f>
        <v>0</v>
      </c>
      <c r="I47" s="27">
        <f>Table1[[#This Row],[NIGHTS]]/'COMPANY PROD'!$V$41</f>
        <v>0</v>
      </c>
      <c r="J47" s="24">
        <f>IFERROR(Table1[[#This Row],[Amount]]/Table1[[#This Row],[NIGHTS]],0)</f>
        <v>0</v>
      </c>
      <c r="K47" s="21">
        <f>IF(ISTEXT('ENTERED ON'!C47), 0, IFERROR('ENTERED ON'!C47, 0))</f>
        <v>0</v>
      </c>
      <c r="L47" s="21">
        <f>IF(ISTEXT('ENTERED ON'!D47), 0, IFERROR('ENTERED ON'!D47, 0))</f>
        <v>0</v>
      </c>
      <c r="M47" s="19">
        <f>Table1[[#This Row],[Check out ]]-Table1[[#This Row],[Check in ]]</f>
        <v>0</v>
      </c>
      <c r="N47" s="19"/>
      <c r="O47" s="19">
        <f t="shared" si="0"/>
        <v>0</v>
      </c>
      <c r="P47" s="19">
        <f t="shared" si="1"/>
        <v>0</v>
      </c>
      <c r="Q47" s="19">
        <f t="shared" si="2"/>
        <v>0</v>
      </c>
      <c r="R47" s="19">
        <f t="shared" si="3"/>
        <v>0</v>
      </c>
      <c r="S47" s="19">
        <f t="shared" si="4"/>
        <v>0</v>
      </c>
      <c r="T47" s="19">
        <f t="shared" si="5"/>
        <v>0</v>
      </c>
      <c r="U47" s="19">
        <f t="shared" si="6"/>
        <v>0</v>
      </c>
      <c r="V47" s="19">
        <f t="shared" si="7"/>
        <v>0</v>
      </c>
      <c r="W47" s="19">
        <f t="shared" si="8"/>
        <v>0</v>
      </c>
      <c r="X47" s="19">
        <f t="shared" si="9"/>
        <v>0</v>
      </c>
      <c r="Y47" s="17">
        <f t="shared" si="10"/>
        <v>0</v>
      </c>
    </row>
    <row r="48" spans="1:25" x14ac:dyDescent="0.25">
      <c r="A48" s="18" t="str">
        <f>IF(OR(ISNUMBER('ENTERED ON'!M48), 'ENTERED ON'!M48=""), "M&amp;C / RESV/ OTHERS", 'ENTERED ON'!M48)</f>
        <v>M&amp;C / RESV/ OTHERS</v>
      </c>
      <c r="B48" s="18">
        <f>IF(ISTEXT(Table1[[#This Row],[ROOM TYPE]]), 1, 0)</f>
        <v>0</v>
      </c>
      <c r="C48" s="18">
        <f>IF(ISNUMBER('ENTERED ON'!L48), 0, 'ENTERED ON'!L48)</f>
        <v>0</v>
      </c>
      <c r="D48" s="18">
        <f>'ENTERED ON'!G48</f>
        <v>0</v>
      </c>
      <c r="E48" s="18">
        <f>IF(ISTEXT('ENTERED ON'!Q48), 1, 0)</f>
        <v>0</v>
      </c>
      <c r="F48" s="18">
        <f>IF(ISTEXT('ENTERED ON'!R47), 1, 0)</f>
        <v>0</v>
      </c>
      <c r="G48" s="18">
        <f>IFERROR(IF(ISTEXT('ENTERED ON'!P48), 0, 'ENTERED ON'!P48*1.1), 0)</f>
        <v>0</v>
      </c>
      <c r="H48" s="27">
        <f>IF(ISTEXT(G48), 0, Table1[[#This Row],[Amount]] / 'COMPANY PROD'!$V$33)</f>
        <v>0</v>
      </c>
      <c r="I48" s="27">
        <f>Table1[[#This Row],[NIGHTS]]/'COMPANY PROD'!$V$41</f>
        <v>0</v>
      </c>
      <c r="J48" s="24">
        <f>IFERROR(Table1[[#This Row],[Amount]]/Table1[[#This Row],[NIGHTS]],0)</f>
        <v>0</v>
      </c>
      <c r="K48" s="21">
        <f>IF(ISTEXT('ENTERED ON'!C48), 0, IFERROR('ENTERED ON'!C48, 0))</f>
        <v>0</v>
      </c>
      <c r="L48" s="21">
        <f>IF(ISTEXT('ENTERED ON'!D48), 0, IFERROR('ENTERED ON'!D48, 0))</f>
        <v>0</v>
      </c>
      <c r="M48" s="19">
        <f>Table1[[#This Row],[Check out ]]-Table1[[#This Row],[Check in ]]</f>
        <v>0</v>
      </c>
      <c r="N48" s="19"/>
      <c r="O48" s="19">
        <f t="shared" si="0"/>
        <v>0</v>
      </c>
      <c r="P48" s="19">
        <f t="shared" si="1"/>
        <v>0</v>
      </c>
      <c r="Q48" s="19">
        <f t="shared" si="2"/>
        <v>0</v>
      </c>
      <c r="R48" s="19">
        <f t="shared" si="3"/>
        <v>0</v>
      </c>
      <c r="S48" s="19">
        <f t="shared" si="4"/>
        <v>0</v>
      </c>
      <c r="T48" s="19">
        <f t="shared" si="5"/>
        <v>0</v>
      </c>
      <c r="U48" s="19">
        <f t="shared" si="6"/>
        <v>0</v>
      </c>
      <c r="V48" s="19">
        <f t="shared" si="7"/>
        <v>0</v>
      </c>
      <c r="W48" s="19">
        <f t="shared" si="8"/>
        <v>0</v>
      </c>
      <c r="X48" s="19">
        <f t="shared" si="9"/>
        <v>0</v>
      </c>
      <c r="Y48" s="17">
        <f t="shared" si="10"/>
        <v>0</v>
      </c>
    </row>
    <row r="49" spans="1:25" x14ac:dyDescent="0.25">
      <c r="A49" s="18" t="str">
        <f>IF(OR(ISNUMBER('ENTERED ON'!M49), 'ENTERED ON'!M49=""), "M&amp;C / RESV/ OTHERS", 'ENTERED ON'!M49)</f>
        <v>M&amp;C / RESV/ OTHERS</v>
      </c>
      <c r="B49" s="18">
        <f>IF(ISTEXT(Table1[[#This Row],[ROOM TYPE]]), 1, 0)</f>
        <v>0</v>
      </c>
      <c r="C49" s="18">
        <f>IF(ISNUMBER('ENTERED ON'!L49), 0, 'ENTERED ON'!L49)</f>
        <v>0</v>
      </c>
      <c r="D49" s="18">
        <f>'ENTERED ON'!G49</f>
        <v>0</v>
      </c>
      <c r="E49" s="18">
        <f>IF(ISTEXT('ENTERED ON'!Q49), 1, 0)</f>
        <v>0</v>
      </c>
      <c r="F49" s="18">
        <f>IF(ISTEXT('ENTERED ON'!R48), 1, 0)</f>
        <v>0</v>
      </c>
      <c r="G49" s="18">
        <f>IFERROR(IF(ISTEXT('ENTERED ON'!P49), 0, 'ENTERED ON'!P49*1.1), 0)</f>
        <v>0</v>
      </c>
      <c r="H49" s="27">
        <f>IF(ISTEXT(G49), 0, Table1[[#This Row],[Amount]] / 'COMPANY PROD'!$V$33)</f>
        <v>0</v>
      </c>
      <c r="I49" s="27">
        <f>Table1[[#This Row],[NIGHTS]]/'COMPANY PROD'!$V$41</f>
        <v>0</v>
      </c>
      <c r="J49" s="24">
        <f>IFERROR(Table1[[#This Row],[Amount]]/Table1[[#This Row],[NIGHTS]],0)</f>
        <v>0</v>
      </c>
      <c r="K49" s="21">
        <f>IF(ISTEXT('ENTERED ON'!C49), 0, IFERROR('ENTERED ON'!C49, 0))</f>
        <v>0</v>
      </c>
      <c r="L49" s="21">
        <f>IF(ISTEXT('ENTERED ON'!D49), 0, IFERROR('ENTERED ON'!D49, 0))</f>
        <v>0</v>
      </c>
      <c r="M49" s="19">
        <f>Table1[[#This Row],[Check out ]]-Table1[[#This Row],[Check in ]]</f>
        <v>0</v>
      </c>
      <c r="N49" s="19"/>
      <c r="O49" s="19">
        <f t="shared" si="0"/>
        <v>0</v>
      </c>
      <c r="P49" s="19">
        <f t="shared" si="1"/>
        <v>0</v>
      </c>
      <c r="Q49" s="19">
        <f t="shared" si="2"/>
        <v>0</v>
      </c>
      <c r="R49" s="19">
        <f t="shared" si="3"/>
        <v>0</v>
      </c>
      <c r="S49" s="19">
        <f t="shared" si="4"/>
        <v>0</v>
      </c>
      <c r="T49" s="19">
        <f t="shared" si="5"/>
        <v>0</v>
      </c>
      <c r="U49" s="19">
        <f t="shared" si="6"/>
        <v>0</v>
      </c>
      <c r="V49" s="19">
        <f t="shared" si="7"/>
        <v>0</v>
      </c>
      <c r="W49" s="19">
        <f t="shared" si="8"/>
        <v>0</v>
      </c>
      <c r="X49" s="19">
        <f t="shared" si="9"/>
        <v>0</v>
      </c>
      <c r="Y49" s="17">
        <f t="shared" si="10"/>
        <v>0</v>
      </c>
    </row>
    <row r="50" spans="1:25" x14ac:dyDescent="0.25">
      <c r="A50" s="18" t="str">
        <f>IF(OR(ISNUMBER('ENTERED ON'!M50), 'ENTERED ON'!M50=""), "M&amp;C / RESV/ OTHERS", 'ENTERED ON'!M50)</f>
        <v>M&amp;C / RESV/ OTHERS</v>
      </c>
      <c r="B50" s="18">
        <f>IF(ISTEXT(Table1[[#This Row],[ROOM TYPE]]), 1, 0)</f>
        <v>0</v>
      </c>
      <c r="C50" s="18">
        <f>IF(ISNUMBER('ENTERED ON'!L50), 0, 'ENTERED ON'!L50)</f>
        <v>0</v>
      </c>
      <c r="D50" s="18">
        <f>'ENTERED ON'!G50</f>
        <v>0</v>
      </c>
      <c r="E50" s="18">
        <f>IF(ISTEXT('ENTERED ON'!Q50), 1, 0)</f>
        <v>0</v>
      </c>
      <c r="F50" s="18">
        <f>IF(ISTEXT('ENTERED ON'!R49), 1, 0)</f>
        <v>0</v>
      </c>
      <c r="G50" s="18">
        <f>IFERROR(IF(ISTEXT('ENTERED ON'!P50), 0, 'ENTERED ON'!P50*1.1), 0)</f>
        <v>0</v>
      </c>
      <c r="H50" s="27">
        <f>IF(ISTEXT(G50), 0, Table1[[#This Row],[Amount]] / 'COMPANY PROD'!$V$33)</f>
        <v>0</v>
      </c>
      <c r="I50" s="27">
        <f>Table1[[#This Row],[NIGHTS]]/'COMPANY PROD'!$V$41</f>
        <v>0</v>
      </c>
      <c r="J50" s="24">
        <f>IFERROR(Table1[[#This Row],[Amount]]/Table1[[#This Row],[NIGHTS]],0)</f>
        <v>0</v>
      </c>
      <c r="K50" s="21">
        <f>IF(ISTEXT('ENTERED ON'!C50), 0, IFERROR('ENTERED ON'!C50, 0))</f>
        <v>0</v>
      </c>
      <c r="L50" s="21">
        <f>IF(ISTEXT('ENTERED ON'!D50), 0, IFERROR('ENTERED ON'!D50, 0))</f>
        <v>0</v>
      </c>
      <c r="M50" s="19">
        <f>Table1[[#This Row],[Check out ]]-Table1[[#This Row],[Check in ]]</f>
        <v>0</v>
      </c>
      <c r="N50" s="19"/>
      <c r="O50" s="19">
        <f t="shared" si="0"/>
        <v>0</v>
      </c>
      <c r="P50" s="19">
        <f t="shared" si="1"/>
        <v>0</v>
      </c>
      <c r="Q50" s="19">
        <f t="shared" si="2"/>
        <v>0</v>
      </c>
      <c r="R50" s="19">
        <f t="shared" si="3"/>
        <v>0</v>
      </c>
      <c r="S50" s="19">
        <f t="shared" si="4"/>
        <v>0</v>
      </c>
      <c r="T50" s="19">
        <f t="shared" si="5"/>
        <v>0</v>
      </c>
      <c r="U50" s="19">
        <f t="shared" si="6"/>
        <v>0</v>
      </c>
      <c r="V50" s="19">
        <f t="shared" si="7"/>
        <v>0</v>
      </c>
      <c r="W50" s="19">
        <f t="shared" si="8"/>
        <v>0</v>
      </c>
      <c r="X50" s="19">
        <f t="shared" si="9"/>
        <v>0</v>
      </c>
      <c r="Y50" s="17">
        <f t="shared" si="10"/>
        <v>0</v>
      </c>
    </row>
    <row r="51" spans="1:25" x14ac:dyDescent="0.25">
      <c r="A51" s="18" t="str">
        <f>IF(OR(ISNUMBER('ENTERED ON'!M51), 'ENTERED ON'!M51=""), "M&amp;C / RESV/ OTHERS", 'ENTERED ON'!M51)</f>
        <v>M&amp;C / RESV/ OTHERS</v>
      </c>
      <c r="B51" s="18">
        <f>IF(ISTEXT(Table1[[#This Row],[ROOM TYPE]]), 1, 0)</f>
        <v>0</v>
      </c>
      <c r="C51" s="18">
        <f>IF(ISNUMBER('ENTERED ON'!L51), 0, 'ENTERED ON'!L51)</f>
        <v>0</v>
      </c>
      <c r="D51" s="18">
        <f>'ENTERED ON'!G51</f>
        <v>0</v>
      </c>
      <c r="E51" s="18">
        <f>IF(ISTEXT('ENTERED ON'!Q51), 1, 0)</f>
        <v>0</v>
      </c>
      <c r="F51" s="18">
        <f>IF(ISTEXT('ENTERED ON'!R50), 1, 0)</f>
        <v>0</v>
      </c>
      <c r="G51" s="18">
        <f>IFERROR(IF(ISTEXT('ENTERED ON'!P51), 0, 'ENTERED ON'!P51*1.1), 0)</f>
        <v>0</v>
      </c>
      <c r="H51" s="27">
        <f>IF(ISTEXT(G51), 0, Table1[[#This Row],[Amount]] / 'COMPANY PROD'!$V$33)</f>
        <v>0</v>
      </c>
      <c r="I51" s="27">
        <f>Table1[[#This Row],[NIGHTS]]/'COMPANY PROD'!$V$41</f>
        <v>0</v>
      </c>
      <c r="J51" s="24">
        <f>IFERROR(Table1[[#This Row],[Amount]]/Table1[[#This Row],[NIGHTS]],0)</f>
        <v>0</v>
      </c>
      <c r="K51" s="21">
        <f>IF(ISTEXT('ENTERED ON'!C51), 0, IFERROR('ENTERED ON'!C51, 0))</f>
        <v>0</v>
      </c>
      <c r="L51" s="21">
        <f>IF(ISTEXT('ENTERED ON'!D51), 0, IFERROR('ENTERED ON'!D51, 0))</f>
        <v>0</v>
      </c>
      <c r="M51" s="19">
        <f>Table1[[#This Row],[Check out ]]-Table1[[#This Row],[Check in ]]</f>
        <v>0</v>
      </c>
      <c r="N51" s="19"/>
      <c r="O51" s="19">
        <f t="shared" si="0"/>
        <v>0</v>
      </c>
      <c r="P51" s="19">
        <f t="shared" si="1"/>
        <v>0</v>
      </c>
      <c r="Q51" s="19">
        <f t="shared" si="2"/>
        <v>0</v>
      </c>
      <c r="R51" s="19">
        <f t="shared" si="3"/>
        <v>0</v>
      </c>
      <c r="S51" s="19">
        <f t="shared" si="4"/>
        <v>0</v>
      </c>
      <c r="T51" s="19">
        <f t="shared" si="5"/>
        <v>0</v>
      </c>
      <c r="U51" s="19">
        <f t="shared" si="6"/>
        <v>0</v>
      </c>
      <c r="V51" s="19">
        <f t="shared" si="7"/>
        <v>0</v>
      </c>
      <c r="W51" s="19">
        <f t="shared" si="8"/>
        <v>0</v>
      </c>
      <c r="X51" s="19">
        <f t="shared" si="9"/>
        <v>0</v>
      </c>
      <c r="Y51" s="17">
        <f t="shared" si="10"/>
        <v>0</v>
      </c>
    </row>
    <row r="52" spans="1:25" x14ac:dyDescent="0.25">
      <c r="A52" s="18" t="str">
        <f>IF(OR(ISNUMBER('ENTERED ON'!M52), 'ENTERED ON'!M52=""), "M&amp;C / RESV/ OTHERS", 'ENTERED ON'!M52)</f>
        <v>M&amp;C / RESV/ OTHERS</v>
      </c>
      <c r="B52" s="18">
        <f>IF(ISTEXT(Table1[[#This Row],[ROOM TYPE]]), 1, 0)</f>
        <v>0</v>
      </c>
      <c r="C52" s="18">
        <f>IF(ISNUMBER('ENTERED ON'!L52), 0, 'ENTERED ON'!L52)</f>
        <v>0</v>
      </c>
      <c r="D52" s="18">
        <f>'ENTERED ON'!G52</f>
        <v>0</v>
      </c>
      <c r="E52" s="18">
        <f>IF(ISTEXT('ENTERED ON'!Q52), 1, 0)</f>
        <v>0</v>
      </c>
      <c r="F52" s="18">
        <f>IF(ISTEXT('ENTERED ON'!R51), 1, 0)</f>
        <v>0</v>
      </c>
      <c r="G52" s="18">
        <f>IFERROR(IF(ISTEXT('ENTERED ON'!P52), 0, 'ENTERED ON'!P52*1.1), 0)</f>
        <v>0</v>
      </c>
      <c r="H52" s="27">
        <f>IF(ISTEXT(G52), 0, Table1[[#This Row],[Amount]] / 'COMPANY PROD'!$V$33)</f>
        <v>0</v>
      </c>
      <c r="I52" s="27">
        <f>Table1[[#This Row],[NIGHTS]]/'COMPANY PROD'!$V$41</f>
        <v>0</v>
      </c>
      <c r="J52" s="24">
        <f>IFERROR(Table1[[#This Row],[Amount]]/Table1[[#This Row],[NIGHTS]],0)</f>
        <v>0</v>
      </c>
      <c r="K52" s="21">
        <f>IF(ISTEXT('ENTERED ON'!C52), 0, IFERROR('ENTERED ON'!C52, 0))</f>
        <v>0</v>
      </c>
      <c r="L52" s="21">
        <f>IF(ISTEXT('ENTERED ON'!D52), 0, IFERROR('ENTERED ON'!D52, 0))</f>
        <v>0</v>
      </c>
      <c r="M52" s="19">
        <f>Table1[[#This Row],[Check out ]]-Table1[[#This Row],[Check in ]]</f>
        <v>0</v>
      </c>
      <c r="N52" s="19"/>
      <c r="O52" s="19">
        <f t="shared" si="0"/>
        <v>0</v>
      </c>
      <c r="P52" s="19">
        <f t="shared" si="1"/>
        <v>0</v>
      </c>
      <c r="Q52" s="19">
        <f t="shared" si="2"/>
        <v>0</v>
      </c>
      <c r="R52" s="19">
        <f t="shared" si="3"/>
        <v>0</v>
      </c>
      <c r="S52" s="19">
        <f t="shared" si="4"/>
        <v>0</v>
      </c>
      <c r="T52" s="19">
        <f t="shared" si="5"/>
        <v>0</v>
      </c>
      <c r="U52" s="19">
        <f t="shared" si="6"/>
        <v>0</v>
      </c>
      <c r="V52" s="19">
        <f t="shared" si="7"/>
        <v>0</v>
      </c>
      <c r="W52" s="19">
        <f t="shared" si="8"/>
        <v>0</v>
      </c>
      <c r="X52" s="19">
        <f t="shared" si="9"/>
        <v>0</v>
      </c>
      <c r="Y52" s="17">
        <f t="shared" si="10"/>
        <v>0</v>
      </c>
    </row>
    <row r="53" spans="1:25" x14ac:dyDescent="0.25">
      <c r="A53" s="18" t="str">
        <f>IF(OR(ISNUMBER('ENTERED ON'!M53), 'ENTERED ON'!M53=""), "M&amp;C / RESV/ OTHERS", 'ENTERED ON'!M53)</f>
        <v>M&amp;C / RESV/ OTHERS</v>
      </c>
      <c r="B53" s="18">
        <f>IF(ISTEXT(Table1[[#This Row],[ROOM TYPE]]), 1, 0)</f>
        <v>0</v>
      </c>
      <c r="C53" s="18">
        <f>IF(ISNUMBER('ENTERED ON'!L53), 0, 'ENTERED ON'!L53)</f>
        <v>0</v>
      </c>
      <c r="D53" s="18">
        <f>'ENTERED ON'!G53</f>
        <v>0</v>
      </c>
      <c r="E53" s="18">
        <f>IF(ISTEXT('ENTERED ON'!Q53), 1, 0)</f>
        <v>0</v>
      </c>
      <c r="F53" s="18">
        <f>IF(ISTEXT('ENTERED ON'!R52), 1, 0)</f>
        <v>0</v>
      </c>
      <c r="G53" s="18">
        <f>IFERROR(IF(ISTEXT('ENTERED ON'!P53), 0, 'ENTERED ON'!P53*1.1), 0)</f>
        <v>0</v>
      </c>
      <c r="H53" s="27">
        <f>IF(ISTEXT(G53), 0, Table1[[#This Row],[Amount]] / 'COMPANY PROD'!$V$33)</f>
        <v>0</v>
      </c>
      <c r="I53" s="27">
        <f>Table1[[#This Row],[NIGHTS]]/'COMPANY PROD'!$V$41</f>
        <v>0</v>
      </c>
      <c r="J53" s="24">
        <f>IFERROR(Table1[[#This Row],[Amount]]/Table1[[#This Row],[NIGHTS]],0)</f>
        <v>0</v>
      </c>
      <c r="K53" s="21">
        <f>IF(ISTEXT('ENTERED ON'!C53), 0, IFERROR('ENTERED ON'!C53, 0))</f>
        <v>0</v>
      </c>
      <c r="L53" s="21">
        <f>IF(ISTEXT('ENTERED ON'!D53), 0, IFERROR('ENTERED ON'!D53, 0))</f>
        <v>0</v>
      </c>
      <c r="M53" s="19">
        <f>Table1[[#This Row],[Check out ]]-Table1[[#This Row],[Check in ]]</f>
        <v>0</v>
      </c>
      <c r="N53" s="19"/>
      <c r="O53" s="19">
        <f t="shared" si="0"/>
        <v>0</v>
      </c>
      <c r="P53" s="19">
        <f t="shared" si="1"/>
        <v>0</v>
      </c>
      <c r="Q53" s="19">
        <f t="shared" si="2"/>
        <v>0</v>
      </c>
      <c r="R53" s="19">
        <f t="shared" si="3"/>
        <v>0</v>
      </c>
      <c r="S53" s="19">
        <f t="shared" si="4"/>
        <v>0</v>
      </c>
      <c r="T53" s="19">
        <f t="shared" si="5"/>
        <v>0</v>
      </c>
      <c r="U53" s="19">
        <f t="shared" si="6"/>
        <v>0</v>
      </c>
      <c r="V53" s="19">
        <f t="shared" si="7"/>
        <v>0</v>
      </c>
      <c r="W53" s="19">
        <f t="shared" si="8"/>
        <v>0</v>
      </c>
      <c r="X53" s="19">
        <f t="shared" si="9"/>
        <v>0</v>
      </c>
      <c r="Y53" s="17">
        <f t="shared" si="10"/>
        <v>0</v>
      </c>
    </row>
    <row r="54" spans="1:25" x14ac:dyDescent="0.25">
      <c r="A54" s="18" t="str">
        <f>IF(OR(ISNUMBER('ENTERED ON'!M54), 'ENTERED ON'!M54=""), "M&amp;C / RESV/ OTHERS", 'ENTERED ON'!M54)</f>
        <v>M&amp;C / RESV/ OTHERS</v>
      </c>
      <c r="B54" s="18">
        <f>IF(ISTEXT(Table1[[#This Row],[ROOM TYPE]]), 1, 0)</f>
        <v>0</v>
      </c>
      <c r="C54" s="18">
        <f>IF(ISNUMBER('ENTERED ON'!L54), 0, 'ENTERED ON'!L54)</f>
        <v>0</v>
      </c>
      <c r="D54" s="18">
        <f>'ENTERED ON'!G54</f>
        <v>0</v>
      </c>
      <c r="E54" s="18">
        <f>IF(ISTEXT('ENTERED ON'!Q54), 1, 0)</f>
        <v>0</v>
      </c>
      <c r="F54" s="18">
        <f>IF(ISTEXT('ENTERED ON'!R53), 1, 0)</f>
        <v>0</v>
      </c>
      <c r="G54" s="18">
        <f>IFERROR(IF(ISTEXT('ENTERED ON'!P54), 0, 'ENTERED ON'!P54*1.1), 0)</f>
        <v>0</v>
      </c>
      <c r="H54" s="27">
        <f>IF(ISTEXT(G54), 0, Table1[[#This Row],[Amount]] / 'COMPANY PROD'!$V$33)</f>
        <v>0</v>
      </c>
      <c r="I54" s="27">
        <f>Table1[[#This Row],[NIGHTS]]/'COMPANY PROD'!$V$41</f>
        <v>0</v>
      </c>
      <c r="J54" s="24">
        <f>IFERROR(Table1[[#This Row],[Amount]]/Table1[[#This Row],[NIGHTS]],0)</f>
        <v>0</v>
      </c>
      <c r="K54" s="21">
        <f>IF(ISTEXT('ENTERED ON'!C54), 0, IFERROR('ENTERED ON'!C54, 0))</f>
        <v>0</v>
      </c>
      <c r="L54" s="21">
        <f>IF(ISTEXT('ENTERED ON'!D54), 0, IFERROR('ENTERED ON'!D54, 0))</f>
        <v>0</v>
      </c>
      <c r="M54" s="19">
        <f>Table1[[#This Row],[Check out ]]-Table1[[#This Row],[Check in ]]</f>
        <v>0</v>
      </c>
      <c r="N54" s="19"/>
      <c r="O54" s="19">
        <f t="shared" si="0"/>
        <v>0</v>
      </c>
      <c r="P54" s="19">
        <f t="shared" si="1"/>
        <v>0</v>
      </c>
      <c r="Q54" s="19">
        <f t="shared" si="2"/>
        <v>0</v>
      </c>
      <c r="R54" s="19">
        <f t="shared" si="3"/>
        <v>0</v>
      </c>
      <c r="S54" s="19">
        <f t="shared" si="4"/>
        <v>0</v>
      </c>
      <c r="T54" s="19">
        <f t="shared" si="5"/>
        <v>0</v>
      </c>
      <c r="U54" s="19">
        <f t="shared" si="6"/>
        <v>0</v>
      </c>
      <c r="V54" s="19">
        <f t="shared" si="7"/>
        <v>0</v>
      </c>
      <c r="W54" s="19">
        <f t="shared" si="8"/>
        <v>0</v>
      </c>
      <c r="X54" s="19">
        <f t="shared" si="9"/>
        <v>0</v>
      </c>
      <c r="Y54" s="17">
        <f t="shared" si="10"/>
        <v>0</v>
      </c>
    </row>
    <row r="55" spans="1:25" x14ac:dyDescent="0.25">
      <c r="A55" s="18" t="str">
        <f>IF(OR(ISNUMBER('ENTERED ON'!M55), 'ENTERED ON'!M55=""), "M&amp;C / RESV/ OTHERS", 'ENTERED ON'!M55)</f>
        <v>M&amp;C / RESV/ OTHERS</v>
      </c>
      <c r="B55" s="18">
        <f>IF(ISTEXT(Table1[[#This Row],[ROOM TYPE]]), 1, 0)</f>
        <v>0</v>
      </c>
      <c r="C55" s="18">
        <f>IF(ISNUMBER('ENTERED ON'!L55), 0, 'ENTERED ON'!L55)</f>
        <v>0</v>
      </c>
      <c r="D55" s="18">
        <f>'ENTERED ON'!G55</f>
        <v>0</v>
      </c>
      <c r="E55" s="18">
        <f>IF(ISTEXT('ENTERED ON'!Q55), 1, 0)</f>
        <v>0</v>
      </c>
      <c r="F55" s="18">
        <f>IF(ISTEXT('ENTERED ON'!R54), 1, 0)</f>
        <v>0</v>
      </c>
      <c r="G55" s="18">
        <f>IFERROR(IF(ISTEXT('ENTERED ON'!P55), 0, 'ENTERED ON'!P55*1.1), 0)</f>
        <v>0</v>
      </c>
      <c r="H55" s="27">
        <f>IF(ISTEXT(G55), 0, Table1[[#This Row],[Amount]] / 'COMPANY PROD'!$V$33)</f>
        <v>0</v>
      </c>
      <c r="I55" s="27">
        <f>Table1[[#This Row],[NIGHTS]]/'COMPANY PROD'!$V$41</f>
        <v>0</v>
      </c>
      <c r="J55" s="24">
        <f>IFERROR(Table1[[#This Row],[Amount]]/Table1[[#This Row],[NIGHTS]],0)</f>
        <v>0</v>
      </c>
      <c r="K55" s="21">
        <f>IF(ISTEXT('ENTERED ON'!C55), 0, IFERROR('ENTERED ON'!C55, 0))</f>
        <v>0</v>
      </c>
      <c r="L55" s="21">
        <f>IF(ISTEXT('ENTERED ON'!D55), 0, IFERROR('ENTERED ON'!D55, 0))</f>
        <v>0</v>
      </c>
      <c r="M55" s="19">
        <f>Table1[[#This Row],[Check out ]]-Table1[[#This Row],[Check in ]]</f>
        <v>0</v>
      </c>
      <c r="N55" s="19"/>
      <c r="O55" s="19">
        <f t="shared" si="0"/>
        <v>0</v>
      </c>
      <c r="P55" s="19">
        <f t="shared" si="1"/>
        <v>0</v>
      </c>
      <c r="Q55" s="19">
        <f t="shared" si="2"/>
        <v>0</v>
      </c>
      <c r="R55" s="19">
        <f t="shared" si="3"/>
        <v>0</v>
      </c>
      <c r="S55" s="19">
        <f t="shared" si="4"/>
        <v>0</v>
      </c>
      <c r="T55" s="19">
        <f t="shared" si="5"/>
        <v>0</v>
      </c>
      <c r="U55" s="19">
        <f t="shared" si="6"/>
        <v>0</v>
      </c>
      <c r="V55" s="19">
        <f t="shared" si="7"/>
        <v>0</v>
      </c>
      <c r="W55" s="19">
        <f t="shared" si="8"/>
        <v>0</v>
      </c>
      <c r="X55" s="19">
        <f t="shared" si="9"/>
        <v>0</v>
      </c>
      <c r="Y55" s="17">
        <f t="shared" si="10"/>
        <v>0</v>
      </c>
    </row>
    <row r="56" spans="1:25" x14ac:dyDescent="0.25">
      <c r="A56" s="18" t="str">
        <f>IF(OR(ISNUMBER('ENTERED ON'!M56), 'ENTERED ON'!M56=""), "M&amp;C / RESV/ OTHERS", 'ENTERED ON'!M56)</f>
        <v>M&amp;C / RESV/ OTHERS</v>
      </c>
      <c r="B56" s="18">
        <f>IF(ISTEXT(Table1[[#This Row],[ROOM TYPE]]), 1, 0)</f>
        <v>0</v>
      </c>
      <c r="C56" s="18">
        <f>IF(ISNUMBER('ENTERED ON'!L56), 0, 'ENTERED ON'!L56)</f>
        <v>0</v>
      </c>
      <c r="D56" s="18">
        <f>'ENTERED ON'!G56</f>
        <v>0</v>
      </c>
      <c r="E56" s="18">
        <f>IF(ISTEXT('ENTERED ON'!Q56), 1, 0)</f>
        <v>0</v>
      </c>
      <c r="F56" s="18">
        <f>IF(ISTEXT('ENTERED ON'!R55), 1, 0)</f>
        <v>0</v>
      </c>
      <c r="G56" s="18">
        <f>IFERROR(IF(ISTEXT('ENTERED ON'!P56), 0, 'ENTERED ON'!P56*1.1), 0)</f>
        <v>0</v>
      </c>
      <c r="H56" s="27">
        <f>IF(ISTEXT(G56), 0, Table1[[#This Row],[Amount]] / 'COMPANY PROD'!$V$33)</f>
        <v>0</v>
      </c>
      <c r="I56" s="27">
        <f>Table1[[#This Row],[NIGHTS]]/'COMPANY PROD'!$V$41</f>
        <v>0</v>
      </c>
      <c r="J56" s="24">
        <f>IFERROR(Table1[[#This Row],[Amount]]/Table1[[#This Row],[NIGHTS]],0)</f>
        <v>0</v>
      </c>
      <c r="K56" s="21">
        <f>IF(ISTEXT('ENTERED ON'!C56), 0, IFERROR('ENTERED ON'!C56, 0))</f>
        <v>0</v>
      </c>
      <c r="L56" s="21">
        <f>IF(ISTEXT('ENTERED ON'!D56), 0, IFERROR('ENTERED ON'!D56, 0))</f>
        <v>0</v>
      </c>
      <c r="M56" s="19">
        <f>Table1[[#This Row],[Check out ]]-Table1[[#This Row],[Check in ]]</f>
        <v>0</v>
      </c>
      <c r="N56" s="19"/>
      <c r="O56" s="19">
        <f t="shared" si="0"/>
        <v>0</v>
      </c>
      <c r="P56" s="19">
        <f t="shared" si="1"/>
        <v>0</v>
      </c>
      <c r="Q56" s="19">
        <f t="shared" si="2"/>
        <v>0</v>
      </c>
      <c r="R56" s="19">
        <f t="shared" si="3"/>
        <v>0</v>
      </c>
      <c r="S56" s="19">
        <f t="shared" si="4"/>
        <v>0</v>
      </c>
      <c r="T56" s="19">
        <f t="shared" si="5"/>
        <v>0</v>
      </c>
      <c r="U56" s="19">
        <f t="shared" si="6"/>
        <v>0</v>
      </c>
      <c r="V56" s="19">
        <f t="shared" si="7"/>
        <v>0</v>
      </c>
      <c r="W56" s="19">
        <f t="shared" si="8"/>
        <v>0</v>
      </c>
      <c r="X56" s="19">
        <f t="shared" si="9"/>
        <v>0</v>
      </c>
      <c r="Y56" s="17">
        <f t="shared" si="10"/>
        <v>0</v>
      </c>
    </row>
    <row r="57" spans="1:25" x14ac:dyDescent="0.25">
      <c r="A57" s="18" t="str">
        <f>IF(OR(ISNUMBER('ENTERED ON'!M57), 'ENTERED ON'!M57=""), "M&amp;C / RESV/ OTHERS", 'ENTERED ON'!M57)</f>
        <v>M&amp;C / RESV/ OTHERS</v>
      </c>
      <c r="B57" s="18">
        <f>IF(ISTEXT(Table1[[#This Row],[ROOM TYPE]]), 1, 0)</f>
        <v>0</v>
      </c>
      <c r="C57" s="18">
        <f>IF(ISNUMBER('ENTERED ON'!L57), 0, 'ENTERED ON'!L57)</f>
        <v>0</v>
      </c>
      <c r="D57" s="18">
        <f>'ENTERED ON'!G57</f>
        <v>0</v>
      </c>
      <c r="E57" s="18">
        <f>IF(ISTEXT('ENTERED ON'!Q57), 1, 0)</f>
        <v>0</v>
      </c>
      <c r="F57" s="18">
        <f>IF(ISTEXT('ENTERED ON'!R56), 1, 0)</f>
        <v>0</v>
      </c>
      <c r="G57" s="18">
        <f>IFERROR(IF(ISTEXT('ENTERED ON'!P57), 0, 'ENTERED ON'!P57*1.1), 0)</f>
        <v>0</v>
      </c>
      <c r="H57" s="27">
        <f>IF(ISTEXT(G57), 0, Table1[[#This Row],[Amount]] / 'COMPANY PROD'!$V$33)</f>
        <v>0</v>
      </c>
      <c r="I57" s="27">
        <f>Table1[[#This Row],[NIGHTS]]/'COMPANY PROD'!$V$41</f>
        <v>0</v>
      </c>
      <c r="J57" s="24">
        <f>IFERROR(Table1[[#This Row],[Amount]]/Table1[[#This Row],[NIGHTS]],0)</f>
        <v>0</v>
      </c>
      <c r="K57" s="21">
        <f>IF(ISTEXT('ENTERED ON'!C57), 0, IFERROR('ENTERED ON'!C57, 0))</f>
        <v>0</v>
      </c>
      <c r="L57" s="21">
        <f>IF(ISTEXT('ENTERED ON'!D57), 0, IFERROR('ENTERED ON'!D57, 0))</f>
        <v>0</v>
      </c>
      <c r="M57" s="19">
        <f>Table1[[#This Row],[Check out ]]-Table1[[#This Row],[Check in ]]</f>
        <v>0</v>
      </c>
      <c r="N57" s="19"/>
      <c r="O57" s="19">
        <f t="shared" si="0"/>
        <v>0</v>
      </c>
      <c r="P57" s="19">
        <f t="shared" si="1"/>
        <v>0</v>
      </c>
      <c r="Q57" s="19">
        <f t="shared" si="2"/>
        <v>0</v>
      </c>
      <c r="R57" s="19">
        <f t="shared" si="3"/>
        <v>0</v>
      </c>
      <c r="S57" s="19">
        <f t="shared" si="4"/>
        <v>0</v>
      </c>
      <c r="T57" s="19">
        <f t="shared" si="5"/>
        <v>0</v>
      </c>
      <c r="U57" s="19">
        <f t="shared" si="6"/>
        <v>0</v>
      </c>
      <c r="V57" s="19">
        <f t="shared" si="7"/>
        <v>0</v>
      </c>
      <c r="W57" s="19">
        <f t="shared" si="8"/>
        <v>0</v>
      </c>
      <c r="X57" s="19">
        <f t="shared" si="9"/>
        <v>0</v>
      </c>
      <c r="Y57" s="17">
        <f t="shared" si="10"/>
        <v>0</v>
      </c>
    </row>
    <row r="58" spans="1:25" x14ac:dyDescent="0.25">
      <c r="A58" s="18" t="str">
        <f>IF(OR(ISNUMBER('ENTERED ON'!M58), 'ENTERED ON'!M58=""), "M&amp;C / RESV/ OTHERS", 'ENTERED ON'!M58)</f>
        <v>M&amp;C / RESV/ OTHERS</v>
      </c>
      <c r="B58" s="18">
        <f>IF(ISTEXT(Table1[[#This Row],[ROOM TYPE]]), 1, 0)</f>
        <v>0</v>
      </c>
      <c r="C58" s="18">
        <f>IF(ISNUMBER('ENTERED ON'!L58), 0, 'ENTERED ON'!L58)</f>
        <v>0</v>
      </c>
      <c r="D58" s="18">
        <f>'ENTERED ON'!G58</f>
        <v>0</v>
      </c>
      <c r="E58" s="18">
        <f>IF(ISTEXT('ENTERED ON'!Q58), 1, 0)</f>
        <v>0</v>
      </c>
      <c r="F58" s="18">
        <f>IF(ISTEXT('ENTERED ON'!R57), 1, 0)</f>
        <v>0</v>
      </c>
      <c r="G58" s="18">
        <f>IFERROR(IF(ISTEXT('ENTERED ON'!P58), 0, 'ENTERED ON'!P58*1.1), 0)</f>
        <v>0</v>
      </c>
      <c r="H58" s="27">
        <f>IF(ISTEXT(G58), 0, Table1[[#This Row],[Amount]] / 'COMPANY PROD'!$V$33)</f>
        <v>0</v>
      </c>
      <c r="I58" s="27">
        <f>Table1[[#This Row],[NIGHTS]]/'COMPANY PROD'!$V$41</f>
        <v>0</v>
      </c>
      <c r="J58" s="24">
        <f>IFERROR(Table1[[#This Row],[Amount]]/Table1[[#This Row],[NIGHTS]],0)</f>
        <v>0</v>
      </c>
      <c r="K58" s="21">
        <f>IF(ISTEXT('ENTERED ON'!C58), 0, IFERROR('ENTERED ON'!C58, 0))</f>
        <v>0</v>
      </c>
      <c r="L58" s="21">
        <f>IF(ISTEXT('ENTERED ON'!D58), 0, IFERROR('ENTERED ON'!D58, 0))</f>
        <v>0</v>
      </c>
      <c r="M58" s="19">
        <f>Table1[[#This Row],[Check out ]]-Table1[[#This Row],[Check in ]]</f>
        <v>0</v>
      </c>
      <c r="N58" s="19"/>
      <c r="O58" s="19">
        <f t="shared" si="0"/>
        <v>0</v>
      </c>
      <c r="P58" s="19">
        <f t="shared" si="1"/>
        <v>0</v>
      </c>
      <c r="Q58" s="19">
        <f t="shared" si="2"/>
        <v>0</v>
      </c>
      <c r="R58" s="19">
        <f t="shared" si="3"/>
        <v>0</v>
      </c>
      <c r="S58" s="19">
        <f t="shared" si="4"/>
        <v>0</v>
      </c>
      <c r="T58" s="19">
        <f t="shared" si="5"/>
        <v>0</v>
      </c>
      <c r="U58" s="19">
        <f t="shared" si="6"/>
        <v>0</v>
      </c>
      <c r="V58" s="19">
        <f t="shared" si="7"/>
        <v>0</v>
      </c>
      <c r="W58" s="19">
        <f t="shared" si="8"/>
        <v>0</v>
      </c>
      <c r="X58" s="19">
        <f t="shared" si="9"/>
        <v>0</v>
      </c>
      <c r="Y58" s="17">
        <f t="shared" si="10"/>
        <v>0</v>
      </c>
    </row>
    <row r="59" spans="1:25" x14ac:dyDescent="0.25">
      <c r="A59" s="18" t="str">
        <f>IF(OR(ISNUMBER('ENTERED ON'!M59), 'ENTERED ON'!M59=""), "M&amp;C / RESV/ OTHERS", 'ENTERED ON'!M59)</f>
        <v>M&amp;C / RESV/ OTHERS</v>
      </c>
      <c r="B59" s="18">
        <f>IF(ISTEXT(Table1[[#This Row],[ROOM TYPE]]), 1, 0)</f>
        <v>0</v>
      </c>
      <c r="C59" s="18">
        <f>IF(ISNUMBER('ENTERED ON'!L59), 0, 'ENTERED ON'!L59)</f>
        <v>0</v>
      </c>
      <c r="D59" s="18">
        <f>'ENTERED ON'!G59</f>
        <v>0</v>
      </c>
      <c r="E59" s="18">
        <f>IF(ISTEXT('ENTERED ON'!Q59), 1, 0)</f>
        <v>0</v>
      </c>
      <c r="F59" s="18">
        <f>IF(ISTEXT('ENTERED ON'!R58), 1, 0)</f>
        <v>0</v>
      </c>
      <c r="G59" s="18">
        <f>IFERROR(IF(ISTEXT('ENTERED ON'!P59), 0, 'ENTERED ON'!P59*1.1), 0)</f>
        <v>0</v>
      </c>
      <c r="H59" s="27">
        <f>IF(ISTEXT(G59), 0, Table1[[#This Row],[Amount]] / 'COMPANY PROD'!$V$33)</f>
        <v>0</v>
      </c>
      <c r="I59" s="27">
        <f>Table1[[#This Row],[NIGHTS]]/'COMPANY PROD'!$V$41</f>
        <v>0</v>
      </c>
      <c r="J59" s="24">
        <f>IFERROR(Table1[[#This Row],[Amount]]/Table1[[#This Row],[NIGHTS]],0)</f>
        <v>0</v>
      </c>
      <c r="K59" s="21">
        <f>IF(ISTEXT('ENTERED ON'!C59), 0, IFERROR('ENTERED ON'!C59, 0))</f>
        <v>0</v>
      </c>
      <c r="L59" s="21">
        <f>IF(ISTEXT('ENTERED ON'!D59), 0, IFERROR('ENTERED ON'!D59, 0))</f>
        <v>0</v>
      </c>
      <c r="M59" s="19">
        <f>Table1[[#This Row],[Check out ]]-Table1[[#This Row],[Check in ]]</f>
        <v>0</v>
      </c>
      <c r="N59" s="19"/>
      <c r="O59" s="19">
        <f t="shared" si="0"/>
        <v>0</v>
      </c>
      <c r="P59" s="19">
        <f t="shared" si="1"/>
        <v>0</v>
      </c>
      <c r="Q59" s="19">
        <f t="shared" si="2"/>
        <v>0</v>
      </c>
      <c r="R59" s="19">
        <f t="shared" si="3"/>
        <v>0</v>
      </c>
      <c r="S59" s="19">
        <f t="shared" si="4"/>
        <v>0</v>
      </c>
      <c r="T59" s="19">
        <f t="shared" si="5"/>
        <v>0</v>
      </c>
      <c r="U59" s="19">
        <f t="shared" si="6"/>
        <v>0</v>
      </c>
      <c r="V59" s="19">
        <f t="shared" si="7"/>
        <v>0</v>
      </c>
      <c r="W59" s="19">
        <f t="shared" si="8"/>
        <v>0</v>
      </c>
      <c r="X59" s="19">
        <f t="shared" si="9"/>
        <v>0</v>
      </c>
      <c r="Y59" s="17">
        <f t="shared" si="10"/>
        <v>0</v>
      </c>
    </row>
    <row r="60" spans="1:25" x14ac:dyDescent="0.25">
      <c r="A60" s="18" t="str">
        <f>IF(OR(ISNUMBER('ENTERED ON'!M60), 'ENTERED ON'!M60=""), "M&amp;C / RESV/ OTHERS", 'ENTERED ON'!M60)</f>
        <v>M&amp;C / RESV/ OTHERS</v>
      </c>
      <c r="B60" s="18">
        <f>IF(ISTEXT(Table1[[#This Row],[ROOM TYPE]]), 1, 0)</f>
        <v>0</v>
      </c>
      <c r="C60" s="18">
        <f>IF(ISNUMBER('ENTERED ON'!L60), 0, 'ENTERED ON'!L60)</f>
        <v>0</v>
      </c>
      <c r="D60" s="18">
        <f>'ENTERED ON'!G60</f>
        <v>0</v>
      </c>
      <c r="E60" s="18">
        <f>IF(ISTEXT('ENTERED ON'!Q60), 1, 0)</f>
        <v>0</v>
      </c>
      <c r="F60" s="18">
        <f>IF(ISTEXT('ENTERED ON'!R59), 1, 0)</f>
        <v>0</v>
      </c>
      <c r="G60" s="18">
        <f>IFERROR(IF(ISTEXT('ENTERED ON'!P60), 0, 'ENTERED ON'!P60*1.1), 0)</f>
        <v>0</v>
      </c>
      <c r="H60" s="27">
        <f>IF(ISTEXT(G60), 0, Table1[[#This Row],[Amount]] / 'COMPANY PROD'!$V$33)</f>
        <v>0</v>
      </c>
      <c r="I60" s="27">
        <f>Table1[[#This Row],[NIGHTS]]/'COMPANY PROD'!$V$41</f>
        <v>0</v>
      </c>
      <c r="J60" s="24">
        <f>IFERROR(Table1[[#This Row],[Amount]]/Table1[[#This Row],[NIGHTS]],0)</f>
        <v>0</v>
      </c>
      <c r="K60" s="21">
        <f>IF(ISTEXT('ENTERED ON'!C60), 0, IFERROR('ENTERED ON'!C60, 0))</f>
        <v>0</v>
      </c>
      <c r="L60" s="21">
        <f>IF(ISTEXT('ENTERED ON'!D60), 0, IFERROR('ENTERED ON'!D60, 0))</f>
        <v>0</v>
      </c>
      <c r="M60" s="19">
        <f>Table1[[#This Row],[Check out ]]-Table1[[#This Row],[Check in ]]</f>
        <v>0</v>
      </c>
      <c r="N60" s="19"/>
      <c r="O60" s="19">
        <f t="shared" si="0"/>
        <v>0</v>
      </c>
      <c r="P60" s="19">
        <f t="shared" si="1"/>
        <v>0</v>
      </c>
      <c r="Q60" s="19">
        <f t="shared" si="2"/>
        <v>0</v>
      </c>
      <c r="R60" s="19">
        <f t="shared" si="3"/>
        <v>0</v>
      </c>
      <c r="S60" s="19">
        <f t="shared" si="4"/>
        <v>0</v>
      </c>
      <c r="T60" s="19">
        <f t="shared" si="5"/>
        <v>0</v>
      </c>
      <c r="U60" s="19">
        <f t="shared" si="6"/>
        <v>0</v>
      </c>
      <c r="V60" s="19">
        <f t="shared" si="7"/>
        <v>0</v>
      </c>
      <c r="W60" s="19">
        <f t="shared" si="8"/>
        <v>0</v>
      </c>
      <c r="X60" s="19">
        <f t="shared" si="9"/>
        <v>0</v>
      </c>
      <c r="Y60" s="17">
        <f t="shared" si="10"/>
        <v>0</v>
      </c>
    </row>
    <row r="61" spans="1:25" x14ac:dyDescent="0.25">
      <c r="A61" s="18" t="str">
        <f>IF(OR(ISNUMBER('ENTERED ON'!M61), 'ENTERED ON'!M61=""), "M&amp;C / RESV/ OTHERS", 'ENTERED ON'!M61)</f>
        <v>M&amp;C / RESV/ OTHERS</v>
      </c>
      <c r="B61" s="18">
        <f>IF(ISTEXT(Table1[[#This Row],[ROOM TYPE]]), 1, 0)</f>
        <v>0</v>
      </c>
      <c r="C61" s="18">
        <f>IF(ISNUMBER('ENTERED ON'!L61), 0, 'ENTERED ON'!L61)</f>
        <v>0</v>
      </c>
      <c r="D61" s="18">
        <f>'ENTERED ON'!G61</f>
        <v>0</v>
      </c>
      <c r="E61" s="18">
        <f>IF(ISTEXT('ENTERED ON'!Q61), 1, 0)</f>
        <v>0</v>
      </c>
      <c r="F61" s="18">
        <f>IF(ISTEXT('ENTERED ON'!R60), 1, 0)</f>
        <v>0</v>
      </c>
      <c r="G61" s="18">
        <f>IFERROR(IF(ISTEXT('ENTERED ON'!P61), 0, 'ENTERED ON'!P61*1.1), 0)</f>
        <v>0</v>
      </c>
      <c r="H61" s="27">
        <f>IF(ISTEXT(G61), 0, Table1[[#This Row],[Amount]] / 'COMPANY PROD'!$V$33)</f>
        <v>0</v>
      </c>
      <c r="I61" s="27">
        <f>Table1[[#This Row],[NIGHTS]]/'COMPANY PROD'!$V$41</f>
        <v>0</v>
      </c>
      <c r="J61" s="24">
        <f>IFERROR(Table1[[#This Row],[Amount]]/Table1[[#This Row],[NIGHTS]],0)</f>
        <v>0</v>
      </c>
      <c r="K61" s="21">
        <f>IF(ISTEXT('ENTERED ON'!C61), 0, IFERROR('ENTERED ON'!C61, 0))</f>
        <v>0</v>
      </c>
      <c r="L61" s="21">
        <f>IF(ISTEXT('ENTERED ON'!D61), 0, IFERROR('ENTERED ON'!D61, 0))</f>
        <v>0</v>
      </c>
      <c r="M61" s="19">
        <f>Table1[[#This Row],[Check out ]]-Table1[[#This Row],[Check in ]]</f>
        <v>0</v>
      </c>
      <c r="N61" s="19"/>
      <c r="O61" s="19">
        <f t="shared" si="0"/>
        <v>0</v>
      </c>
      <c r="P61" s="19">
        <f t="shared" si="1"/>
        <v>0</v>
      </c>
      <c r="Q61" s="19">
        <f t="shared" si="2"/>
        <v>0</v>
      </c>
      <c r="R61" s="19">
        <f t="shared" si="3"/>
        <v>0</v>
      </c>
      <c r="S61" s="19">
        <f t="shared" si="4"/>
        <v>0</v>
      </c>
      <c r="T61" s="19">
        <f t="shared" si="5"/>
        <v>0</v>
      </c>
      <c r="U61" s="19">
        <f t="shared" si="6"/>
        <v>0</v>
      </c>
      <c r="V61" s="19">
        <f t="shared" si="7"/>
        <v>0</v>
      </c>
      <c r="W61" s="19">
        <f t="shared" si="8"/>
        <v>0</v>
      </c>
      <c r="X61" s="19">
        <f t="shared" si="9"/>
        <v>0</v>
      </c>
      <c r="Y61" s="17">
        <f t="shared" si="10"/>
        <v>0</v>
      </c>
    </row>
    <row r="62" spans="1:25" x14ac:dyDescent="0.25">
      <c r="A62" s="18" t="str">
        <f>IF(OR(ISNUMBER('ENTERED ON'!M62), 'ENTERED ON'!M62=""), "M&amp;C / RESV/ OTHERS", 'ENTERED ON'!M62)</f>
        <v>M&amp;C / RESV/ OTHERS</v>
      </c>
      <c r="B62" s="18">
        <f>IF(ISTEXT(Table1[[#This Row],[ROOM TYPE]]), 1, 0)</f>
        <v>0</v>
      </c>
      <c r="C62" s="18">
        <f>IF(ISNUMBER('ENTERED ON'!L62), 0, 'ENTERED ON'!L62)</f>
        <v>0</v>
      </c>
      <c r="D62" s="18">
        <f>'ENTERED ON'!G62</f>
        <v>0</v>
      </c>
      <c r="E62" s="18">
        <f>IF(ISTEXT('ENTERED ON'!Q62), 1, 0)</f>
        <v>0</v>
      </c>
      <c r="F62" s="18">
        <f>IF(ISTEXT('ENTERED ON'!R61), 1, 0)</f>
        <v>0</v>
      </c>
      <c r="G62" s="18">
        <f>IFERROR(IF(ISTEXT('ENTERED ON'!P62), 0, 'ENTERED ON'!P62*1.1), 0)</f>
        <v>0</v>
      </c>
      <c r="H62" s="27">
        <f>IF(ISTEXT(G62), 0, Table1[[#This Row],[Amount]] / 'COMPANY PROD'!$V$33)</f>
        <v>0</v>
      </c>
      <c r="I62" s="27">
        <f>Table1[[#This Row],[NIGHTS]]/'COMPANY PROD'!$V$41</f>
        <v>0</v>
      </c>
      <c r="J62" s="24">
        <f>IFERROR(Table1[[#This Row],[Amount]]/Table1[[#This Row],[NIGHTS]],0)</f>
        <v>0</v>
      </c>
      <c r="K62" s="21">
        <f>IF(ISTEXT('ENTERED ON'!C62), 0, IFERROR('ENTERED ON'!C62, 0))</f>
        <v>0</v>
      </c>
      <c r="L62" s="21">
        <f>IF(ISTEXT('ENTERED ON'!D62), 0, IFERROR('ENTERED ON'!D62, 0))</f>
        <v>0</v>
      </c>
      <c r="M62" s="19">
        <f>Table1[[#This Row],[Check out ]]-Table1[[#This Row],[Check in ]]</f>
        <v>0</v>
      </c>
      <c r="N62" s="19"/>
      <c r="O62" s="19">
        <f t="shared" si="0"/>
        <v>0</v>
      </c>
      <c r="P62" s="19">
        <f t="shared" si="1"/>
        <v>0</v>
      </c>
      <c r="Q62" s="19">
        <f t="shared" si="2"/>
        <v>0</v>
      </c>
      <c r="R62" s="19">
        <f t="shared" si="3"/>
        <v>0</v>
      </c>
      <c r="S62" s="19">
        <f t="shared" si="4"/>
        <v>0</v>
      </c>
      <c r="T62" s="19">
        <f t="shared" si="5"/>
        <v>0</v>
      </c>
      <c r="U62" s="19">
        <f t="shared" si="6"/>
        <v>0</v>
      </c>
      <c r="V62" s="19">
        <f t="shared" si="7"/>
        <v>0</v>
      </c>
      <c r="W62" s="19">
        <f t="shared" si="8"/>
        <v>0</v>
      </c>
      <c r="X62" s="19">
        <f t="shared" si="9"/>
        <v>0</v>
      </c>
      <c r="Y62" s="17">
        <f t="shared" si="10"/>
        <v>0</v>
      </c>
    </row>
    <row r="63" spans="1:25" x14ac:dyDescent="0.25">
      <c r="A63" s="18" t="str">
        <f>IF(OR(ISNUMBER('ENTERED ON'!M63), 'ENTERED ON'!M63=""), "M&amp;C / RESV/ OTHERS", 'ENTERED ON'!M63)</f>
        <v>M&amp;C / RESV/ OTHERS</v>
      </c>
      <c r="B63" s="18">
        <f>IF(ISTEXT(Table1[[#This Row],[ROOM TYPE]]), 1, 0)</f>
        <v>0</v>
      </c>
      <c r="C63" s="18">
        <f>IF(ISNUMBER('ENTERED ON'!L63), 0, 'ENTERED ON'!L63)</f>
        <v>0</v>
      </c>
      <c r="D63" s="18">
        <f>'ENTERED ON'!G63</f>
        <v>0</v>
      </c>
      <c r="E63" s="18">
        <f>IF(ISTEXT('ENTERED ON'!Q63), 1, 0)</f>
        <v>0</v>
      </c>
      <c r="F63" s="18">
        <f>IF(ISTEXT('ENTERED ON'!R62), 1, 0)</f>
        <v>0</v>
      </c>
      <c r="G63" s="18">
        <f>IFERROR(IF(ISTEXT('ENTERED ON'!P63), 0, 'ENTERED ON'!P63*1.1), 0)</f>
        <v>0</v>
      </c>
      <c r="H63" s="27">
        <f>IF(ISTEXT(G63), 0, Table1[[#This Row],[Amount]] / 'COMPANY PROD'!$V$33)</f>
        <v>0</v>
      </c>
      <c r="I63" s="27">
        <f>Table1[[#This Row],[NIGHTS]]/'COMPANY PROD'!$V$41</f>
        <v>0</v>
      </c>
      <c r="J63" s="24">
        <f>IFERROR(Table1[[#This Row],[Amount]]/Table1[[#This Row],[NIGHTS]],0)</f>
        <v>0</v>
      </c>
      <c r="K63" s="21">
        <f>IF(ISTEXT('ENTERED ON'!C63), 0, IFERROR('ENTERED ON'!C63, 0))</f>
        <v>0</v>
      </c>
      <c r="L63" s="21">
        <f>IF(ISTEXT('ENTERED ON'!D63), 0, IFERROR('ENTERED ON'!D63, 0))</f>
        <v>0</v>
      </c>
      <c r="M63" s="19">
        <f>Table1[[#This Row],[Check out ]]-Table1[[#This Row],[Check in ]]</f>
        <v>0</v>
      </c>
      <c r="N63" s="19"/>
      <c r="O63" s="19">
        <f t="shared" si="0"/>
        <v>0</v>
      </c>
      <c r="P63" s="19">
        <f t="shared" si="1"/>
        <v>0</v>
      </c>
      <c r="Q63" s="19">
        <f t="shared" si="2"/>
        <v>0</v>
      </c>
      <c r="R63" s="19">
        <f t="shared" si="3"/>
        <v>0</v>
      </c>
      <c r="S63" s="19">
        <f t="shared" si="4"/>
        <v>0</v>
      </c>
      <c r="T63" s="19">
        <f t="shared" si="5"/>
        <v>0</v>
      </c>
      <c r="U63" s="19">
        <f t="shared" si="6"/>
        <v>0</v>
      </c>
      <c r="V63" s="19">
        <f t="shared" si="7"/>
        <v>0</v>
      </c>
      <c r="W63" s="19">
        <f t="shared" si="8"/>
        <v>0</v>
      </c>
      <c r="X63" s="19">
        <f t="shared" si="9"/>
        <v>0</v>
      </c>
      <c r="Y63" s="17">
        <f t="shared" si="10"/>
        <v>0</v>
      </c>
    </row>
    <row r="64" spans="1:25" x14ac:dyDescent="0.25">
      <c r="A64" s="18" t="str">
        <f>IF(OR(ISNUMBER('ENTERED ON'!M64), 'ENTERED ON'!M64=""), "M&amp;C / RESV/ OTHERS", 'ENTERED ON'!M64)</f>
        <v>M&amp;C / RESV/ OTHERS</v>
      </c>
      <c r="B64" s="18">
        <f>IF(ISTEXT(Table1[[#This Row],[ROOM TYPE]]), 1, 0)</f>
        <v>0</v>
      </c>
      <c r="C64" s="18">
        <f>IF(ISNUMBER('ENTERED ON'!L64), 0, 'ENTERED ON'!L64)</f>
        <v>0</v>
      </c>
      <c r="D64" s="18">
        <f>'ENTERED ON'!G64</f>
        <v>0</v>
      </c>
      <c r="E64" s="18">
        <f>IF(ISTEXT('ENTERED ON'!Q64), 1, 0)</f>
        <v>0</v>
      </c>
      <c r="F64" s="18">
        <f>IF(ISTEXT('ENTERED ON'!R63), 1, 0)</f>
        <v>0</v>
      </c>
      <c r="G64" s="18">
        <f>IFERROR(IF(ISTEXT('ENTERED ON'!P64), 0, 'ENTERED ON'!P64*1.1), 0)</f>
        <v>0</v>
      </c>
      <c r="H64" s="27">
        <f>IF(ISTEXT(G64), 0, Table1[[#This Row],[Amount]] / 'COMPANY PROD'!$V$33)</f>
        <v>0</v>
      </c>
      <c r="I64" s="27">
        <f>Table1[[#This Row],[NIGHTS]]/'COMPANY PROD'!$V$41</f>
        <v>0</v>
      </c>
      <c r="J64" s="24">
        <f>IFERROR(Table1[[#This Row],[Amount]]/Table1[[#This Row],[NIGHTS]],0)</f>
        <v>0</v>
      </c>
      <c r="K64" s="21">
        <f>IF(ISTEXT('ENTERED ON'!C64), 0, IFERROR('ENTERED ON'!C64, 0))</f>
        <v>0</v>
      </c>
      <c r="L64" s="21">
        <f>IF(ISTEXT('ENTERED ON'!D64), 0, IFERROR('ENTERED ON'!D64, 0))</f>
        <v>0</v>
      </c>
      <c r="M64" s="19">
        <f>Table1[[#This Row],[Check out ]]-Table1[[#This Row],[Check in ]]</f>
        <v>0</v>
      </c>
      <c r="N64" s="19"/>
      <c r="O64" s="19">
        <f t="shared" si="0"/>
        <v>0</v>
      </c>
      <c r="P64" s="19">
        <f t="shared" si="1"/>
        <v>0</v>
      </c>
      <c r="Q64" s="19">
        <f t="shared" si="2"/>
        <v>0</v>
      </c>
      <c r="R64" s="19">
        <f t="shared" si="3"/>
        <v>0</v>
      </c>
      <c r="S64" s="19">
        <f t="shared" si="4"/>
        <v>0</v>
      </c>
      <c r="T64" s="19">
        <f t="shared" si="5"/>
        <v>0</v>
      </c>
      <c r="U64" s="19">
        <f t="shared" si="6"/>
        <v>0</v>
      </c>
      <c r="V64" s="19">
        <f t="shared" si="7"/>
        <v>0</v>
      </c>
      <c r="W64" s="19">
        <f t="shared" si="8"/>
        <v>0</v>
      </c>
      <c r="X64" s="19">
        <f t="shared" si="9"/>
        <v>0</v>
      </c>
      <c r="Y64" s="17">
        <f t="shared" si="10"/>
        <v>0</v>
      </c>
    </row>
    <row r="65" spans="1:25" x14ac:dyDescent="0.25">
      <c r="A65" s="18" t="str">
        <f>IF(OR(ISNUMBER('ENTERED ON'!M65), 'ENTERED ON'!M65=""), "M&amp;C / RESV/ OTHERS", 'ENTERED ON'!M65)</f>
        <v>M&amp;C / RESV/ OTHERS</v>
      </c>
      <c r="B65" s="18">
        <f>IF(ISTEXT(Table1[[#This Row],[ROOM TYPE]]), 1, 0)</f>
        <v>0</v>
      </c>
      <c r="C65" s="18">
        <f>IF(ISNUMBER('ENTERED ON'!L65), 0, 'ENTERED ON'!L65)</f>
        <v>0</v>
      </c>
      <c r="D65" s="18">
        <f>'ENTERED ON'!G65</f>
        <v>0</v>
      </c>
      <c r="E65" s="18">
        <f>IF(ISTEXT('ENTERED ON'!Q65), 1, 0)</f>
        <v>0</v>
      </c>
      <c r="F65" s="18">
        <f>IF(ISTEXT('ENTERED ON'!R64), 1, 0)</f>
        <v>0</v>
      </c>
      <c r="G65" s="18">
        <f>IFERROR(IF(ISTEXT('ENTERED ON'!P65), 0, 'ENTERED ON'!P65*1.1), 0)</f>
        <v>0</v>
      </c>
      <c r="H65" s="27">
        <f>IF(ISTEXT(G65), 0, Table1[[#This Row],[Amount]] / 'COMPANY PROD'!$V$33)</f>
        <v>0</v>
      </c>
      <c r="I65" s="27">
        <f>Table1[[#This Row],[NIGHTS]]/'COMPANY PROD'!$V$41</f>
        <v>0</v>
      </c>
      <c r="J65" s="24">
        <f>IFERROR(Table1[[#This Row],[Amount]]/Table1[[#This Row],[NIGHTS]],0)</f>
        <v>0</v>
      </c>
      <c r="K65" s="21">
        <f>IF(ISTEXT('ENTERED ON'!C65), 0, IFERROR('ENTERED ON'!C65, 0))</f>
        <v>0</v>
      </c>
      <c r="L65" s="21">
        <f>IF(ISTEXT('ENTERED ON'!D65), 0, IFERROR('ENTERED ON'!D65, 0))</f>
        <v>0</v>
      </c>
      <c r="M65" s="19">
        <f>Table1[[#This Row],[Check out ]]-Table1[[#This Row],[Check in ]]</f>
        <v>0</v>
      </c>
      <c r="N65" s="19"/>
      <c r="O65" s="19">
        <f t="shared" si="0"/>
        <v>0</v>
      </c>
      <c r="P65" s="19">
        <f t="shared" si="1"/>
        <v>0</v>
      </c>
      <c r="Q65" s="19">
        <f t="shared" si="2"/>
        <v>0</v>
      </c>
      <c r="R65" s="19">
        <f t="shared" si="3"/>
        <v>0</v>
      </c>
      <c r="S65" s="19">
        <f t="shared" si="4"/>
        <v>0</v>
      </c>
      <c r="T65" s="19">
        <f t="shared" si="5"/>
        <v>0</v>
      </c>
      <c r="U65" s="19">
        <f t="shared" si="6"/>
        <v>0</v>
      </c>
      <c r="V65" s="19">
        <f t="shared" si="7"/>
        <v>0</v>
      </c>
      <c r="W65" s="19">
        <f t="shared" si="8"/>
        <v>0</v>
      </c>
      <c r="X65" s="19">
        <f t="shared" si="9"/>
        <v>0</v>
      </c>
      <c r="Y65" s="17">
        <f t="shared" si="10"/>
        <v>0</v>
      </c>
    </row>
    <row r="66" spans="1:25" x14ac:dyDescent="0.25">
      <c r="A66" s="18" t="str">
        <f>IF(OR(ISNUMBER('ENTERED ON'!M66), 'ENTERED ON'!M66=""), "M&amp;C / RESV/ OTHERS", 'ENTERED ON'!M66)</f>
        <v>M&amp;C / RESV/ OTHERS</v>
      </c>
      <c r="B66" s="18">
        <f>IF(ISTEXT(Table1[[#This Row],[ROOM TYPE]]), 1, 0)</f>
        <v>0</v>
      </c>
      <c r="C66" s="18">
        <f>IF(ISNUMBER('ENTERED ON'!L66), 0, 'ENTERED ON'!L66)</f>
        <v>0</v>
      </c>
      <c r="D66" s="18">
        <f>'ENTERED ON'!G66</f>
        <v>0</v>
      </c>
      <c r="E66" s="18">
        <f>IF(ISTEXT('ENTERED ON'!Q66), 1, 0)</f>
        <v>0</v>
      </c>
      <c r="F66" s="18">
        <f>IF(ISTEXT('ENTERED ON'!R65), 1, 0)</f>
        <v>0</v>
      </c>
      <c r="G66" s="18">
        <f>IFERROR(IF(ISTEXT('ENTERED ON'!P66), 0, 'ENTERED ON'!P66*1.1), 0)</f>
        <v>0</v>
      </c>
      <c r="H66" s="27">
        <f>IF(ISTEXT(G66), 0, Table1[[#This Row],[Amount]] / 'COMPANY PROD'!$V$33)</f>
        <v>0</v>
      </c>
      <c r="I66" s="27">
        <f>Table1[[#This Row],[NIGHTS]]/'COMPANY PROD'!$V$41</f>
        <v>0</v>
      </c>
      <c r="J66" s="24">
        <f>IFERROR(Table1[[#This Row],[Amount]]/Table1[[#This Row],[NIGHTS]],0)</f>
        <v>0</v>
      </c>
      <c r="K66" s="21">
        <f>IF(ISTEXT('ENTERED ON'!C66), 0, IFERROR('ENTERED ON'!C66, 0))</f>
        <v>0</v>
      </c>
      <c r="L66" s="21">
        <f>IF(ISTEXT('ENTERED ON'!D66), 0, IFERROR('ENTERED ON'!D66, 0))</f>
        <v>0</v>
      </c>
      <c r="M66" s="19">
        <f>Table1[[#This Row],[Check out ]]-Table1[[#This Row],[Check in ]]</f>
        <v>0</v>
      </c>
      <c r="N66" s="19"/>
      <c r="O66" s="19">
        <f t="shared" si="0"/>
        <v>0</v>
      </c>
      <c r="P66" s="19">
        <f t="shared" si="1"/>
        <v>0</v>
      </c>
      <c r="Q66" s="19">
        <f t="shared" si="2"/>
        <v>0</v>
      </c>
      <c r="R66" s="19">
        <f t="shared" si="3"/>
        <v>0</v>
      </c>
      <c r="S66" s="19">
        <f t="shared" si="4"/>
        <v>0</v>
      </c>
      <c r="T66" s="19">
        <f t="shared" si="5"/>
        <v>0</v>
      </c>
      <c r="U66" s="19">
        <f t="shared" si="6"/>
        <v>0</v>
      </c>
      <c r="V66" s="19">
        <f t="shared" si="7"/>
        <v>0</v>
      </c>
      <c r="W66" s="19">
        <f t="shared" si="8"/>
        <v>0</v>
      </c>
      <c r="X66" s="19">
        <f t="shared" si="9"/>
        <v>0</v>
      </c>
      <c r="Y66" s="17">
        <f t="shared" si="10"/>
        <v>0</v>
      </c>
    </row>
    <row r="67" spans="1:25" x14ac:dyDescent="0.25">
      <c r="A67" s="18" t="str">
        <f>IF(OR(ISNUMBER('ENTERED ON'!M67), 'ENTERED ON'!M67=""), "M&amp;C / RESV/ OTHERS", 'ENTERED ON'!M67)</f>
        <v>M&amp;C / RESV/ OTHERS</v>
      </c>
      <c r="B67" s="18">
        <f>IF(ISTEXT(Table1[[#This Row],[ROOM TYPE]]), 1, 0)</f>
        <v>0</v>
      </c>
      <c r="C67" s="18">
        <f>IF(ISNUMBER('ENTERED ON'!L67), 0, 'ENTERED ON'!L67)</f>
        <v>0</v>
      </c>
      <c r="D67" s="18">
        <f>'ENTERED ON'!G67</f>
        <v>0</v>
      </c>
      <c r="E67" s="18">
        <f>IF(ISTEXT('ENTERED ON'!Q67), 1, 0)</f>
        <v>0</v>
      </c>
      <c r="F67" s="18">
        <f>IF(ISTEXT('ENTERED ON'!R66), 1, 0)</f>
        <v>0</v>
      </c>
      <c r="G67" s="18">
        <f>IFERROR(IF(ISTEXT('ENTERED ON'!P67), 0, 'ENTERED ON'!P67*1.1), 0)</f>
        <v>0</v>
      </c>
      <c r="H67" s="27">
        <f>IF(ISTEXT(G67), 0, Table1[[#This Row],[Amount]] / 'COMPANY PROD'!$V$33)</f>
        <v>0</v>
      </c>
      <c r="I67" s="27">
        <f>Table1[[#This Row],[NIGHTS]]/'COMPANY PROD'!$V$41</f>
        <v>0</v>
      </c>
      <c r="J67" s="24">
        <f>IFERROR(Table1[[#This Row],[Amount]]/Table1[[#This Row],[NIGHTS]],0)</f>
        <v>0</v>
      </c>
      <c r="K67" s="21">
        <f>IF(ISTEXT('ENTERED ON'!C67), 0, IFERROR('ENTERED ON'!C67, 0))</f>
        <v>0</v>
      </c>
      <c r="L67" s="21">
        <f>IF(ISTEXT('ENTERED ON'!D67), 0, IFERROR('ENTERED ON'!D67, 0))</f>
        <v>0</v>
      </c>
      <c r="M67" s="19">
        <f>Table1[[#This Row],[Check out ]]-Table1[[#This Row],[Check in ]]</f>
        <v>0</v>
      </c>
      <c r="N67" s="19"/>
      <c r="O67" s="19">
        <f t="shared" ref="O67:O130" si="11">MAX(0, MIN(L67-1, DATE(YEAR(K67), 3, 1)-1) - MAX(K67, DATE(YEAR(K67), 2, 1)) + 1)</f>
        <v>0</v>
      </c>
      <c r="P67" s="19">
        <f t="shared" ref="P67:P130" si="12">MAX(0, MIN(L67-1, DATE(YEAR(K67), 4, 1)-1) - MAX(K67, DATE(YEAR(K67), 3, 1)) + 1)</f>
        <v>0</v>
      </c>
      <c r="Q67" s="19">
        <f t="shared" ref="Q67:Q130" si="13">MAX(0,MIN(L67-1,DATE(YEAR(K67),5,1)-1)-MAX(K67,DATE(YEAR(K67),4,1))+1)</f>
        <v>0</v>
      </c>
      <c r="R67" s="19">
        <f t="shared" ref="R67:R130" si="14">MAX(0, MIN(L67-1, DATE(YEAR(K67), 6, 1)-1) - MAX(K67, DATE(YEAR(K67), 5, 1)) + 1)</f>
        <v>0</v>
      </c>
      <c r="S67" s="19">
        <f t="shared" ref="S67:S130" si="15">MAX(0, MIN(L67-1, DATE(YEAR(K67), 7, 1)-1) - MAX(K67, DATE(YEAR(K67), 6, 1)) + 1)</f>
        <v>0</v>
      </c>
      <c r="T67" s="19">
        <f t="shared" ref="T67:T130" si="16">MAX(0, MIN(L67-1, DATE(YEAR(K67), 8, 1)-1) - MAX(K67, DATE(YEAR(K67), 7, 1)) + 1)</f>
        <v>0</v>
      </c>
      <c r="U67" s="19">
        <f t="shared" ref="U67:U130" si="17">MAX(0, MIN(L67-1, DATE(YEAR(K67), 9, 1)-1) - MAX(K67, DATE(YEAR(K67), 8, 1)) + 1)</f>
        <v>0</v>
      </c>
      <c r="V67" s="19">
        <f t="shared" ref="V67:V130" si="18">MAX(0, MIN(L67-1, DATE(YEAR(K67), 10, 1)-1) - MAX(K67, DATE(YEAR(K67), 9, 1)) + 1)</f>
        <v>0</v>
      </c>
      <c r="W67" s="19">
        <f t="shared" ref="W67:W130" si="19">MAX(0, MIN(L67-1, DATE(YEAR(K67), 11, 1)-1) - MAX(K67, DATE(YEAR(K67), 10, 1)) + 1)</f>
        <v>0</v>
      </c>
      <c r="X67" s="19">
        <f t="shared" ref="X67:X130" si="20">MAX(0, MIN(L67-1, DATE(YEAR(K67), 12, 1)-1) - MAX(K67, DATE(YEAR(K67), 11, 1)) + 1)</f>
        <v>0</v>
      </c>
      <c r="Y67" s="17">
        <f t="shared" ref="Y67:Y130" si="21">MAX(0, MIN(L67-1, DATE(YEAR(K67)+1, 1, 1)-1) - MAX(K67, DATE(YEAR(K67), 12, 1)) + 1)</f>
        <v>0</v>
      </c>
    </row>
    <row r="68" spans="1:25" x14ac:dyDescent="0.25">
      <c r="A68" s="18" t="str">
        <f>IF(OR(ISNUMBER('ENTERED ON'!M68), 'ENTERED ON'!M68=""), "M&amp;C / RESV/ OTHERS", 'ENTERED ON'!M68)</f>
        <v>M&amp;C / RESV/ OTHERS</v>
      </c>
      <c r="B68" s="18">
        <f>IF(ISTEXT(Table1[[#This Row],[ROOM TYPE]]), 1, 0)</f>
        <v>0</v>
      </c>
      <c r="C68" s="18">
        <f>IF(ISNUMBER('ENTERED ON'!L68), 0, 'ENTERED ON'!L68)</f>
        <v>0</v>
      </c>
      <c r="D68" s="18">
        <f>'ENTERED ON'!G68</f>
        <v>0</v>
      </c>
      <c r="E68" s="18">
        <f>IF(ISTEXT('ENTERED ON'!Q68), 1, 0)</f>
        <v>0</v>
      </c>
      <c r="F68" s="18">
        <f>IF(ISTEXT('ENTERED ON'!R67), 1, 0)</f>
        <v>0</v>
      </c>
      <c r="G68" s="18">
        <f>IFERROR(IF(ISTEXT('ENTERED ON'!P68), 0, 'ENTERED ON'!P68*1.1), 0)</f>
        <v>0</v>
      </c>
      <c r="H68" s="27">
        <f>IF(ISTEXT(G68), 0, Table1[[#This Row],[Amount]] / 'COMPANY PROD'!$V$33)</f>
        <v>0</v>
      </c>
      <c r="I68" s="27">
        <f>Table1[[#This Row],[NIGHTS]]/'COMPANY PROD'!$V$41</f>
        <v>0</v>
      </c>
      <c r="J68" s="24">
        <f>IFERROR(Table1[[#This Row],[Amount]]/Table1[[#This Row],[NIGHTS]],0)</f>
        <v>0</v>
      </c>
      <c r="K68" s="21">
        <f>IF(ISTEXT('ENTERED ON'!C68), 0, IFERROR('ENTERED ON'!C68, 0))</f>
        <v>0</v>
      </c>
      <c r="L68" s="21">
        <f>IF(ISTEXT('ENTERED ON'!D68), 0, IFERROR('ENTERED ON'!D68, 0))</f>
        <v>0</v>
      </c>
      <c r="M68" s="19">
        <f>Table1[[#This Row],[Check out ]]-Table1[[#This Row],[Check in ]]</f>
        <v>0</v>
      </c>
      <c r="N68" s="19"/>
      <c r="O68" s="19">
        <f t="shared" si="11"/>
        <v>0</v>
      </c>
      <c r="P68" s="19">
        <f t="shared" si="12"/>
        <v>0</v>
      </c>
      <c r="Q68" s="19">
        <f t="shared" si="13"/>
        <v>0</v>
      </c>
      <c r="R68" s="19">
        <f t="shared" si="14"/>
        <v>0</v>
      </c>
      <c r="S68" s="19">
        <f t="shared" si="15"/>
        <v>0</v>
      </c>
      <c r="T68" s="19">
        <f t="shared" si="16"/>
        <v>0</v>
      </c>
      <c r="U68" s="19">
        <f t="shared" si="17"/>
        <v>0</v>
      </c>
      <c r="V68" s="19">
        <f t="shared" si="18"/>
        <v>0</v>
      </c>
      <c r="W68" s="19">
        <f t="shared" si="19"/>
        <v>0</v>
      </c>
      <c r="X68" s="19">
        <f t="shared" si="20"/>
        <v>0</v>
      </c>
      <c r="Y68" s="17">
        <f t="shared" si="21"/>
        <v>0</v>
      </c>
    </row>
    <row r="69" spans="1:25" x14ac:dyDescent="0.25">
      <c r="A69" s="18" t="str">
        <f>IF(OR(ISNUMBER('ENTERED ON'!M69), 'ENTERED ON'!M69=""), "M&amp;C / RESV/ OTHERS", 'ENTERED ON'!M69)</f>
        <v>M&amp;C / RESV/ OTHERS</v>
      </c>
      <c r="B69" s="18">
        <f>IF(ISTEXT(Table1[[#This Row],[ROOM TYPE]]), 1, 0)</f>
        <v>0</v>
      </c>
      <c r="C69" s="18">
        <f>IF(ISNUMBER('ENTERED ON'!L69), 0, 'ENTERED ON'!L69)</f>
        <v>0</v>
      </c>
      <c r="D69" s="18">
        <f>'ENTERED ON'!G69</f>
        <v>0</v>
      </c>
      <c r="E69" s="18">
        <f>IF(ISTEXT('ENTERED ON'!Q69), 1, 0)</f>
        <v>0</v>
      </c>
      <c r="F69" s="18">
        <f>IF(ISTEXT('ENTERED ON'!R68), 1, 0)</f>
        <v>0</v>
      </c>
      <c r="G69" s="18">
        <f>IFERROR(IF(ISTEXT('ENTERED ON'!P69), 0, 'ENTERED ON'!P69*1.1), 0)</f>
        <v>0</v>
      </c>
      <c r="H69" s="27">
        <f>IF(ISTEXT(G69), 0, Table1[[#This Row],[Amount]] / 'COMPANY PROD'!$V$33)</f>
        <v>0</v>
      </c>
      <c r="I69" s="27">
        <f>Table1[[#This Row],[NIGHTS]]/'COMPANY PROD'!$V$41</f>
        <v>0</v>
      </c>
      <c r="J69" s="24">
        <f>IFERROR(Table1[[#This Row],[Amount]]/Table1[[#This Row],[NIGHTS]],0)</f>
        <v>0</v>
      </c>
      <c r="K69" s="21">
        <f>IF(ISTEXT('ENTERED ON'!C69), 0, IFERROR('ENTERED ON'!C69, 0))</f>
        <v>0</v>
      </c>
      <c r="L69" s="21">
        <f>IF(ISTEXT('ENTERED ON'!D69), 0, IFERROR('ENTERED ON'!D69, 0))</f>
        <v>0</v>
      </c>
      <c r="M69" s="19">
        <f>Table1[[#This Row],[Check out ]]-Table1[[#This Row],[Check in ]]</f>
        <v>0</v>
      </c>
      <c r="N69" s="19"/>
      <c r="O69" s="19">
        <f t="shared" si="11"/>
        <v>0</v>
      </c>
      <c r="P69" s="19">
        <f t="shared" si="12"/>
        <v>0</v>
      </c>
      <c r="Q69" s="19">
        <f t="shared" si="13"/>
        <v>0</v>
      </c>
      <c r="R69" s="19">
        <f t="shared" si="14"/>
        <v>0</v>
      </c>
      <c r="S69" s="19">
        <f t="shared" si="15"/>
        <v>0</v>
      </c>
      <c r="T69" s="19">
        <f t="shared" si="16"/>
        <v>0</v>
      </c>
      <c r="U69" s="19">
        <f t="shared" si="17"/>
        <v>0</v>
      </c>
      <c r="V69" s="19">
        <f t="shared" si="18"/>
        <v>0</v>
      </c>
      <c r="W69" s="19">
        <f t="shared" si="19"/>
        <v>0</v>
      </c>
      <c r="X69" s="19">
        <f t="shared" si="20"/>
        <v>0</v>
      </c>
      <c r="Y69" s="17">
        <f t="shared" si="21"/>
        <v>0</v>
      </c>
    </row>
    <row r="70" spans="1:25" x14ac:dyDescent="0.25">
      <c r="A70" s="18" t="str">
        <f>IF(OR(ISNUMBER('ENTERED ON'!M70), 'ENTERED ON'!M70=""), "M&amp;C / RESV/ OTHERS", 'ENTERED ON'!M70)</f>
        <v>M&amp;C / RESV/ OTHERS</v>
      </c>
      <c r="B70" s="18">
        <f>IF(ISTEXT(Table1[[#This Row],[ROOM TYPE]]), 1, 0)</f>
        <v>0</v>
      </c>
      <c r="C70" s="18">
        <f>IF(ISNUMBER('ENTERED ON'!L70), 0, 'ENTERED ON'!L70)</f>
        <v>0</v>
      </c>
      <c r="D70" s="18">
        <f>'ENTERED ON'!G70</f>
        <v>0</v>
      </c>
      <c r="E70" s="18">
        <f>IF(ISTEXT('ENTERED ON'!Q70), 1, 0)</f>
        <v>0</v>
      </c>
      <c r="F70" s="18">
        <f>IF(ISTEXT('ENTERED ON'!R69), 1, 0)</f>
        <v>0</v>
      </c>
      <c r="G70" s="18">
        <f>IFERROR(IF(ISTEXT('ENTERED ON'!P70), 0, 'ENTERED ON'!P70*1.1), 0)</f>
        <v>0</v>
      </c>
      <c r="H70" s="27">
        <f>IF(ISTEXT(G70), 0, Table1[[#This Row],[Amount]] / 'COMPANY PROD'!$V$33)</f>
        <v>0</v>
      </c>
      <c r="I70" s="27">
        <f>Table1[[#This Row],[NIGHTS]]/'COMPANY PROD'!$V$41</f>
        <v>0</v>
      </c>
      <c r="J70" s="24">
        <f>IFERROR(Table1[[#This Row],[Amount]]/Table1[[#This Row],[NIGHTS]],0)</f>
        <v>0</v>
      </c>
      <c r="K70" s="21">
        <f>IF(ISTEXT('ENTERED ON'!C70), 0, IFERROR('ENTERED ON'!C70, 0))</f>
        <v>0</v>
      </c>
      <c r="L70" s="21">
        <f>IF(ISTEXT('ENTERED ON'!D70), 0, IFERROR('ENTERED ON'!D70, 0))</f>
        <v>0</v>
      </c>
      <c r="M70" s="19">
        <f>Table1[[#This Row],[Check out ]]-Table1[[#This Row],[Check in ]]</f>
        <v>0</v>
      </c>
      <c r="N70" s="19"/>
      <c r="O70" s="19">
        <f t="shared" si="11"/>
        <v>0</v>
      </c>
      <c r="P70" s="19">
        <f t="shared" si="12"/>
        <v>0</v>
      </c>
      <c r="Q70" s="19">
        <f t="shared" si="13"/>
        <v>0</v>
      </c>
      <c r="R70" s="19">
        <f t="shared" si="14"/>
        <v>0</v>
      </c>
      <c r="S70" s="19">
        <f t="shared" si="15"/>
        <v>0</v>
      </c>
      <c r="T70" s="19">
        <f t="shared" si="16"/>
        <v>0</v>
      </c>
      <c r="U70" s="19">
        <f t="shared" si="17"/>
        <v>0</v>
      </c>
      <c r="V70" s="19">
        <f t="shared" si="18"/>
        <v>0</v>
      </c>
      <c r="W70" s="19">
        <f t="shared" si="19"/>
        <v>0</v>
      </c>
      <c r="X70" s="19">
        <f t="shared" si="20"/>
        <v>0</v>
      </c>
      <c r="Y70" s="17">
        <f t="shared" si="21"/>
        <v>0</v>
      </c>
    </row>
    <row r="71" spans="1:25" x14ac:dyDescent="0.25">
      <c r="A71" s="18" t="str">
        <f>IF(OR(ISNUMBER('ENTERED ON'!M71), 'ENTERED ON'!M71=""), "M&amp;C / RESV/ OTHERS", 'ENTERED ON'!M71)</f>
        <v>M&amp;C / RESV/ OTHERS</v>
      </c>
      <c r="B71" s="18">
        <f>IF(ISTEXT(Table1[[#This Row],[ROOM TYPE]]), 1, 0)</f>
        <v>0</v>
      </c>
      <c r="C71" s="18">
        <f>IF(ISNUMBER('ENTERED ON'!L71), 0, 'ENTERED ON'!L71)</f>
        <v>0</v>
      </c>
      <c r="D71" s="18">
        <f>'ENTERED ON'!G71</f>
        <v>0</v>
      </c>
      <c r="E71" s="18">
        <f>IF(ISTEXT('ENTERED ON'!Q71), 1, 0)</f>
        <v>0</v>
      </c>
      <c r="F71" s="18">
        <f>IF(ISTEXT('ENTERED ON'!R70), 1, 0)</f>
        <v>0</v>
      </c>
      <c r="G71" s="18">
        <f>IFERROR(IF(ISTEXT('ENTERED ON'!P71), 0, 'ENTERED ON'!P71*1.1), 0)</f>
        <v>0</v>
      </c>
      <c r="H71" s="27">
        <f>IF(ISTEXT(G71), 0, Table1[[#This Row],[Amount]] / 'COMPANY PROD'!$V$33)</f>
        <v>0</v>
      </c>
      <c r="I71" s="27">
        <f>Table1[[#This Row],[NIGHTS]]/'COMPANY PROD'!$V$41</f>
        <v>0</v>
      </c>
      <c r="J71" s="24">
        <f>IFERROR(Table1[[#This Row],[Amount]]/Table1[[#This Row],[NIGHTS]],0)</f>
        <v>0</v>
      </c>
      <c r="K71" s="21">
        <f>IF(ISTEXT('ENTERED ON'!C71), 0, IFERROR('ENTERED ON'!C71, 0))</f>
        <v>0</v>
      </c>
      <c r="L71" s="21">
        <f>IF(ISTEXT('ENTERED ON'!D71), 0, IFERROR('ENTERED ON'!D71, 0))</f>
        <v>0</v>
      </c>
      <c r="M71" s="19">
        <f>Table1[[#This Row],[Check out ]]-Table1[[#This Row],[Check in ]]</f>
        <v>0</v>
      </c>
      <c r="N71" s="19"/>
      <c r="O71" s="19">
        <f t="shared" si="11"/>
        <v>0</v>
      </c>
      <c r="P71" s="19">
        <f t="shared" si="12"/>
        <v>0</v>
      </c>
      <c r="Q71" s="19">
        <f t="shared" si="13"/>
        <v>0</v>
      </c>
      <c r="R71" s="19">
        <f t="shared" si="14"/>
        <v>0</v>
      </c>
      <c r="S71" s="19">
        <f t="shared" si="15"/>
        <v>0</v>
      </c>
      <c r="T71" s="19">
        <f t="shared" si="16"/>
        <v>0</v>
      </c>
      <c r="U71" s="19">
        <f t="shared" si="17"/>
        <v>0</v>
      </c>
      <c r="V71" s="19">
        <f t="shared" si="18"/>
        <v>0</v>
      </c>
      <c r="W71" s="19">
        <f t="shared" si="19"/>
        <v>0</v>
      </c>
      <c r="X71" s="19">
        <f t="shared" si="20"/>
        <v>0</v>
      </c>
      <c r="Y71" s="17">
        <f t="shared" si="21"/>
        <v>0</v>
      </c>
    </row>
    <row r="72" spans="1:25" x14ac:dyDescent="0.25">
      <c r="A72" s="18" t="str">
        <f>IF(OR(ISNUMBER('ENTERED ON'!M72), 'ENTERED ON'!M72=""), "M&amp;C / RESV/ OTHERS", 'ENTERED ON'!M72)</f>
        <v>M&amp;C / RESV/ OTHERS</v>
      </c>
      <c r="B72" s="18">
        <f>IF(ISTEXT(Table1[[#This Row],[ROOM TYPE]]), 1, 0)</f>
        <v>0</v>
      </c>
      <c r="C72" s="18">
        <f>IF(ISNUMBER('ENTERED ON'!L72), 0, 'ENTERED ON'!L72)</f>
        <v>0</v>
      </c>
      <c r="D72" s="18">
        <f>'ENTERED ON'!G72</f>
        <v>0</v>
      </c>
      <c r="E72" s="18">
        <f>IF(ISTEXT('ENTERED ON'!Q72), 1, 0)</f>
        <v>0</v>
      </c>
      <c r="F72" s="18">
        <f>IF(ISTEXT('ENTERED ON'!R71), 1, 0)</f>
        <v>0</v>
      </c>
      <c r="G72" s="18">
        <f>IFERROR(IF(ISTEXT('ENTERED ON'!P72), 0, 'ENTERED ON'!P72*1.1), 0)</f>
        <v>0</v>
      </c>
      <c r="H72" s="27">
        <f>IF(ISTEXT(G72), 0, Table1[[#This Row],[Amount]] / 'COMPANY PROD'!$V$33)</f>
        <v>0</v>
      </c>
      <c r="I72" s="27">
        <f>Table1[[#This Row],[NIGHTS]]/'COMPANY PROD'!$V$41</f>
        <v>0</v>
      </c>
      <c r="J72" s="24">
        <f>IFERROR(Table1[[#This Row],[Amount]]/Table1[[#This Row],[NIGHTS]],0)</f>
        <v>0</v>
      </c>
      <c r="K72" s="21">
        <f>IF(ISTEXT('ENTERED ON'!C72), 0, IFERROR('ENTERED ON'!C72, 0))</f>
        <v>0</v>
      </c>
      <c r="L72" s="21">
        <f>IF(ISTEXT('ENTERED ON'!D72), 0, IFERROR('ENTERED ON'!D72, 0))</f>
        <v>0</v>
      </c>
      <c r="M72" s="19">
        <f>Table1[[#This Row],[Check out ]]-Table1[[#This Row],[Check in ]]</f>
        <v>0</v>
      </c>
      <c r="N72" s="19"/>
      <c r="O72" s="19">
        <f t="shared" si="11"/>
        <v>0</v>
      </c>
      <c r="P72" s="19">
        <f t="shared" si="12"/>
        <v>0</v>
      </c>
      <c r="Q72" s="19">
        <f t="shared" si="13"/>
        <v>0</v>
      </c>
      <c r="R72" s="19">
        <f t="shared" si="14"/>
        <v>0</v>
      </c>
      <c r="S72" s="19">
        <f t="shared" si="15"/>
        <v>0</v>
      </c>
      <c r="T72" s="19">
        <f t="shared" si="16"/>
        <v>0</v>
      </c>
      <c r="U72" s="19">
        <f t="shared" si="17"/>
        <v>0</v>
      </c>
      <c r="V72" s="19">
        <f t="shared" si="18"/>
        <v>0</v>
      </c>
      <c r="W72" s="19">
        <f t="shared" si="19"/>
        <v>0</v>
      </c>
      <c r="X72" s="19">
        <f t="shared" si="20"/>
        <v>0</v>
      </c>
      <c r="Y72" s="17">
        <f t="shared" si="21"/>
        <v>0</v>
      </c>
    </row>
    <row r="73" spans="1:25" x14ac:dyDescent="0.25">
      <c r="A73" s="18" t="str">
        <f>IF(OR(ISNUMBER('ENTERED ON'!M73), 'ENTERED ON'!M73=""), "M&amp;C / RESV/ OTHERS", 'ENTERED ON'!M73)</f>
        <v>M&amp;C / RESV/ OTHERS</v>
      </c>
      <c r="B73" s="18">
        <f>IF(ISTEXT(Table1[[#This Row],[ROOM TYPE]]), 1, 0)</f>
        <v>0</v>
      </c>
      <c r="C73" s="18">
        <f>IF(ISNUMBER('ENTERED ON'!L73), 0, 'ENTERED ON'!L73)</f>
        <v>0</v>
      </c>
      <c r="D73" s="18">
        <f>'ENTERED ON'!G73</f>
        <v>0</v>
      </c>
      <c r="E73" s="18">
        <f>IF(ISTEXT('ENTERED ON'!Q73), 1, 0)</f>
        <v>0</v>
      </c>
      <c r="F73" s="18">
        <f>IF(ISTEXT('ENTERED ON'!R72), 1, 0)</f>
        <v>0</v>
      </c>
      <c r="G73" s="18">
        <f>IFERROR(IF(ISTEXT('ENTERED ON'!P73), 0, 'ENTERED ON'!P73*1.1), 0)</f>
        <v>0</v>
      </c>
      <c r="H73" s="27">
        <f>IF(ISTEXT(G73), 0, Table1[[#This Row],[Amount]] / 'COMPANY PROD'!$V$33)</f>
        <v>0</v>
      </c>
      <c r="I73" s="27">
        <f>Table1[[#This Row],[NIGHTS]]/'COMPANY PROD'!$V$41</f>
        <v>0</v>
      </c>
      <c r="J73" s="24">
        <f>IFERROR(Table1[[#This Row],[Amount]]/Table1[[#This Row],[NIGHTS]],0)</f>
        <v>0</v>
      </c>
      <c r="K73" s="21">
        <f>IF(ISTEXT('ENTERED ON'!C73), 0, IFERROR('ENTERED ON'!C73, 0))</f>
        <v>0</v>
      </c>
      <c r="L73" s="21">
        <f>IF(ISTEXT('ENTERED ON'!D73), 0, IFERROR('ENTERED ON'!D73, 0))</f>
        <v>0</v>
      </c>
      <c r="M73" s="19">
        <f>Table1[[#This Row],[Check out ]]-Table1[[#This Row],[Check in ]]</f>
        <v>0</v>
      </c>
      <c r="N73" s="19"/>
      <c r="O73" s="19">
        <f t="shared" si="11"/>
        <v>0</v>
      </c>
      <c r="P73" s="19">
        <f t="shared" si="12"/>
        <v>0</v>
      </c>
      <c r="Q73" s="19">
        <f t="shared" si="13"/>
        <v>0</v>
      </c>
      <c r="R73" s="19">
        <f t="shared" si="14"/>
        <v>0</v>
      </c>
      <c r="S73" s="19">
        <f t="shared" si="15"/>
        <v>0</v>
      </c>
      <c r="T73" s="19">
        <f t="shared" si="16"/>
        <v>0</v>
      </c>
      <c r="U73" s="19">
        <f t="shared" si="17"/>
        <v>0</v>
      </c>
      <c r="V73" s="19">
        <f t="shared" si="18"/>
        <v>0</v>
      </c>
      <c r="W73" s="19">
        <f t="shared" si="19"/>
        <v>0</v>
      </c>
      <c r="X73" s="19">
        <f t="shared" si="20"/>
        <v>0</v>
      </c>
      <c r="Y73" s="17">
        <f t="shared" si="21"/>
        <v>0</v>
      </c>
    </row>
    <row r="74" spans="1:25" x14ac:dyDescent="0.25">
      <c r="A74" s="18" t="str">
        <f>IF(OR(ISNUMBER('ENTERED ON'!M74), 'ENTERED ON'!M74=""), "M&amp;C / RESV/ OTHERS", 'ENTERED ON'!M74)</f>
        <v>M&amp;C / RESV/ OTHERS</v>
      </c>
      <c r="B74" s="18">
        <f>IF(ISTEXT(Table1[[#This Row],[ROOM TYPE]]), 1, 0)</f>
        <v>0</v>
      </c>
      <c r="C74" s="18">
        <f>IF(ISNUMBER('ENTERED ON'!L74), 0, 'ENTERED ON'!L74)</f>
        <v>0</v>
      </c>
      <c r="D74" s="18">
        <f>'ENTERED ON'!G74</f>
        <v>0</v>
      </c>
      <c r="E74" s="18">
        <f>IF(ISTEXT('ENTERED ON'!Q74), 1, 0)</f>
        <v>0</v>
      </c>
      <c r="F74" s="18">
        <f>IF(ISTEXT('ENTERED ON'!R73), 1, 0)</f>
        <v>0</v>
      </c>
      <c r="G74" s="18">
        <f>IFERROR(IF(ISTEXT('ENTERED ON'!P74), 0, 'ENTERED ON'!P74*1.1), 0)</f>
        <v>0</v>
      </c>
      <c r="H74" s="27">
        <f>IF(ISTEXT(G74), 0, Table1[[#This Row],[Amount]] / 'COMPANY PROD'!$V$33)</f>
        <v>0</v>
      </c>
      <c r="I74" s="27">
        <f>Table1[[#This Row],[NIGHTS]]/'COMPANY PROD'!$V$41</f>
        <v>0</v>
      </c>
      <c r="J74" s="24">
        <f>IFERROR(Table1[[#This Row],[Amount]]/Table1[[#This Row],[NIGHTS]],0)</f>
        <v>0</v>
      </c>
      <c r="K74" s="21">
        <f>IF(ISTEXT('ENTERED ON'!C74), 0, IFERROR('ENTERED ON'!C74, 0))</f>
        <v>0</v>
      </c>
      <c r="L74" s="21">
        <f>IF(ISTEXT('ENTERED ON'!D74), 0, IFERROR('ENTERED ON'!D74, 0))</f>
        <v>0</v>
      </c>
      <c r="M74" s="19">
        <f>Table1[[#This Row],[Check out ]]-Table1[[#This Row],[Check in ]]</f>
        <v>0</v>
      </c>
      <c r="N74" s="19"/>
      <c r="O74" s="19">
        <f t="shared" si="11"/>
        <v>0</v>
      </c>
      <c r="P74" s="19">
        <f t="shared" si="12"/>
        <v>0</v>
      </c>
      <c r="Q74" s="19">
        <f t="shared" si="13"/>
        <v>0</v>
      </c>
      <c r="R74" s="19">
        <f t="shared" si="14"/>
        <v>0</v>
      </c>
      <c r="S74" s="19">
        <f t="shared" si="15"/>
        <v>0</v>
      </c>
      <c r="T74" s="19">
        <f t="shared" si="16"/>
        <v>0</v>
      </c>
      <c r="U74" s="19">
        <f t="shared" si="17"/>
        <v>0</v>
      </c>
      <c r="V74" s="19">
        <f t="shared" si="18"/>
        <v>0</v>
      </c>
      <c r="W74" s="19">
        <f t="shared" si="19"/>
        <v>0</v>
      </c>
      <c r="X74" s="19">
        <f t="shared" si="20"/>
        <v>0</v>
      </c>
      <c r="Y74" s="17">
        <f t="shared" si="21"/>
        <v>0</v>
      </c>
    </row>
    <row r="75" spans="1:25" x14ac:dyDescent="0.25">
      <c r="A75" s="18" t="str">
        <f>IF(OR(ISNUMBER('ENTERED ON'!M75), 'ENTERED ON'!M75=""), "M&amp;C / RESV/ OTHERS", 'ENTERED ON'!M75)</f>
        <v>M&amp;C / RESV/ OTHERS</v>
      </c>
      <c r="B75" s="18">
        <f>IF(ISTEXT(Table1[[#This Row],[ROOM TYPE]]), 1, 0)</f>
        <v>0</v>
      </c>
      <c r="C75" s="18">
        <f>IF(ISNUMBER('ENTERED ON'!L75), 0, 'ENTERED ON'!L75)</f>
        <v>0</v>
      </c>
      <c r="D75" s="18">
        <f>'ENTERED ON'!G75</f>
        <v>0</v>
      </c>
      <c r="E75" s="18">
        <f>IF(ISTEXT('ENTERED ON'!Q75), 1, 0)</f>
        <v>0</v>
      </c>
      <c r="F75" s="18">
        <f>IF(ISTEXT('ENTERED ON'!R74), 1, 0)</f>
        <v>0</v>
      </c>
      <c r="G75" s="18">
        <f>IFERROR(IF(ISTEXT('ENTERED ON'!P75), 0, 'ENTERED ON'!P75*1.1), 0)</f>
        <v>0</v>
      </c>
      <c r="H75" s="27">
        <f>IF(ISTEXT(G75), 0, Table1[[#This Row],[Amount]] / 'COMPANY PROD'!$V$33)</f>
        <v>0</v>
      </c>
      <c r="I75" s="27">
        <f>Table1[[#This Row],[NIGHTS]]/'COMPANY PROD'!$V$41</f>
        <v>0</v>
      </c>
      <c r="J75" s="24">
        <f>IFERROR(Table1[[#This Row],[Amount]]/Table1[[#This Row],[NIGHTS]],0)</f>
        <v>0</v>
      </c>
      <c r="K75" s="21">
        <f>IF(ISTEXT('ENTERED ON'!C75), 0, IFERROR('ENTERED ON'!C75, 0))</f>
        <v>0</v>
      </c>
      <c r="L75" s="21">
        <f>IF(ISTEXT('ENTERED ON'!D75), 0, IFERROR('ENTERED ON'!D75, 0))</f>
        <v>0</v>
      </c>
      <c r="M75" s="19">
        <f>Table1[[#This Row],[Check out ]]-Table1[[#This Row],[Check in ]]</f>
        <v>0</v>
      </c>
      <c r="N75" s="19"/>
      <c r="O75" s="19">
        <f t="shared" si="11"/>
        <v>0</v>
      </c>
      <c r="P75" s="19">
        <f t="shared" si="12"/>
        <v>0</v>
      </c>
      <c r="Q75" s="19">
        <f t="shared" si="13"/>
        <v>0</v>
      </c>
      <c r="R75" s="19">
        <f t="shared" si="14"/>
        <v>0</v>
      </c>
      <c r="S75" s="19">
        <f t="shared" si="15"/>
        <v>0</v>
      </c>
      <c r="T75" s="19">
        <f t="shared" si="16"/>
        <v>0</v>
      </c>
      <c r="U75" s="19">
        <f t="shared" si="17"/>
        <v>0</v>
      </c>
      <c r="V75" s="19">
        <f t="shared" si="18"/>
        <v>0</v>
      </c>
      <c r="W75" s="19">
        <f t="shared" si="19"/>
        <v>0</v>
      </c>
      <c r="X75" s="19">
        <f t="shared" si="20"/>
        <v>0</v>
      </c>
      <c r="Y75" s="17">
        <f t="shared" si="21"/>
        <v>0</v>
      </c>
    </row>
    <row r="76" spans="1:25" x14ac:dyDescent="0.25">
      <c r="A76" s="18" t="str">
        <f>IF(OR(ISNUMBER('ENTERED ON'!M76), 'ENTERED ON'!M76=""), "M&amp;C / RESV/ OTHERS", 'ENTERED ON'!M76)</f>
        <v>M&amp;C / RESV/ OTHERS</v>
      </c>
      <c r="B76" s="18">
        <f>IF(ISTEXT(Table1[[#This Row],[ROOM TYPE]]), 1, 0)</f>
        <v>0</v>
      </c>
      <c r="C76" s="18">
        <f>IF(ISNUMBER('ENTERED ON'!L76), 0, 'ENTERED ON'!L76)</f>
        <v>0</v>
      </c>
      <c r="D76" s="18">
        <f>'ENTERED ON'!G76</f>
        <v>0</v>
      </c>
      <c r="E76" s="18">
        <f>IF(ISTEXT('ENTERED ON'!Q76), 1, 0)</f>
        <v>0</v>
      </c>
      <c r="F76" s="18">
        <f>IF(ISTEXT('ENTERED ON'!R75), 1, 0)</f>
        <v>0</v>
      </c>
      <c r="G76" s="18">
        <f>IFERROR(IF(ISTEXT('ENTERED ON'!P76), 0, 'ENTERED ON'!P76*1.1), 0)</f>
        <v>0</v>
      </c>
      <c r="H76" s="27">
        <f>IF(ISTEXT(G76), 0, Table1[[#This Row],[Amount]] / 'COMPANY PROD'!$V$33)</f>
        <v>0</v>
      </c>
      <c r="I76" s="27">
        <f>Table1[[#This Row],[NIGHTS]]/'COMPANY PROD'!$V$41</f>
        <v>0</v>
      </c>
      <c r="J76" s="24">
        <f>IFERROR(Table1[[#This Row],[Amount]]/Table1[[#This Row],[NIGHTS]],0)</f>
        <v>0</v>
      </c>
      <c r="K76" s="21">
        <f>IF(ISTEXT('ENTERED ON'!C76), 0, IFERROR('ENTERED ON'!C76, 0))</f>
        <v>0</v>
      </c>
      <c r="L76" s="21">
        <f>IF(ISTEXT('ENTERED ON'!D76), 0, IFERROR('ENTERED ON'!D76, 0))</f>
        <v>0</v>
      </c>
      <c r="M76" s="19">
        <f>Table1[[#This Row],[Check out ]]-Table1[[#This Row],[Check in ]]</f>
        <v>0</v>
      </c>
      <c r="N76" s="19"/>
      <c r="O76" s="19">
        <f t="shared" si="11"/>
        <v>0</v>
      </c>
      <c r="P76" s="19">
        <f t="shared" si="12"/>
        <v>0</v>
      </c>
      <c r="Q76" s="19">
        <f t="shared" si="13"/>
        <v>0</v>
      </c>
      <c r="R76" s="19">
        <f t="shared" si="14"/>
        <v>0</v>
      </c>
      <c r="S76" s="19">
        <f t="shared" si="15"/>
        <v>0</v>
      </c>
      <c r="T76" s="19">
        <f t="shared" si="16"/>
        <v>0</v>
      </c>
      <c r="U76" s="19">
        <f t="shared" si="17"/>
        <v>0</v>
      </c>
      <c r="V76" s="19">
        <f t="shared" si="18"/>
        <v>0</v>
      </c>
      <c r="W76" s="19">
        <f t="shared" si="19"/>
        <v>0</v>
      </c>
      <c r="X76" s="19">
        <f t="shared" si="20"/>
        <v>0</v>
      </c>
      <c r="Y76" s="17">
        <f t="shared" si="21"/>
        <v>0</v>
      </c>
    </row>
    <row r="77" spans="1:25" x14ac:dyDescent="0.25">
      <c r="A77" s="18" t="str">
        <f>IF(OR(ISNUMBER('ENTERED ON'!M77), 'ENTERED ON'!M77=""), "M&amp;C / RESV/ OTHERS", 'ENTERED ON'!M77)</f>
        <v>M&amp;C / RESV/ OTHERS</v>
      </c>
      <c r="B77" s="18">
        <f>IF(ISTEXT(Table1[[#This Row],[ROOM TYPE]]), 1, 0)</f>
        <v>0</v>
      </c>
      <c r="C77" s="18">
        <f>IF(ISNUMBER('ENTERED ON'!L77), 0, 'ENTERED ON'!L77)</f>
        <v>0</v>
      </c>
      <c r="D77" s="18">
        <f>'ENTERED ON'!G77</f>
        <v>0</v>
      </c>
      <c r="E77" s="18">
        <f>IF(ISTEXT('ENTERED ON'!Q77), 1, 0)</f>
        <v>0</v>
      </c>
      <c r="F77" s="18">
        <f>IF(ISTEXT('ENTERED ON'!R76), 1, 0)</f>
        <v>0</v>
      </c>
      <c r="G77" s="18">
        <f>IFERROR(IF(ISTEXT('ENTERED ON'!P77), 0, 'ENTERED ON'!P77*1.1), 0)</f>
        <v>0</v>
      </c>
      <c r="H77" s="27">
        <f>IF(ISTEXT(G77), 0, Table1[[#This Row],[Amount]] / 'COMPANY PROD'!$V$33)</f>
        <v>0</v>
      </c>
      <c r="I77" s="27">
        <f>Table1[[#This Row],[NIGHTS]]/'COMPANY PROD'!$V$41</f>
        <v>0</v>
      </c>
      <c r="J77" s="24">
        <f>IFERROR(Table1[[#This Row],[Amount]]/Table1[[#This Row],[NIGHTS]],0)</f>
        <v>0</v>
      </c>
      <c r="K77" s="21">
        <f>IF(ISTEXT('ENTERED ON'!C77), 0, IFERROR('ENTERED ON'!C77, 0))</f>
        <v>0</v>
      </c>
      <c r="L77" s="21">
        <f>IF(ISTEXT('ENTERED ON'!D77), 0, IFERROR('ENTERED ON'!D77, 0))</f>
        <v>0</v>
      </c>
      <c r="M77" s="19">
        <f>Table1[[#This Row],[Check out ]]-Table1[[#This Row],[Check in ]]</f>
        <v>0</v>
      </c>
      <c r="N77" s="19"/>
      <c r="O77" s="19">
        <f t="shared" si="11"/>
        <v>0</v>
      </c>
      <c r="P77" s="19">
        <f t="shared" si="12"/>
        <v>0</v>
      </c>
      <c r="Q77" s="19">
        <f t="shared" si="13"/>
        <v>0</v>
      </c>
      <c r="R77" s="19">
        <f t="shared" si="14"/>
        <v>0</v>
      </c>
      <c r="S77" s="19">
        <f t="shared" si="15"/>
        <v>0</v>
      </c>
      <c r="T77" s="19">
        <f t="shared" si="16"/>
        <v>0</v>
      </c>
      <c r="U77" s="19">
        <f t="shared" si="17"/>
        <v>0</v>
      </c>
      <c r="V77" s="19">
        <f t="shared" si="18"/>
        <v>0</v>
      </c>
      <c r="W77" s="19">
        <f t="shared" si="19"/>
        <v>0</v>
      </c>
      <c r="X77" s="19">
        <f t="shared" si="20"/>
        <v>0</v>
      </c>
      <c r="Y77" s="17">
        <f t="shared" si="21"/>
        <v>0</v>
      </c>
    </row>
    <row r="78" spans="1:25" x14ac:dyDescent="0.25">
      <c r="A78" s="18" t="str">
        <f>IF(OR(ISNUMBER('ENTERED ON'!M78), 'ENTERED ON'!M78=""), "M&amp;C / RESV/ OTHERS", 'ENTERED ON'!M78)</f>
        <v>M&amp;C / RESV/ OTHERS</v>
      </c>
      <c r="B78" s="18">
        <f>IF(ISTEXT(Table1[[#This Row],[ROOM TYPE]]), 1, 0)</f>
        <v>0</v>
      </c>
      <c r="C78" s="18">
        <f>IF(ISNUMBER('ENTERED ON'!L78), 0, 'ENTERED ON'!L78)</f>
        <v>0</v>
      </c>
      <c r="D78" s="18">
        <f>'ENTERED ON'!G78</f>
        <v>0</v>
      </c>
      <c r="E78" s="18">
        <f>IF(ISTEXT('ENTERED ON'!Q78), 1, 0)</f>
        <v>0</v>
      </c>
      <c r="F78" s="18">
        <f>IF(ISTEXT('ENTERED ON'!R77), 1, 0)</f>
        <v>0</v>
      </c>
      <c r="G78" s="18">
        <f>IFERROR(IF(ISTEXT('ENTERED ON'!P78), 0, 'ENTERED ON'!P78*1.1), 0)</f>
        <v>0</v>
      </c>
      <c r="H78" s="27">
        <f>IF(ISTEXT(G78), 0, Table1[[#This Row],[Amount]] / 'COMPANY PROD'!$V$33)</f>
        <v>0</v>
      </c>
      <c r="I78" s="27">
        <f>Table1[[#This Row],[NIGHTS]]/'COMPANY PROD'!$V$41</f>
        <v>0</v>
      </c>
      <c r="J78" s="24">
        <f>IFERROR(Table1[[#This Row],[Amount]]/Table1[[#This Row],[NIGHTS]],0)</f>
        <v>0</v>
      </c>
      <c r="K78" s="21">
        <f>IF(ISTEXT('ENTERED ON'!C78), 0, IFERROR('ENTERED ON'!C78, 0))</f>
        <v>0</v>
      </c>
      <c r="L78" s="21">
        <f>IF(ISTEXT('ENTERED ON'!D78), 0, IFERROR('ENTERED ON'!D78, 0))</f>
        <v>0</v>
      </c>
      <c r="M78" s="19">
        <f>Table1[[#This Row],[Check out ]]-Table1[[#This Row],[Check in ]]</f>
        <v>0</v>
      </c>
      <c r="N78" s="19"/>
      <c r="O78" s="19">
        <f t="shared" si="11"/>
        <v>0</v>
      </c>
      <c r="P78" s="19">
        <f t="shared" si="12"/>
        <v>0</v>
      </c>
      <c r="Q78" s="19">
        <f t="shared" si="13"/>
        <v>0</v>
      </c>
      <c r="R78" s="19">
        <f t="shared" si="14"/>
        <v>0</v>
      </c>
      <c r="S78" s="19">
        <f t="shared" si="15"/>
        <v>0</v>
      </c>
      <c r="T78" s="19">
        <f t="shared" si="16"/>
        <v>0</v>
      </c>
      <c r="U78" s="19">
        <f t="shared" si="17"/>
        <v>0</v>
      </c>
      <c r="V78" s="19">
        <f t="shared" si="18"/>
        <v>0</v>
      </c>
      <c r="W78" s="19">
        <f t="shared" si="19"/>
        <v>0</v>
      </c>
      <c r="X78" s="19">
        <f t="shared" si="20"/>
        <v>0</v>
      </c>
      <c r="Y78" s="17">
        <f t="shared" si="21"/>
        <v>0</v>
      </c>
    </row>
    <row r="79" spans="1:25" x14ac:dyDescent="0.25">
      <c r="A79" s="18" t="str">
        <f>IF(OR(ISNUMBER('ENTERED ON'!M79), 'ENTERED ON'!M79=""), "M&amp;C / RESV/ OTHERS", 'ENTERED ON'!M79)</f>
        <v>M&amp;C / RESV/ OTHERS</v>
      </c>
      <c r="B79" s="18">
        <f>IF(ISTEXT(Table1[[#This Row],[ROOM TYPE]]), 1, 0)</f>
        <v>0</v>
      </c>
      <c r="C79" s="18">
        <f>IF(ISNUMBER('ENTERED ON'!L79), 0, 'ENTERED ON'!L79)</f>
        <v>0</v>
      </c>
      <c r="D79" s="18">
        <f>'ENTERED ON'!G79</f>
        <v>0</v>
      </c>
      <c r="E79" s="18">
        <f>IF(ISTEXT('ENTERED ON'!Q79), 1, 0)</f>
        <v>0</v>
      </c>
      <c r="F79" s="18">
        <f>IF(ISTEXT('ENTERED ON'!R78), 1, 0)</f>
        <v>0</v>
      </c>
      <c r="G79" s="18">
        <f>IFERROR(IF(ISTEXT('ENTERED ON'!P79), 0, 'ENTERED ON'!P79*1.1), 0)</f>
        <v>0</v>
      </c>
      <c r="H79" s="27">
        <f>IF(ISTEXT(G79), 0, Table1[[#This Row],[Amount]] / 'COMPANY PROD'!$V$33)</f>
        <v>0</v>
      </c>
      <c r="I79" s="27">
        <f>Table1[[#This Row],[NIGHTS]]/'COMPANY PROD'!$V$41</f>
        <v>0</v>
      </c>
      <c r="J79" s="24">
        <f>IFERROR(Table1[[#This Row],[Amount]]/Table1[[#This Row],[NIGHTS]],0)</f>
        <v>0</v>
      </c>
      <c r="K79" s="21">
        <f>IF(ISTEXT('ENTERED ON'!C79), 0, IFERROR('ENTERED ON'!C79, 0))</f>
        <v>0</v>
      </c>
      <c r="L79" s="21">
        <f>IF(ISTEXT('ENTERED ON'!D79), 0, IFERROR('ENTERED ON'!D79, 0))</f>
        <v>0</v>
      </c>
      <c r="M79" s="19">
        <f>Table1[[#This Row],[Check out ]]-Table1[[#This Row],[Check in ]]</f>
        <v>0</v>
      </c>
      <c r="N79" s="19"/>
      <c r="O79" s="19">
        <f t="shared" si="11"/>
        <v>0</v>
      </c>
      <c r="P79" s="19">
        <f t="shared" si="12"/>
        <v>0</v>
      </c>
      <c r="Q79" s="19">
        <f t="shared" si="13"/>
        <v>0</v>
      </c>
      <c r="R79" s="19">
        <f t="shared" si="14"/>
        <v>0</v>
      </c>
      <c r="S79" s="19">
        <f t="shared" si="15"/>
        <v>0</v>
      </c>
      <c r="T79" s="19">
        <f t="shared" si="16"/>
        <v>0</v>
      </c>
      <c r="U79" s="19">
        <f t="shared" si="17"/>
        <v>0</v>
      </c>
      <c r="V79" s="19">
        <f t="shared" si="18"/>
        <v>0</v>
      </c>
      <c r="W79" s="19">
        <f t="shared" si="19"/>
        <v>0</v>
      </c>
      <c r="X79" s="19">
        <f t="shared" si="20"/>
        <v>0</v>
      </c>
      <c r="Y79" s="17">
        <f t="shared" si="21"/>
        <v>0</v>
      </c>
    </row>
    <row r="80" spans="1:25" x14ac:dyDescent="0.25">
      <c r="A80" s="18" t="str">
        <f>IF(OR(ISNUMBER('ENTERED ON'!M80), 'ENTERED ON'!M80=""), "M&amp;C / RESV/ OTHERS", 'ENTERED ON'!M80)</f>
        <v>M&amp;C / RESV/ OTHERS</v>
      </c>
      <c r="B80" s="18">
        <f>IF(ISTEXT(Table1[[#This Row],[ROOM TYPE]]), 1, 0)</f>
        <v>0</v>
      </c>
      <c r="C80" s="18">
        <f>IF(ISNUMBER('ENTERED ON'!L80), 0, 'ENTERED ON'!L80)</f>
        <v>0</v>
      </c>
      <c r="D80" s="18">
        <f>'ENTERED ON'!G80</f>
        <v>0</v>
      </c>
      <c r="E80" s="18">
        <f>IF(ISTEXT('ENTERED ON'!Q80), 1, 0)</f>
        <v>0</v>
      </c>
      <c r="F80" s="18">
        <f>IF(ISTEXT('ENTERED ON'!R79), 1, 0)</f>
        <v>0</v>
      </c>
      <c r="G80" s="18">
        <f>IFERROR(IF(ISTEXT('ENTERED ON'!P80), 0, 'ENTERED ON'!P80*1.1), 0)</f>
        <v>0</v>
      </c>
      <c r="H80" s="27">
        <f>IF(ISTEXT(G80), 0, Table1[[#This Row],[Amount]] / 'COMPANY PROD'!$V$33)</f>
        <v>0</v>
      </c>
      <c r="I80" s="27">
        <f>Table1[[#This Row],[NIGHTS]]/'COMPANY PROD'!$V$41</f>
        <v>0</v>
      </c>
      <c r="J80" s="24">
        <f>IFERROR(Table1[[#This Row],[Amount]]/Table1[[#This Row],[NIGHTS]],0)</f>
        <v>0</v>
      </c>
      <c r="K80" s="21">
        <f>IF(ISTEXT('ENTERED ON'!C80), 0, IFERROR('ENTERED ON'!C80, 0))</f>
        <v>0</v>
      </c>
      <c r="L80" s="21">
        <f>IF(ISTEXT('ENTERED ON'!D80), 0, IFERROR('ENTERED ON'!D80, 0))</f>
        <v>0</v>
      </c>
      <c r="M80" s="19">
        <f>Table1[[#This Row],[Check out ]]-Table1[[#This Row],[Check in ]]</f>
        <v>0</v>
      </c>
      <c r="N80" s="19"/>
      <c r="O80" s="19">
        <f t="shared" si="11"/>
        <v>0</v>
      </c>
      <c r="P80" s="19">
        <f t="shared" si="12"/>
        <v>0</v>
      </c>
      <c r="Q80" s="19">
        <f t="shared" si="13"/>
        <v>0</v>
      </c>
      <c r="R80" s="19">
        <f t="shared" si="14"/>
        <v>0</v>
      </c>
      <c r="S80" s="19">
        <f t="shared" si="15"/>
        <v>0</v>
      </c>
      <c r="T80" s="19">
        <f t="shared" si="16"/>
        <v>0</v>
      </c>
      <c r="U80" s="19">
        <f t="shared" si="17"/>
        <v>0</v>
      </c>
      <c r="V80" s="19">
        <f t="shared" si="18"/>
        <v>0</v>
      </c>
      <c r="W80" s="19">
        <f t="shared" si="19"/>
        <v>0</v>
      </c>
      <c r="X80" s="19">
        <f t="shared" si="20"/>
        <v>0</v>
      </c>
      <c r="Y80" s="17">
        <f t="shared" si="21"/>
        <v>0</v>
      </c>
    </row>
    <row r="81" spans="1:25" x14ac:dyDescent="0.25">
      <c r="A81" s="18" t="str">
        <f>IF(OR(ISNUMBER('ENTERED ON'!M81), 'ENTERED ON'!M81=""), "M&amp;C / RESV/ OTHERS", 'ENTERED ON'!M81)</f>
        <v>M&amp;C / RESV/ OTHERS</v>
      </c>
      <c r="B81" s="18">
        <f>IF(ISTEXT(Table1[[#This Row],[ROOM TYPE]]), 1, 0)</f>
        <v>0</v>
      </c>
      <c r="C81" s="18">
        <f>IF(ISNUMBER('ENTERED ON'!L81), 0, 'ENTERED ON'!L81)</f>
        <v>0</v>
      </c>
      <c r="D81" s="18">
        <f>'ENTERED ON'!G81</f>
        <v>0</v>
      </c>
      <c r="E81" s="18">
        <f>IF(ISTEXT('ENTERED ON'!Q81), 1, 0)</f>
        <v>0</v>
      </c>
      <c r="F81" s="18">
        <f>IF(ISTEXT('ENTERED ON'!R80), 1, 0)</f>
        <v>0</v>
      </c>
      <c r="G81" s="18">
        <f>IFERROR(IF(ISTEXT('ENTERED ON'!P81), 0, 'ENTERED ON'!P81*1.1), 0)</f>
        <v>0</v>
      </c>
      <c r="H81" s="27">
        <f>IF(ISTEXT(G81), 0, Table1[[#This Row],[Amount]] / 'COMPANY PROD'!$V$33)</f>
        <v>0</v>
      </c>
      <c r="I81" s="27">
        <f>Table1[[#This Row],[NIGHTS]]/'COMPANY PROD'!$V$41</f>
        <v>0</v>
      </c>
      <c r="J81" s="24">
        <f>IFERROR(Table1[[#This Row],[Amount]]/Table1[[#This Row],[NIGHTS]],0)</f>
        <v>0</v>
      </c>
      <c r="K81" s="21">
        <f>IF(ISTEXT('ENTERED ON'!C81), 0, IFERROR('ENTERED ON'!C81, 0))</f>
        <v>0</v>
      </c>
      <c r="L81" s="21">
        <f>IF(ISTEXT('ENTERED ON'!D81), 0, IFERROR('ENTERED ON'!D81, 0))</f>
        <v>0</v>
      </c>
      <c r="M81" s="19">
        <f>Table1[[#This Row],[Check out ]]-Table1[[#This Row],[Check in ]]</f>
        <v>0</v>
      </c>
      <c r="N81" s="19"/>
      <c r="O81" s="19">
        <f t="shared" si="11"/>
        <v>0</v>
      </c>
      <c r="P81" s="19">
        <f t="shared" si="12"/>
        <v>0</v>
      </c>
      <c r="Q81" s="19">
        <f t="shared" si="13"/>
        <v>0</v>
      </c>
      <c r="R81" s="19">
        <f t="shared" si="14"/>
        <v>0</v>
      </c>
      <c r="S81" s="19">
        <f t="shared" si="15"/>
        <v>0</v>
      </c>
      <c r="T81" s="19">
        <f t="shared" si="16"/>
        <v>0</v>
      </c>
      <c r="U81" s="19">
        <f t="shared" si="17"/>
        <v>0</v>
      </c>
      <c r="V81" s="19">
        <f t="shared" si="18"/>
        <v>0</v>
      </c>
      <c r="W81" s="19">
        <f t="shared" si="19"/>
        <v>0</v>
      </c>
      <c r="X81" s="19">
        <f t="shared" si="20"/>
        <v>0</v>
      </c>
      <c r="Y81" s="17">
        <f t="shared" si="21"/>
        <v>0</v>
      </c>
    </row>
    <row r="82" spans="1:25" x14ac:dyDescent="0.25">
      <c r="A82" s="18" t="str">
        <f>IF(OR(ISNUMBER('ENTERED ON'!M82), 'ENTERED ON'!M82=""), "M&amp;C / RESV/ OTHERS", 'ENTERED ON'!M82)</f>
        <v>M&amp;C / RESV/ OTHERS</v>
      </c>
      <c r="B82" s="18">
        <f>IF(ISTEXT(Table1[[#This Row],[ROOM TYPE]]), 1, 0)</f>
        <v>0</v>
      </c>
      <c r="C82" s="18">
        <f>IF(ISNUMBER('ENTERED ON'!L82), 0, 'ENTERED ON'!L82)</f>
        <v>0</v>
      </c>
      <c r="D82" s="18">
        <f>'ENTERED ON'!G82</f>
        <v>0</v>
      </c>
      <c r="E82" s="18">
        <f>IF(ISTEXT('ENTERED ON'!Q82), 1, 0)</f>
        <v>0</v>
      </c>
      <c r="F82" s="18">
        <f>IF(ISTEXT('ENTERED ON'!R81), 1, 0)</f>
        <v>0</v>
      </c>
      <c r="G82" s="18">
        <f>IFERROR(IF(ISTEXT('ENTERED ON'!P82), 0, 'ENTERED ON'!P82*1.1), 0)</f>
        <v>0</v>
      </c>
      <c r="H82" s="27">
        <f>IF(ISTEXT(G82), 0, Table1[[#This Row],[Amount]] / 'COMPANY PROD'!$V$33)</f>
        <v>0</v>
      </c>
      <c r="I82" s="27">
        <f>Table1[[#This Row],[NIGHTS]]/'COMPANY PROD'!$V$41</f>
        <v>0</v>
      </c>
      <c r="J82" s="24">
        <f>IFERROR(Table1[[#This Row],[Amount]]/Table1[[#This Row],[NIGHTS]],0)</f>
        <v>0</v>
      </c>
      <c r="K82" s="21">
        <f>IF(ISTEXT('ENTERED ON'!C82), 0, IFERROR('ENTERED ON'!C82, 0))</f>
        <v>0</v>
      </c>
      <c r="L82" s="21">
        <f>IF(ISTEXT('ENTERED ON'!D82), 0, IFERROR('ENTERED ON'!D82, 0))</f>
        <v>0</v>
      </c>
      <c r="M82" s="19">
        <f>Table1[[#This Row],[Check out ]]-Table1[[#This Row],[Check in ]]</f>
        <v>0</v>
      </c>
      <c r="N82" s="19"/>
      <c r="O82" s="19">
        <f t="shared" si="11"/>
        <v>0</v>
      </c>
      <c r="P82" s="19">
        <f t="shared" si="12"/>
        <v>0</v>
      </c>
      <c r="Q82" s="19">
        <f t="shared" si="13"/>
        <v>0</v>
      </c>
      <c r="R82" s="19">
        <f t="shared" si="14"/>
        <v>0</v>
      </c>
      <c r="S82" s="19">
        <f t="shared" si="15"/>
        <v>0</v>
      </c>
      <c r="T82" s="19">
        <f t="shared" si="16"/>
        <v>0</v>
      </c>
      <c r="U82" s="19">
        <f t="shared" si="17"/>
        <v>0</v>
      </c>
      <c r="V82" s="19">
        <f t="shared" si="18"/>
        <v>0</v>
      </c>
      <c r="W82" s="19">
        <f t="shared" si="19"/>
        <v>0</v>
      </c>
      <c r="X82" s="19">
        <f t="shared" si="20"/>
        <v>0</v>
      </c>
      <c r="Y82" s="17">
        <f t="shared" si="21"/>
        <v>0</v>
      </c>
    </row>
    <row r="83" spans="1:25" x14ac:dyDescent="0.25">
      <c r="A83" s="18" t="str">
        <f>IF(OR(ISNUMBER('ENTERED ON'!M83), 'ENTERED ON'!M83=""), "M&amp;C / RESV/ OTHERS", 'ENTERED ON'!M83)</f>
        <v>M&amp;C / RESV/ OTHERS</v>
      </c>
      <c r="B83" s="18">
        <f>IF(ISTEXT(Table1[[#This Row],[ROOM TYPE]]), 1, 0)</f>
        <v>0</v>
      </c>
      <c r="C83" s="18">
        <f>IF(ISNUMBER('ENTERED ON'!L83), 0, 'ENTERED ON'!L83)</f>
        <v>0</v>
      </c>
      <c r="D83" s="18">
        <f>'ENTERED ON'!G83</f>
        <v>0</v>
      </c>
      <c r="E83" s="18">
        <f>IF(ISTEXT('ENTERED ON'!Q83), 1, 0)</f>
        <v>0</v>
      </c>
      <c r="F83" s="18">
        <f>IF(ISTEXT('ENTERED ON'!R82), 1, 0)</f>
        <v>0</v>
      </c>
      <c r="G83" s="18">
        <f>IFERROR(IF(ISTEXT('ENTERED ON'!P83), 0, 'ENTERED ON'!P83*1.1), 0)</f>
        <v>0</v>
      </c>
      <c r="H83" s="27">
        <f>IF(ISTEXT(G83), 0, Table1[[#This Row],[Amount]] / 'COMPANY PROD'!$V$33)</f>
        <v>0</v>
      </c>
      <c r="I83" s="27">
        <f>Table1[[#This Row],[NIGHTS]]/'COMPANY PROD'!$V$41</f>
        <v>0</v>
      </c>
      <c r="J83" s="24">
        <f>IFERROR(Table1[[#This Row],[Amount]]/Table1[[#This Row],[NIGHTS]],0)</f>
        <v>0</v>
      </c>
      <c r="K83" s="21">
        <f>IF(ISTEXT('ENTERED ON'!C83), 0, IFERROR('ENTERED ON'!C83, 0))</f>
        <v>0</v>
      </c>
      <c r="L83" s="21">
        <f>IF(ISTEXT('ENTERED ON'!D83), 0, IFERROR('ENTERED ON'!D83, 0))</f>
        <v>0</v>
      </c>
      <c r="M83" s="19">
        <f>Table1[[#This Row],[Check out ]]-Table1[[#This Row],[Check in ]]</f>
        <v>0</v>
      </c>
      <c r="N83" s="19"/>
      <c r="O83" s="19">
        <f t="shared" si="11"/>
        <v>0</v>
      </c>
      <c r="P83" s="19">
        <f t="shared" si="12"/>
        <v>0</v>
      </c>
      <c r="Q83" s="19">
        <f t="shared" si="13"/>
        <v>0</v>
      </c>
      <c r="R83" s="19">
        <f t="shared" si="14"/>
        <v>0</v>
      </c>
      <c r="S83" s="19">
        <f t="shared" si="15"/>
        <v>0</v>
      </c>
      <c r="T83" s="19">
        <f t="shared" si="16"/>
        <v>0</v>
      </c>
      <c r="U83" s="19">
        <f t="shared" si="17"/>
        <v>0</v>
      </c>
      <c r="V83" s="19">
        <f t="shared" si="18"/>
        <v>0</v>
      </c>
      <c r="W83" s="19">
        <f t="shared" si="19"/>
        <v>0</v>
      </c>
      <c r="X83" s="19">
        <f t="shared" si="20"/>
        <v>0</v>
      </c>
      <c r="Y83" s="17">
        <f t="shared" si="21"/>
        <v>0</v>
      </c>
    </row>
    <row r="84" spans="1:25" x14ac:dyDescent="0.25">
      <c r="A84" s="18" t="str">
        <f>IF(OR(ISNUMBER('ENTERED ON'!M84), 'ENTERED ON'!M84=""), "M&amp;C / RESV/ OTHERS", 'ENTERED ON'!M84)</f>
        <v>M&amp;C / RESV/ OTHERS</v>
      </c>
      <c r="B84" s="18">
        <f>IF(ISTEXT(Table1[[#This Row],[ROOM TYPE]]), 1, 0)</f>
        <v>0</v>
      </c>
      <c r="C84" s="18">
        <f>IF(ISNUMBER('ENTERED ON'!L84), 0, 'ENTERED ON'!L84)</f>
        <v>0</v>
      </c>
      <c r="D84" s="18">
        <f>'ENTERED ON'!G84</f>
        <v>0</v>
      </c>
      <c r="E84" s="18">
        <f>IF(ISTEXT('ENTERED ON'!Q84), 1, 0)</f>
        <v>0</v>
      </c>
      <c r="F84" s="18">
        <f>IF(ISTEXT('ENTERED ON'!R83), 1, 0)</f>
        <v>0</v>
      </c>
      <c r="G84" s="18">
        <f>IFERROR(IF(ISTEXT('ENTERED ON'!P84), 0, 'ENTERED ON'!P84*1.1), 0)</f>
        <v>0</v>
      </c>
      <c r="H84" s="27">
        <f>IF(ISTEXT(G84), 0, Table1[[#This Row],[Amount]] / 'COMPANY PROD'!$V$33)</f>
        <v>0</v>
      </c>
      <c r="I84" s="27">
        <f>Table1[[#This Row],[NIGHTS]]/'COMPANY PROD'!$V$41</f>
        <v>0</v>
      </c>
      <c r="J84" s="24">
        <f>IFERROR(Table1[[#This Row],[Amount]]/Table1[[#This Row],[NIGHTS]],0)</f>
        <v>0</v>
      </c>
      <c r="K84" s="21">
        <f>IF(ISTEXT('ENTERED ON'!C84), 0, IFERROR('ENTERED ON'!C84, 0))</f>
        <v>0</v>
      </c>
      <c r="L84" s="21">
        <f>IF(ISTEXT('ENTERED ON'!D84), 0, IFERROR('ENTERED ON'!D84, 0))</f>
        <v>0</v>
      </c>
      <c r="M84" s="19">
        <f>Table1[[#This Row],[Check out ]]-Table1[[#This Row],[Check in ]]</f>
        <v>0</v>
      </c>
      <c r="N84" s="19"/>
      <c r="O84" s="19">
        <f t="shared" si="11"/>
        <v>0</v>
      </c>
      <c r="P84" s="19">
        <f t="shared" si="12"/>
        <v>0</v>
      </c>
      <c r="Q84" s="19">
        <f t="shared" si="13"/>
        <v>0</v>
      </c>
      <c r="R84" s="19">
        <f t="shared" si="14"/>
        <v>0</v>
      </c>
      <c r="S84" s="19">
        <f t="shared" si="15"/>
        <v>0</v>
      </c>
      <c r="T84" s="19">
        <f t="shared" si="16"/>
        <v>0</v>
      </c>
      <c r="U84" s="19">
        <f t="shared" si="17"/>
        <v>0</v>
      </c>
      <c r="V84" s="19">
        <f t="shared" si="18"/>
        <v>0</v>
      </c>
      <c r="W84" s="19">
        <f t="shared" si="19"/>
        <v>0</v>
      </c>
      <c r="X84" s="19">
        <f t="shared" si="20"/>
        <v>0</v>
      </c>
      <c r="Y84" s="17">
        <f t="shared" si="21"/>
        <v>0</v>
      </c>
    </row>
    <row r="85" spans="1:25" x14ac:dyDescent="0.25">
      <c r="A85" s="18" t="str">
        <f>IF(OR(ISNUMBER('ENTERED ON'!M85), 'ENTERED ON'!M85=""), "M&amp;C / RESV/ OTHERS", 'ENTERED ON'!M85)</f>
        <v>M&amp;C / RESV/ OTHERS</v>
      </c>
      <c r="B85" s="18">
        <f>IF(ISTEXT(Table1[[#This Row],[ROOM TYPE]]), 1, 0)</f>
        <v>0</v>
      </c>
      <c r="C85" s="18">
        <f>IF(ISNUMBER('ENTERED ON'!L85), 0, 'ENTERED ON'!L85)</f>
        <v>0</v>
      </c>
      <c r="D85" s="18">
        <f>'ENTERED ON'!G85</f>
        <v>0</v>
      </c>
      <c r="E85" s="18">
        <f>IF(ISTEXT('ENTERED ON'!Q85), 1, 0)</f>
        <v>0</v>
      </c>
      <c r="F85" s="18">
        <f>IF(ISTEXT('ENTERED ON'!R84), 1, 0)</f>
        <v>0</v>
      </c>
      <c r="G85" s="18">
        <f>IFERROR(IF(ISTEXT('ENTERED ON'!P85), 0, 'ENTERED ON'!P85*1.1), 0)</f>
        <v>0</v>
      </c>
      <c r="H85" s="27">
        <f>IF(ISTEXT(G85), 0, Table1[[#This Row],[Amount]] / 'COMPANY PROD'!$V$33)</f>
        <v>0</v>
      </c>
      <c r="I85" s="27">
        <f>Table1[[#This Row],[NIGHTS]]/'COMPANY PROD'!$V$41</f>
        <v>0</v>
      </c>
      <c r="J85" s="24">
        <f>IFERROR(Table1[[#This Row],[Amount]]/Table1[[#This Row],[NIGHTS]],0)</f>
        <v>0</v>
      </c>
      <c r="K85" s="21">
        <f>IF(ISTEXT('ENTERED ON'!C85), 0, IFERROR('ENTERED ON'!C85, 0))</f>
        <v>0</v>
      </c>
      <c r="L85" s="21">
        <f>IF(ISTEXT('ENTERED ON'!D85), 0, IFERROR('ENTERED ON'!D85, 0))</f>
        <v>0</v>
      </c>
      <c r="M85" s="19">
        <f>Table1[[#This Row],[Check out ]]-Table1[[#This Row],[Check in ]]</f>
        <v>0</v>
      </c>
      <c r="N85" s="19"/>
      <c r="O85" s="19">
        <f t="shared" si="11"/>
        <v>0</v>
      </c>
      <c r="P85" s="19">
        <f t="shared" si="12"/>
        <v>0</v>
      </c>
      <c r="Q85" s="19">
        <f t="shared" si="13"/>
        <v>0</v>
      </c>
      <c r="R85" s="19">
        <f t="shared" si="14"/>
        <v>0</v>
      </c>
      <c r="S85" s="19">
        <f t="shared" si="15"/>
        <v>0</v>
      </c>
      <c r="T85" s="19">
        <f t="shared" si="16"/>
        <v>0</v>
      </c>
      <c r="U85" s="19">
        <f t="shared" si="17"/>
        <v>0</v>
      </c>
      <c r="V85" s="19">
        <f t="shared" si="18"/>
        <v>0</v>
      </c>
      <c r="W85" s="19">
        <f t="shared" si="19"/>
        <v>0</v>
      </c>
      <c r="X85" s="19">
        <f t="shared" si="20"/>
        <v>0</v>
      </c>
      <c r="Y85" s="17">
        <f t="shared" si="21"/>
        <v>0</v>
      </c>
    </row>
    <row r="86" spans="1:25" x14ac:dyDescent="0.25">
      <c r="A86" s="18" t="str">
        <f>IF(OR(ISNUMBER('ENTERED ON'!M86), 'ENTERED ON'!M86=""), "M&amp;C / RESV/ OTHERS", 'ENTERED ON'!M86)</f>
        <v>M&amp;C / RESV/ OTHERS</v>
      </c>
      <c r="B86" s="18">
        <f>IF(ISTEXT(Table1[[#This Row],[ROOM TYPE]]), 1, 0)</f>
        <v>0</v>
      </c>
      <c r="C86" s="18">
        <f>IF(ISNUMBER('ENTERED ON'!L86), 0, 'ENTERED ON'!L86)</f>
        <v>0</v>
      </c>
      <c r="D86" s="18">
        <f>'ENTERED ON'!G86</f>
        <v>0</v>
      </c>
      <c r="E86" s="18">
        <f>IF(ISTEXT('ENTERED ON'!Q86), 1, 0)</f>
        <v>0</v>
      </c>
      <c r="F86" s="18">
        <f>IF(ISTEXT('ENTERED ON'!R85), 1, 0)</f>
        <v>0</v>
      </c>
      <c r="G86" s="18">
        <f>IFERROR(IF(ISTEXT('ENTERED ON'!P86), 0, 'ENTERED ON'!P86*1.1), 0)</f>
        <v>0</v>
      </c>
      <c r="H86" s="27">
        <f>IF(ISTEXT(G86), 0, Table1[[#This Row],[Amount]] / 'COMPANY PROD'!$V$33)</f>
        <v>0</v>
      </c>
      <c r="I86" s="27">
        <f>Table1[[#This Row],[NIGHTS]]/'COMPANY PROD'!$V$41</f>
        <v>0</v>
      </c>
      <c r="J86" s="24">
        <f>IFERROR(Table1[[#This Row],[Amount]]/Table1[[#This Row],[NIGHTS]],0)</f>
        <v>0</v>
      </c>
      <c r="K86" s="21">
        <f>IF(ISTEXT('ENTERED ON'!C86), 0, IFERROR('ENTERED ON'!C86, 0))</f>
        <v>0</v>
      </c>
      <c r="L86" s="21">
        <f>IF(ISTEXT('ENTERED ON'!D86), 0, IFERROR('ENTERED ON'!D86, 0))</f>
        <v>0</v>
      </c>
      <c r="M86" s="19">
        <f>Table1[[#This Row],[Check out ]]-Table1[[#This Row],[Check in ]]</f>
        <v>0</v>
      </c>
      <c r="N86" s="19"/>
      <c r="O86" s="19">
        <f t="shared" si="11"/>
        <v>0</v>
      </c>
      <c r="P86" s="19">
        <f t="shared" si="12"/>
        <v>0</v>
      </c>
      <c r="Q86" s="19">
        <f t="shared" si="13"/>
        <v>0</v>
      </c>
      <c r="R86" s="19">
        <f t="shared" si="14"/>
        <v>0</v>
      </c>
      <c r="S86" s="19">
        <f t="shared" si="15"/>
        <v>0</v>
      </c>
      <c r="T86" s="19">
        <f t="shared" si="16"/>
        <v>0</v>
      </c>
      <c r="U86" s="19">
        <f t="shared" si="17"/>
        <v>0</v>
      </c>
      <c r="V86" s="19">
        <f t="shared" si="18"/>
        <v>0</v>
      </c>
      <c r="W86" s="19">
        <f t="shared" si="19"/>
        <v>0</v>
      </c>
      <c r="X86" s="19">
        <f t="shared" si="20"/>
        <v>0</v>
      </c>
      <c r="Y86" s="17">
        <f t="shared" si="21"/>
        <v>0</v>
      </c>
    </row>
    <row r="87" spans="1:25" x14ac:dyDescent="0.25">
      <c r="A87" s="18" t="str">
        <f>IF(OR(ISNUMBER('ENTERED ON'!M87), 'ENTERED ON'!M87=""), "M&amp;C / RESV/ OTHERS", 'ENTERED ON'!M87)</f>
        <v>M&amp;C / RESV/ OTHERS</v>
      </c>
      <c r="B87" s="18">
        <f>IF(ISTEXT(Table1[[#This Row],[ROOM TYPE]]), 1, 0)</f>
        <v>0</v>
      </c>
      <c r="C87" s="18">
        <f>IF(ISNUMBER('ENTERED ON'!L87), 0, 'ENTERED ON'!L87)</f>
        <v>0</v>
      </c>
      <c r="D87" s="18">
        <f>'ENTERED ON'!G87</f>
        <v>0</v>
      </c>
      <c r="E87" s="18">
        <f>IF(ISTEXT('ENTERED ON'!Q87), 1, 0)</f>
        <v>0</v>
      </c>
      <c r="F87" s="18">
        <f>IF(ISTEXT('ENTERED ON'!R86), 1, 0)</f>
        <v>0</v>
      </c>
      <c r="G87" s="18">
        <f>IFERROR(IF(ISTEXT('ENTERED ON'!P87), 0, 'ENTERED ON'!P87*1.1), 0)</f>
        <v>0</v>
      </c>
      <c r="H87" s="27">
        <f>IF(ISTEXT(G87), 0, Table1[[#This Row],[Amount]] / 'COMPANY PROD'!$V$33)</f>
        <v>0</v>
      </c>
      <c r="I87" s="27">
        <f>Table1[[#This Row],[NIGHTS]]/'COMPANY PROD'!$V$41</f>
        <v>0</v>
      </c>
      <c r="J87" s="24">
        <f>IFERROR(Table1[[#This Row],[Amount]]/Table1[[#This Row],[NIGHTS]],0)</f>
        <v>0</v>
      </c>
      <c r="K87" s="21">
        <f>IF(ISTEXT('ENTERED ON'!C87), 0, IFERROR('ENTERED ON'!C87, 0))</f>
        <v>0</v>
      </c>
      <c r="L87" s="21">
        <f>IF(ISTEXT('ENTERED ON'!D87), 0, IFERROR('ENTERED ON'!D87, 0))</f>
        <v>0</v>
      </c>
      <c r="M87" s="19">
        <f>Table1[[#This Row],[Check out ]]-Table1[[#This Row],[Check in ]]</f>
        <v>0</v>
      </c>
      <c r="N87" s="19"/>
      <c r="O87" s="19">
        <f t="shared" si="11"/>
        <v>0</v>
      </c>
      <c r="P87" s="19">
        <f t="shared" si="12"/>
        <v>0</v>
      </c>
      <c r="Q87" s="19">
        <f t="shared" si="13"/>
        <v>0</v>
      </c>
      <c r="R87" s="19">
        <f t="shared" si="14"/>
        <v>0</v>
      </c>
      <c r="S87" s="19">
        <f t="shared" si="15"/>
        <v>0</v>
      </c>
      <c r="T87" s="19">
        <f t="shared" si="16"/>
        <v>0</v>
      </c>
      <c r="U87" s="19">
        <f t="shared" si="17"/>
        <v>0</v>
      </c>
      <c r="V87" s="19">
        <f t="shared" si="18"/>
        <v>0</v>
      </c>
      <c r="W87" s="19">
        <f t="shared" si="19"/>
        <v>0</v>
      </c>
      <c r="X87" s="19">
        <f t="shared" si="20"/>
        <v>0</v>
      </c>
      <c r="Y87" s="17">
        <f t="shared" si="21"/>
        <v>0</v>
      </c>
    </row>
    <row r="88" spans="1:25" x14ac:dyDescent="0.25">
      <c r="A88" s="18" t="str">
        <f>IF(OR(ISNUMBER('ENTERED ON'!M88), 'ENTERED ON'!M88=""), "M&amp;C / RESV/ OTHERS", 'ENTERED ON'!M88)</f>
        <v>M&amp;C / RESV/ OTHERS</v>
      </c>
      <c r="B88" s="18">
        <f>IF(ISTEXT(Table1[[#This Row],[ROOM TYPE]]), 1, 0)</f>
        <v>0</v>
      </c>
      <c r="C88" s="18">
        <f>IF(ISNUMBER('ENTERED ON'!L88), 0, 'ENTERED ON'!L88)</f>
        <v>0</v>
      </c>
      <c r="D88" s="18">
        <f>'ENTERED ON'!G88</f>
        <v>0</v>
      </c>
      <c r="E88" s="18">
        <f>IF(ISTEXT('ENTERED ON'!Q88), 1, 0)</f>
        <v>0</v>
      </c>
      <c r="F88" s="18">
        <f>IF(ISTEXT('ENTERED ON'!R87), 1, 0)</f>
        <v>0</v>
      </c>
      <c r="G88" s="18">
        <f>IFERROR(IF(ISTEXT('ENTERED ON'!P88), 0, 'ENTERED ON'!P88*1.1), 0)</f>
        <v>0</v>
      </c>
      <c r="H88" s="27">
        <f>IF(ISTEXT(G88), 0, Table1[[#This Row],[Amount]] / 'COMPANY PROD'!$V$33)</f>
        <v>0</v>
      </c>
      <c r="I88" s="27">
        <f>Table1[[#This Row],[NIGHTS]]/'COMPANY PROD'!$V$41</f>
        <v>0</v>
      </c>
      <c r="J88" s="24">
        <f>IFERROR(Table1[[#This Row],[Amount]]/Table1[[#This Row],[NIGHTS]],0)</f>
        <v>0</v>
      </c>
      <c r="K88" s="21">
        <f>IF(ISTEXT('ENTERED ON'!C88), 0, IFERROR('ENTERED ON'!C88, 0))</f>
        <v>0</v>
      </c>
      <c r="L88" s="21">
        <f>IF(ISTEXT('ENTERED ON'!D88), 0, IFERROR('ENTERED ON'!D88, 0))</f>
        <v>0</v>
      </c>
      <c r="M88" s="19">
        <f>Table1[[#This Row],[Check out ]]-Table1[[#This Row],[Check in ]]</f>
        <v>0</v>
      </c>
      <c r="N88" s="19"/>
      <c r="O88" s="19">
        <f t="shared" si="11"/>
        <v>0</v>
      </c>
      <c r="P88" s="19">
        <f t="shared" si="12"/>
        <v>0</v>
      </c>
      <c r="Q88" s="19">
        <f t="shared" si="13"/>
        <v>0</v>
      </c>
      <c r="R88" s="19">
        <f t="shared" si="14"/>
        <v>0</v>
      </c>
      <c r="S88" s="19">
        <f t="shared" si="15"/>
        <v>0</v>
      </c>
      <c r="T88" s="19">
        <f t="shared" si="16"/>
        <v>0</v>
      </c>
      <c r="U88" s="19">
        <f t="shared" si="17"/>
        <v>0</v>
      </c>
      <c r="V88" s="19">
        <f t="shared" si="18"/>
        <v>0</v>
      </c>
      <c r="W88" s="19">
        <f t="shared" si="19"/>
        <v>0</v>
      </c>
      <c r="X88" s="19">
        <f t="shared" si="20"/>
        <v>0</v>
      </c>
      <c r="Y88" s="17">
        <f t="shared" si="21"/>
        <v>0</v>
      </c>
    </row>
    <row r="89" spans="1:25" x14ac:dyDescent="0.25">
      <c r="A89" s="18" t="str">
        <f>IF(OR(ISNUMBER('ENTERED ON'!M89), 'ENTERED ON'!M89=""), "M&amp;C / RESV/ OTHERS", 'ENTERED ON'!M89)</f>
        <v>M&amp;C / RESV/ OTHERS</v>
      </c>
      <c r="B89" s="18">
        <f>IF(ISTEXT(Table1[[#This Row],[ROOM TYPE]]), 1, 0)</f>
        <v>0</v>
      </c>
      <c r="C89" s="18">
        <f>IF(ISNUMBER('ENTERED ON'!L89), 0, 'ENTERED ON'!L89)</f>
        <v>0</v>
      </c>
      <c r="D89" s="18">
        <f>'ENTERED ON'!G89</f>
        <v>0</v>
      </c>
      <c r="E89" s="18">
        <f>IF(ISTEXT('ENTERED ON'!Q89), 1, 0)</f>
        <v>0</v>
      </c>
      <c r="F89" s="18">
        <f>IF(ISTEXT('ENTERED ON'!R88), 1, 0)</f>
        <v>0</v>
      </c>
      <c r="G89" s="18">
        <f>IFERROR(IF(ISTEXT('ENTERED ON'!P89), 0, 'ENTERED ON'!P89*1.1), 0)</f>
        <v>0</v>
      </c>
      <c r="H89" s="27">
        <f>IF(ISTEXT(G89), 0, Table1[[#This Row],[Amount]] / 'COMPANY PROD'!$V$33)</f>
        <v>0</v>
      </c>
      <c r="I89" s="27">
        <f>Table1[[#This Row],[NIGHTS]]/'COMPANY PROD'!$V$41</f>
        <v>0</v>
      </c>
      <c r="J89" s="24">
        <f>IFERROR(Table1[[#This Row],[Amount]]/Table1[[#This Row],[NIGHTS]],0)</f>
        <v>0</v>
      </c>
      <c r="K89" s="21">
        <f>IF(ISTEXT('ENTERED ON'!C89), 0, IFERROR('ENTERED ON'!C89, 0))</f>
        <v>0</v>
      </c>
      <c r="L89" s="21">
        <f>IF(ISTEXT('ENTERED ON'!D89), 0, IFERROR('ENTERED ON'!D89, 0))</f>
        <v>0</v>
      </c>
      <c r="M89" s="19">
        <f>Table1[[#This Row],[Check out ]]-Table1[[#This Row],[Check in ]]</f>
        <v>0</v>
      </c>
      <c r="N89" s="19"/>
      <c r="O89" s="19">
        <f t="shared" si="11"/>
        <v>0</v>
      </c>
      <c r="P89" s="19">
        <f t="shared" si="12"/>
        <v>0</v>
      </c>
      <c r="Q89" s="19">
        <f t="shared" si="13"/>
        <v>0</v>
      </c>
      <c r="R89" s="19">
        <f t="shared" si="14"/>
        <v>0</v>
      </c>
      <c r="S89" s="19">
        <f t="shared" si="15"/>
        <v>0</v>
      </c>
      <c r="T89" s="19">
        <f t="shared" si="16"/>
        <v>0</v>
      </c>
      <c r="U89" s="19">
        <f t="shared" si="17"/>
        <v>0</v>
      </c>
      <c r="V89" s="19">
        <f t="shared" si="18"/>
        <v>0</v>
      </c>
      <c r="W89" s="19">
        <f t="shared" si="19"/>
        <v>0</v>
      </c>
      <c r="X89" s="19">
        <f t="shared" si="20"/>
        <v>0</v>
      </c>
      <c r="Y89" s="17">
        <f t="shared" si="21"/>
        <v>0</v>
      </c>
    </row>
    <row r="90" spans="1:25" x14ac:dyDescent="0.25">
      <c r="A90" s="18" t="str">
        <f>IF(OR(ISNUMBER('ENTERED ON'!M90), 'ENTERED ON'!M90=""), "M&amp;C / RESV/ OTHERS", 'ENTERED ON'!M90)</f>
        <v>M&amp;C / RESV/ OTHERS</v>
      </c>
      <c r="B90" s="18">
        <f>IF(ISTEXT(Table1[[#This Row],[ROOM TYPE]]), 1, 0)</f>
        <v>0</v>
      </c>
      <c r="C90" s="18">
        <f>IF(ISNUMBER('ENTERED ON'!L90), 0, 'ENTERED ON'!L90)</f>
        <v>0</v>
      </c>
      <c r="D90" s="18">
        <f>'ENTERED ON'!G90</f>
        <v>0</v>
      </c>
      <c r="E90" s="18">
        <f>IF(ISTEXT('ENTERED ON'!Q90), 1, 0)</f>
        <v>0</v>
      </c>
      <c r="F90" s="18">
        <f>IF(ISTEXT('ENTERED ON'!R89), 1, 0)</f>
        <v>0</v>
      </c>
      <c r="G90" s="18">
        <f>IFERROR(IF(ISTEXT('ENTERED ON'!P90), 0, 'ENTERED ON'!P90*1.1), 0)</f>
        <v>0</v>
      </c>
      <c r="H90" s="27">
        <f>IF(ISTEXT(G90), 0, Table1[[#This Row],[Amount]] / 'COMPANY PROD'!$V$33)</f>
        <v>0</v>
      </c>
      <c r="I90" s="27">
        <f>Table1[[#This Row],[NIGHTS]]/'COMPANY PROD'!$V$41</f>
        <v>0</v>
      </c>
      <c r="J90" s="24">
        <f>IFERROR(Table1[[#This Row],[Amount]]/Table1[[#This Row],[NIGHTS]],0)</f>
        <v>0</v>
      </c>
      <c r="K90" s="21">
        <f>IF(ISTEXT('ENTERED ON'!C90), 0, IFERROR('ENTERED ON'!C90, 0))</f>
        <v>0</v>
      </c>
      <c r="L90" s="21">
        <f>IF(ISTEXT('ENTERED ON'!D90), 0, IFERROR('ENTERED ON'!D90, 0))</f>
        <v>0</v>
      </c>
      <c r="M90" s="19">
        <f>Table1[[#This Row],[Check out ]]-Table1[[#This Row],[Check in ]]</f>
        <v>0</v>
      </c>
      <c r="N90" s="19"/>
      <c r="O90" s="19">
        <f t="shared" si="11"/>
        <v>0</v>
      </c>
      <c r="P90" s="19">
        <f t="shared" si="12"/>
        <v>0</v>
      </c>
      <c r="Q90" s="19">
        <f t="shared" si="13"/>
        <v>0</v>
      </c>
      <c r="R90" s="19">
        <f t="shared" si="14"/>
        <v>0</v>
      </c>
      <c r="S90" s="19">
        <f t="shared" si="15"/>
        <v>0</v>
      </c>
      <c r="T90" s="19">
        <f t="shared" si="16"/>
        <v>0</v>
      </c>
      <c r="U90" s="19">
        <f t="shared" si="17"/>
        <v>0</v>
      </c>
      <c r="V90" s="19">
        <f t="shared" si="18"/>
        <v>0</v>
      </c>
      <c r="W90" s="19">
        <f t="shared" si="19"/>
        <v>0</v>
      </c>
      <c r="X90" s="19">
        <f t="shared" si="20"/>
        <v>0</v>
      </c>
      <c r="Y90" s="17">
        <f t="shared" si="21"/>
        <v>0</v>
      </c>
    </row>
    <row r="91" spans="1:25" x14ac:dyDescent="0.25">
      <c r="A91" s="18" t="str">
        <f>IF(OR(ISNUMBER('ENTERED ON'!M91), 'ENTERED ON'!M91=""), "M&amp;C / RESV/ OTHERS", 'ENTERED ON'!M91)</f>
        <v>M&amp;C / RESV/ OTHERS</v>
      </c>
      <c r="B91" s="18">
        <f>IF(ISTEXT(Table1[[#This Row],[ROOM TYPE]]), 1, 0)</f>
        <v>0</v>
      </c>
      <c r="C91" s="18">
        <f>IF(ISNUMBER('ENTERED ON'!L91), 0, 'ENTERED ON'!L91)</f>
        <v>0</v>
      </c>
      <c r="D91" s="18">
        <f>'ENTERED ON'!G91</f>
        <v>0</v>
      </c>
      <c r="E91" s="18">
        <f>IF(ISTEXT('ENTERED ON'!Q91), 1, 0)</f>
        <v>0</v>
      </c>
      <c r="F91" s="18">
        <f>IF(ISTEXT('ENTERED ON'!R90), 1, 0)</f>
        <v>0</v>
      </c>
      <c r="G91" s="18">
        <f>IFERROR(IF(ISTEXT('ENTERED ON'!P91), 0, 'ENTERED ON'!P91*1.1), 0)</f>
        <v>0</v>
      </c>
      <c r="H91" s="27">
        <f>IF(ISTEXT(G91), 0, Table1[[#This Row],[Amount]] / 'COMPANY PROD'!$V$33)</f>
        <v>0</v>
      </c>
      <c r="I91" s="27">
        <f>Table1[[#This Row],[NIGHTS]]/'COMPANY PROD'!$V$41</f>
        <v>0</v>
      </c>
      <c r="J91" s="24">
        <f>IFERROR(Table1[[#This Row],[Amount]]/Table1[[#This Row],[NIGHTS]],0)</f>
        <v>0</v>
      </c>
      <c r="K91" s="21">
        <f>IF(ISTEXT('ENTERED ON'!C91), 0, IFERROR('ENTERED ON'!C91, 0))</f>
        <v>0</v>
      </c>
      <c r="L91" s="21">
        <f>IF(ISTEXT('ENTERED ON'!D91), 0, IFERROR('ENTERED ON'!D91, 0))</f>
        <v>0</v>
      </c>
      <c r="M91" s="19">
        <f>Table1[[#This Row],[Check out ]]-Table1[[#This Row],[Check in ]]</f>
        <v>0</v>
      </c>
      <c r="N91" s="19"/>
      <c r="O91" s="19">
        <f t="shared" si="11"/>
        <v>0</v>
      </c>
      <c r="P91" s="19">
        <f t="shared" si="12"/>
        <v>0</v>
      </c>
      <c r="Q91" s="19">
        <f t="shared" si="13"/>
        <v>0</v>
      </c>
      <c r="R91" s="19">
        <f t="shared" si="14"/>
        <v>0</v>
      </c>
      <c r="S91" s="19">
        <f t="shared" si="15"/>
        <v>0</v>
      </c>
      <c r="T91" s="19">
        <f t="shared" si="16"/>
        <v>0</v>
      </c>
      <c r="U91" s="19">
        <f t="shared" si="17"/>
        <v>0</v>
      </c>
      <c r="V91" s="19">
        <f t="shared" si="18"/>
        <v>0</v>
      </c>
      <c r="W91" s="19">
        <f t="shared" si="19"/>
        <v>0</v>
      </c>
      <c r="X91" s="19">
        <f t="shared" si="20"/>
        <v>0</v>
      </c>
      <c r="Y91" s="17">
        <f t="shared" si="21"/>
        <v>0</v>
      </c>
    </row>
    <row r="92" spans="1:25" x14ac:dyDescent="0.25">
      <c r="A92" s="18" t="str">
        <f>IF(OR(ISNUMBER('ENTERED ON'!M92), 'ENTERED ON'!M92=""), "M&amp;C / RESV/ OTHERS", 'ENTERED ON'!M92)</f>
        <v>M&amp;C / RESV/ OTHERS</v>
      </c>
      <c r="B92" s="18">
        <f>IF(ISTEXT(Table1[[#This Row],[ROOM TYPE]]), 1, 0)</f>
        <v>0</v>
      </c>
      <c r="C92" s="18">
        <f>IF(ISNUMBER('ENTERED ON'!L92), 0, 'ENTERED ON'!L92)</f>
        <v>0</v>
      </c>
      <c r="D92" s="18">
        <f>'ENTERED ON'!G92</f>
        <v>0</v>
      </c>
      <c r="E92" s="18">
        <f>IF(ISTEXT('ENTERED ON'!Q92), 1, 0)</f>
        <v>0</v>
      </c>
      <c r="F92" s="18">
        <f>IF(ISTEXT('ENTERED ON'!R91), 1, 0)</f>
        <v>0</v>
      </c>
      <c r="G92" s="18">
        <f>IFERROR(IF(ISTEXT('ENTERED ON'!P92), 0, 'ENTERED ON'!P92*1.1), 0)</f>
        <v>0</v>
      </c>
      <c r="H92" s="27">
        <f>IF(ISTEXT(G92), 0, Table1[[#This Row],[Amount]] / 'COMPANY PROD'!$V$33)</f>
        <v>0</v>
      </c>
      <c r="I92" s="27">
        <f>Table1[[#This Row],[NIGHTS]]/'COMPANY PROD'!$V$41</f>
        <v>0</v>
      </c>
      <c r="J92" s="24">
        <f>IFERROR(Table1[[#This Row],[Amount]]/Table1[[#This Row],[NIGHTS]],0)</f>
        <v>0</v>
      </c>
      <c r="K92" s="21">
        <f>IF(ISTEXT('ENTERED ON'!C92), 0, IFERROR('ENTERED ON'!C92, 0))</f>
        <v>0</v>
      </c>
      <c r="L92" s="21">
        <f>IF(ISTEXT('ENTERED ON'!D92), 0, IFERROR('ENTERED ON'!D92, 0))</f>
        <v>0</v>
      </c>
      <c r="M92" s="19">
        <f>Table1[[#This Row],[Check out ]]-Table1[[#This Row],[Check in ]]</f>
        <v>0</v>
      </c>
      <c r="N92" s="19"/>
      <c r="O92" s="19">
        <f t="shared" si="11"/>
        <v>0</v>
      </c>
      <c r="P92" s="19">
        <f t="shared" si="12"/>
        <v>0</v>
      </c>
      <c r="Q92" s="19">
        <f t="shared" si="13"/>
        <v>0</v>
      </c>
      <c r="R92" s="19">
        <f t="shared" si="14"/>
        <v>0</v>
      </c>
      <c r="S92" s="19">
        <f t="shared" si="15"/>
        <v>0</v>
      </c>
      <c r="T92" s="19">
        <f t="shared" si="16"/>
        <v>0</v>
      </c>
      <c r="U92" s="19">
        <f t="shared" si="17"/>
        <v>0</v>
      </c>
      <c r="V92" s="19">
        <f t="shared" si="18"/>
        <v>0</v>
      </c>
      <c r="W92" s="19">
        <f t="shared" si="19"/>
        <v>0</v>
      </c>
      <c r="X92" s="19">
        <f t="shared" si="20"/>
        <v>0</v>
      </c>
      <c r="Y92" s="17">
        <f t="shared" si="21"/>
        <v>0</v>
      </c>
    </row>
    <row r="93" spans="1:25" x14ac:dyDescent="0.25">
      <c r="A93" s="18" t="str">
        <f>IF(OR(ISNUMBER('ENTERED ON'!M93), 'ENTERED ON'!M93=""), "M&amp;C / RESV/ OTHERS", 'ENTERED ON'!M93)</f>
        <v>M&amp;C / RESV/ OTHERS</v>
      </c>
      <c r="B93" s="18">
        <f>IF(ISTEXT(Table1[[#This Row],[ROOM TYPE]]), 1, 0)</f>
        <v>0</v>
      </c>
      <c r="C93" s="18">
        <f>IF(ISNUMBER('ENTERED ON'!L93), 0, 'ENTERED ON'!L93)</f>
        <v>0</v>
      </c>
      <c r="D93" s="18">
        <f>'ENTERED ON'!G93</f>
        <v>0</v>
      </c>
      <c r="E93" s="18">
        <f>IF(ISTEXT('ENTERED ON'!Q93), 1, 0)</f>
        <v>0</v>
      </c>
      <c r="F93" s="18">
        <f>IF(ISTEXT('ENTERED ON'!R92), 1, 0)</f>
        <v>0</v>
      </c>
      <c r="G93" s="18">
        <f>IFERROR(IF(ISTEXT('ENTERED ON'!P93), 0, 'ENTERED ON'!P93*1.1), 0)</f>
        <v>0</v>
      </c>
      <c r="H93" s="27">
        <f>IF(ISTEXT(G93), 0, Table1[[#This Row],[Amount]] / 'COMPANY PROD'!$V$33)</f>
        <v>0</v>
      </c>
      <c r="I93" s="27">
        <f>Table1[[#This Row],[NIGHTS]]/'COMPANY PROD'!$V$41</f>
        <v>0</v>
      </c>
      <c r="J93" s="24">
        <f>IFERROR(Table1[[#This Row],[Amount]]/Table1[[#This Row],[NIGHTS]],0)</f>
        <v>0</v>
      </c>
      <c r="K93" s="21">
        <f>IF(ISTEXT('ENTERED ON'!C93), 0, IFERROR('ENTERED ON'!C93, 0))</f>
        <v>0</v>
      </c>
      <c r="L93" s="21">
        <f>IF(ISTEXT('ENTERED ON'!D93), 0, IFERROR('ENTERED ON'!D93, 0))</f>
        <v>0</v>
      </c>
      <c r="M93" s="19">
        <f>Table1[[#This Row],[Check out ]]-Table1[[#This Row],[Check in ]]</f>
        <v>0</v>
      </c>
      <c r="N93" s="19"/>
      <c r="O93" s="19">
        <f t="shared" si="11"/>
        <v>0</v>
      </c>
      <c r="P93" s="19">
        <f t="shared" si="12"/>
        <v>0</v>
      </c>
      <c r="Q93" s="19">
        <f t="shared" si="13"/>
        <v>0</v>
      </c>
      <c r="R93" s="19">
        <f t="shared" si="14"/>
        <v>0</v>
      </c>
      <c r="S93" s="19">
        <f t="shared" si="15"/>
        <v>0</v>
      </c>
      <c r="T93" s="19">
        <f t="shared" si="16"/>
        <v>0</v>
      </c>
      <c r="U93" s="19">
        <f t="shared" si="17"/>
        <v>0</v>
      </c>
      <c r="V93" s="19">
        <f t="shared" si="18"/>
        <v>0</v>
      </c>
      <c r="W93" s="19">
        <f t="shared" si="19"/>
        <v>0</v>
      </c>
      <c r="X93" s="19">
        <f t="shared" si="20"/>
        <v>0</v>
      </c>
      <c r="Y93" s="17">
        <f t="shared" si="21"/>
        <v>0</v>
      </c>
    </row>
    <row r="94" spans="1:25" x14ac:dyDescent="0.25">
      <c r="A94" s="18" t="str">
        <f>IF(OR(ISNUMBER('ENTERED ON'!M94), 'ENTERED ON'!M94=""), "M&amp;C / RESV/ OTHERS", 'ENTERED ON'!M94)</f>
        <v>M&amp;C / RESV/ OTHERS</v>
      </c>
      <c r="B94" s="18">
        <f>IF(ISTEXT(Table1[[#This Row],[ROOM TYPE]]), 1, 0)</f>
        <v>0</v>
      </c>
      <c r="C94" s="18">
        <f>IF(ISNUMBER('ENTERED ON'!L94), 0, 'ENTERED ON'!L94)</f>
        <v>0</v>
      </c>
      <c r="D94" s="18">
        <f>'ENTERED ON'!G94</f>
        <v>0</v>
      </c>
      <c r="E94" s="18">
        <f>IF(ISTEXT('ENTERED ON'!Q94), 1, 0)</f>
        <v>0</v>
      </c>
      <c r="F94" s="18">
        <f>IF(ISTEXT('ENTERED ON'!R93), 1, 0)</f>
        <v>0</v>
      </c>
      <c r="G94" s="18">
        <f>IFERROR(IF(ISTEXT('ENTERED ON'!P94), 0, 'ENTERED ON'!P94*1.1), 0)</f>
        <v>0</v>
      </c>
      <c r="H94" s="27">
        <f>IF(ISTEXT(G94), 0, Table1[[#This Row],[Amount]] / 'COMPANY PROD'!$V$33)</f>
        <v>0</v>
      </c>
      <c r="I94" s="27">
        <f>Table1[[#This Row],[NIGHTS]]/'COMPANY PROD'!$V$41</f>
        <v>0</v>
      </c>
      <c r="J94" s="24">
        <f>IFERROR(Table1[[#This Row],[Amount]]/Table1[[#This Row],[NIGHTS]],0)</f>
        <v>0</v>
      </c>
      <c r="K94" s="21">
        <f>IF(ISTEXT('ENTERED ON'!C94), 0, IFERROR('ENTERED ON'!C94, 0))</f>
        <v>0</v>
      </c>
      <c r="L94" s="21">
        <f>IF(ISTEXT('ENTERED ON'!D94), 0, IFERROR('ENTERED ON'!D94, 0))</f>
        <v>0</v>
      </c>
      <c r="M94" s="19">
        <f>Table1[[#This Row],[Check out ]]-Table1[[#This Row],[Check in ]]</f>
        <v>0</v>
      </c>
      <c r="N94" s="19"/>
      <c r="O94" s="19">
        <f t="shared" si="11"/>
        <v>0</v>
      </c>
      <c r="P94" s="19">
        <f t="shared" si="12"/>
        <v>0</v>
      </c>
      <c r="Q94" s="19">
        <f t="shared" si="13"/>
        <v>0</v>
      </c>
      <c r="R94" s="19">
        <f t="shared" si="14"/>
        <v>0</v>
      </c>
      <c r="S94" s="19">
        <f t="shared" si="15"/>
        <v>0</v>
      </c>
      <c r="T94" s="19">
        <f t="shared" si="16"/>
        <v>0</v>
      </c>
      <c r="U94" s="19">
        <f t="shared" si="17"/>
        <v>0</v>
      </c>
      <c r="V94" s="19">
        <f t="shared" si="18"/>
        <v>0</v>
      </c>
      <c r="W94" s="19">
        <f t="shared" si="19"/>
        <v>0</v>
      </c>
      <c r="X94" s="19">
        <f t="shared" si="20"/>
        <v>0</v>
      </c>
      <c r="Y94" s="17">
        <f t="shared" si="21"/>
        <v>0</v>
      </c>
    </row>
    <row r="95" spans="1:25" x14ac:dyDescent="0.25">
      <c r="A95" s="18" t="str">
        <f>IF(OR(ISNUMBER('ENTERED ON'!M95), 'ENTERED ON'!M95=""), "M&amp;C / RESV/ OTHERS", 'ENTERED ON'!M95)</f>
        <v>M&amp;C / RESV/ OTHERS</v>
      </c>
      <c r="B95" s="18">
        <f>IF(ISTEXT(Table1[[#This Row],[ROOM TYPE]]), 1, 0)</f>
        <v>0</v>
      </c>
      <c r="C95" s="18">
        <f>IF(ISNUMBER('ENTERED ON'!L95), 0, 'ENTERED ON'!L95)</f>
        <v>0</v>
      </c>
      <c r="D95" s="18">
        <f>'ENTERED ON'!G95</f>
        <v>0</v>
      </c>
      <c r="E95" s="18">
        <f>IF(ISTEXT('ENTERED ON'!Q95), 1, 0)</f>
        <v>0</v>
      </c>
      <c r="F95" s="18">
        <f>IF(ISTEXT('ENTERED ON'!R94), 1, 0)</f>
        <v>0</v>
      </c>
      <c r="G95" s="18">
        <f>IFERROR(IF(ISTEXT('ENTERED ON'!P95), 0, 'ENTERED ON'!P95*1.1), 0)</f>
        <v>0</v>
      </c>
      <c r="H95" s="27">
        <f>IF(ISTEXT(G95), 0, Table1[[#This Row],[Amount]] / 'COMPANY PROD'!$V$33)</f>
        <v>0</v>
      </c>
      <c r="I95" s="27">
        <f>Table1[[#This Row],[NIGHTS]]/'COMPANY PROD'!$V$41</f>
        <v>0</v>
      </c>
      <c r="J95" s="24">
        <f>IFERROR(Table1[[#This Row],[Amount]]/Table1[[#This Row],[NIGHTS]],0)</f>
        <v>0</v>
      </c>
      <c r="K95" s="21">
        <f>IF(ISTEXT('ENTERED ON'!C95), 0, IFERROR('ENTERED ON'!C95, 0))</f>
        <v>0</v>
      </c>
      <c r="L95" s="21">
        <f>IF(ISTEXT('ENTERED ON'!D95), 0, IFERROR('ENTERED ON'!D95, 0))</f>
        <v>0</v>
      </c>
      <c r="M95" s="19">
        <f>Table1[[#This Row],[Check out ]]-Table1[[#This Row],[Check in ]]</f>
        <v>0</v>
      </c>
      <c r="N95" s="19"/>
      <c r="O95" s="19">
        <f t="shared" si="11"/>
        <v>0</v>
      </c>
      <c r="P95" s="19">
        <f t="shared" si="12"/>
        <v>0</v>
      </c>
      <c r="Q95" s="19">
        <f t="shared" si="13"/>
        <v>0</v>
      </c>
      <c r="R95" s="19">
        <f t="shared" si="14"/>
        <v>0</v>
      </c>
      <c r="S95" s="19">
        <f t="shared" si="15"/>
        <v>0</v>
      </c>
      <c r="T95" s="19">
        <f t="shared" si="16"/>
        <v>0</v>
      </c>
      <c r="U95" s="19">
        <f t="shared" si="17"/>
        <v>0</v>
      </c>
      <c r="V95" s="19">
        <f t="shared" si="18"/>
        <v>0</v>
      </c>
      <c r="W95" s="19">
        <f t="shared" si="19"/>
        <v>0</v>
      </c>
      <c r="X95" s="19">
        <f t="shared" si="20"/>
        <v>0</v>
      </c>
      <c r="Y95" s="17">
        <f t="shared" si="21"/>
        <v>0</v>
      </c>
    </row>
    <row r="96" spans="1:25" x14ac:dyDescent="0.25">
      <c r="A96" s="18" t="str">
        <f>IF(OR(ISNUMBER('ENTERED ON'!M96), 'ENTERED ON'!M96=""), "M&amp;C / RESV/ OTHERS", 'ENTERED ON'!M96)</f>
        <v>M&amp;C / RESV/ OTHERS</v>
      </c>
      <c r="B96" s="18">
        <f>IF(ISTEXT(Table1[[#This Row],[ROOM TYPE]]), 1, 0)</f>
        <v>0</v>
      </c>
      <c r="C96" s="18">
        <f>IF(ISNUMBER('ENTERED ON'!L96), 0, 'ENTERED ON'!L96)</f>
        <v>0</v>
      </c>
      <c r="D96" s="18">
        <f>'ENTERED ON'!G96</f>
        <v>0</v>
      </c>
      <c r="E96" s="18">
        <f>IF(ISTEXT('ENTERED ON'!Q96), 1, 0)</f>
        <v>0</v>
      </c>
      <c r="F96" s="18">
        <f>IF(ISTEXT('ENTERED ON'!R95), 1, 0)</f>
        <v>0</v>
      </c>
      <c r="G96" s="18">
        <f>IFERROR(IF(ISTEXT('ENTERED ON'!P96), 0, 'ENTERED ON'!P96*1.1), 0)</f>
        <v>0</v>
      </c>
      <c r="H96" s="27">
        <f>IF(ISTEXT(G96), 0, Table1[[#This Row],[Amount]] / 'COMPANY PROD'!$V$33)</f>
        <v>0</v>
      </c>
      <c r="I96" s="27">
        <f>Table1[[#This Row],[NIGHTS]]/'COMPANY PROD'!$V$41</f>
        <v>0</v>
      </c>
      <c r="J96" s="24">
        <f>IFERROR(Table1[[#This Row],[Amount]]/Table1[[#This Row],[NIGHTS]],0)</f>
        <v>0</v>
      </c>
      <c r="K96" s="21">
        <f>IF(ISTEXT('ENTERED ON'!C96), 0, IFERROR('ENTERED ON'!C96, 0))</f>
        <v>0</v>
      </c>
      <c r="L96" s="21">
        <f>IF(ISTEXT('ENTERED ON'!D96), 0, IFERROR('ENTERED ON'!D96, 0))</f>
        <v>0</v>
      </c>
      <c r="M96" s="19">
        <f>Table1[[#This Row],[Check out ]]-Table1[[#This Row],[Check in ]]</f>
        <v>0</v>
      </c>
      <c r="N96" s="19"/>
      <c r="O96" s="19">
        <f t="shared" si="11"/>
        <v>0</v>
      </c>
      <c r="P96" s="19">
        <f t="shared" si="12"/>
        <v>0</v>
      </c>
      <c r="Q96" s="19">
        <f t="shared" si="13"/>
        <v>0</v>
      </c>
      <c r="R96" s="19">
        <f t="shared" si="14"/>
        <v>0</v>
      </c>
      <c r="S96" s="19">
        <f t="shared" si="15"/>
        <v>0</v>
      </c>
      <c r="T96" s="19">
        <f t="shared" si="16"/>
        <v>0</v>
      </c>
      <c r="U96" s="19">
        <f t="shared" si="17"/>
        <v>0</v>
      </c>
      <c r="V96" s="19">
        <f t="shared" si="18"/>
        <v>0</v>
      </c>
      <c r="W96" s="19">
        <f t="shared" si="19"/>
        <v>0</v>
      </c>
      <c r="X96" s="19">
        <f t="shared" si="20"/>
        <v>0</v>
      </c>
      <c r="Y96" s="17">
        <f t="shared" si="21"/>
        <v>0</v>
      </c>
    </row>
    <row r="97" spans="1:25" x14ac:dyDescent="0.25">
      <c r="A97" s="18" t="str">
        <f>IF(OR(ISNUMBER('ENTERED ON'!M97), 'ENTERED ON'!M97=""), "M&amp;C / RESV/ OTHERS", 'ENTERED ON'!M97)</f>
        <v>M&amp;C / RESV/ OTHERS</v>
      </c>
      <c r="B97" s="18">
        <f>IF(ISTEXT(Table1[[#This Row],[ROOM TYPE]]), 1, 0)</f>
        <v>0</v>
      </c>
      <c r="C97" s="18">
        <f>IF(ISNUMBER('ENTERED ON'!L97), 0, 'ENTERED ON'!L97)</f>
        <v>0</v>
      </c>
      <c r="D97" s="18">
        <f>'ENTERED ON'!G97</f>
        <v>0</v>
      </c>
      <c r="E97" s="18">
        <f>IF(ISTEXT('ENTERED ON'!Q97), 1, 0)</f>
        <v>0</v>
      </c>
      <c r="F97" s="18">
        <f>IF(ISTEXT('ENTERED ON'!R96), 1, 0)</f>
        <v>0</v>
      </c>
      <c r="G97" s="18">
        <f>IFERROR(IF(ISTEXT('ENTERED ON'!P97), 0, 'ENTERED ON'!P97*1.1), 0)</f>
        <v>0</v>
      </c>
      <c r="H97" s="27">
        <f>IF(ISTEXT(G97), 0, Table1[[#This Row],[Amount]] / 'COMPANY PROD'!$V$33)</f>
        <v>0</v>
      </c>
      <c r="I97" s="27">
        <f>Table1[[#This Row],[NIGHTS]]/'COMPANY PROD'!$V$41</f>
        <v>0</v>
      </c>
      <c r="J97" s="24">
        <f>IFERROR(Table1[[#This Row],[Amount]]/Table1[[#This Row],[NIGHTS]],0)</f>
        <v>0</v>
      </c>
      <c r="K97" s="21">
        <f>IF(ISTEXT('ENTERED ON'!C97), 0, IFERROR('ENTERED ON'!C97, 0))</f>
        <v>0</v>
      </c>
      <c r="L97" s="21">
        <f>IF(ISTEXT('ENTERED ON'!D97), 0, IFERROR('ENTERED ON'!D97, 0))</f>
        <v>0</v>
      </c>
      <c r="M97" s="19">
        <f>Table1[[#This Row],[Check out ]]-Table1[[#This Row],[Check in ]]</f>
        <v>0</v>
      </c>
      <c r="N97" s="19"/>
      <c r="O97" s="19">
        <f t="shared" si="11"/>
        <v>0</v>
      </c>
      <c r="P97" s="19">
        <f t="shared" si="12"/>
        <v>0</v>
      </c>
      <c r="Q97" s="19">
        <f t="shared" si="13"/>
        <v>0</v>
      </c>
      <c r="R97" s="19">
        <f t="shared" si="14"/>
        <v>0</v>
      </c>
      <c r="S97" s="19">
        <f t="shared" si="15"/>
        <v>0</v>
      </c>
      <c r="T97" s="19">
        <f t="shared" si="16"/>
        <v>0</v>
      </c>
      <c r="U97" s="19">
        <f t="shared" si="17"/>
        <v>0</v>
      </c>
      <c r="V97" s="19">
        <f t="shared" si="18"/>
        <v>0</v>
      </c>
      <c r="W97" s="19">
        <f t="shared" si="19"/>
        <v>0</v>
      </c>
      <c r="X97" s="19">
        <f t="shared" si="20"/>
        <v>0</v>
      </c>
      <c r="Y97" s="17">
        <f t="shared" si="21"/>
        <v>0</v>
      </c>
    </row>
    <row r="98" spans="1:25" x14ac:dyDescent="0.25">
      <c r="A98" s="18" t="str">
        <f>IF(OR(ISNUMBER('ENTERED ON'!M98), 'ENTERED ON'!M98=""), "M&amp;C / RESV/ OTHERS", 'ENTERED ON'!M98)</f>
        <v>M&amp;C / RESV/ OTHERS</v>
      </c>
      <c r="B98" s="18">
        <f>IF(ISTEXT(Table1[[#This Row],[ROOM TYPE]]), 1, 0)</f>
        <v>0</v>
      </c>
      <c r="C98" s="18">
        <f>IF(ISNUMBER('ENTERED ON'!L98), 0, 'ENTERED ON'!L98)</f>
        <v>0</v>
      </c>
      <c r="D98" s="18">
        <f>'ENTERED ON'!G98</f>
        <v>0</v>
      </c>
      <c r="E98" s="18">
        <f>IF(ISTEXT('ENTERED ON'!Q98), 1, 0)</f>
        <v>0</v>
      </c>
      <c r="F98" s="18">
        <f>IF(ISTEXT('ENTERED ON'!R97), 1, 0)</f>
        <v>0</v>
      </c>
      <c r="G98" s="18">
        <f>IFERROR(IF(ISTEXT('ENTERED ON'!P98), 0, 'ENTERED ON'!P98*1.1), 0)</f>
        <v>0</v>
      </c>
      <c r="H98" s="27">
        <f>IF(ISTEXT(G98), 0, Table1[[#This Row],[Amount]] / 'COMPANY PROD'!$V$33)</f>
        <v>0</v>
      </c>
      <c r="I98" s="27">
        <f>Table1[[#This Row],[NIGHTS]]/'COMPANY PROD'!$V$41</f>
        <v>0</v>
      </c>
      <c r="J98" s="24">
        <f>IFERROR(Table1[[#This Row],[Amount]]/Table1[[#This Row],[NIGHTS]],0)</f>
        <v>0</v>
      </c>
      <c r="K98" s="21">
        <f>IF(ISTEXT('ENTERED ON'!C98), 0, IFERROR('ENTERED ON'!C98, 0))</f>
        <v>0</v>
      </c>
      <c r="L98" s="21">
        <f>IF(ISTEXT('ENTERED ON'!D98), 0, IFERROR('ENTERED ON'!D98, 0))</f>
        <v>0</v>
      </c>
      <c r="M98" s="19">
        <f>Table1[[#This Row],[Check out ]]-Table1[[#This Row],[Check in ]]</f>
        <v>0</v>
      </c>
      <c r="N98" s="19"/>
      <c r="O98" s="19">
        <f t="shared" si="11"/>
        <v>0</v>
      </c>
      <c r="P98" s="19">
        <f t="shared" si="12"/>
        <v>0</v>
      </c>
      <c r="Q98" s="19">
        <f t="shared" si="13"/>
        <v>0</v>
      </c>
      <c r="R98" s="19">
        <f t="shared" si="14"/>
        <v>0</v>
      </c>
      <c r="S98" s="19">
        <f t="shared" si="15"/>
        <v>0</v>
      </c>
      <c r="T98" s="19">
        <f t="shared" si="16"/>
        <v>0</v>
      </c>
      <c r="U98" s="19">
        <f t="shared" si="17"/>
        <v>0</v>
      </c>
      <c r="V98" s="19">
        <f t="shared" si="18"/>
        <v>0</v>
      </c>
      <c r="W98" s="19">
        <f t="shared" si="19"/>
        <v>0</v>
      </c>
      <c r="X98" s="19">
        <f t="shared" si="20"/>
        <v>0</v>
      </c>
      <c r="Y98" s="17">
        <f t="shared" si="21"/>
        <v>0</v>
      </c>
    </row>
    <row r="99" spans="1:25" x14ac:dyDescent="0.25">
      <c r="A99" s="18" t="str">
        <f>IF(OR(ISNUMBER('ENTERED ON'!M99), 'ENTERED ON'!M99=""), "M&amp;C / RESV/ OTHERS", 'ENTERED ON'!M99)</f>
        <v>M&amp;C / RESV/ OTHERS</v>
      </c>
      <c r="B99" s="18">
        <f>IF(ISTEXT(Table1[[#This Row],[ROOM TYPE]]), 1, 0)</f>
        <v>0</v>
      </c>
      <c r="C99" s="18">
        <f>IF(ISNUMBER('ENTERED ON'!L99), 0, 'ENTERED ON'!L99)</f>
        <v>0</v>
      </c>
      <c r="D99" s="18">
        <f>'ENTERED ON'!G99</f>
        <v>0</v>
      </c>
      <c r="E99" s="18">
        <f>IF(ISTEXT('ENTERED ON'!Q99), 1, 0)</f>
        <v>0</v>
      </c>
      <c r="F99" s="18">
        <f>IF(ISTEXT('ENTERED ON'!R98), 1, 0)</f>
        <v>0</v>
      </c>
      <c r="G99" s="18">
        <f>IFERROR(IF(ISTEXT('ENTERED ON'!P99), 0, 'ENTERED ON'!P99*1.1), 0)</f>
        <v>0</v>
      </c>
      <c r="H99" s="27">
        <f>IF(ISTEXT(G99), 0, Table1[[#This Row],[Amount]] / 'COMPANY PROD'!$V$33)</f>
        <v>0</v>
      </c>
      <c r="I99" s="27">
        <f>Table1[[#This Row],[NIGHTS]]/'COMPANY PROD'!$V$41</f>
        <v>0</v>
      </c>
      <c r="J99" s="24">
        <f>IFERROR(Table1[[#This Row],[Amount]]/Table1[[#This Row],[NIGHTS]],0)</f>
        <v>0</v>
      </c>
      <c r="K99" s="21">
        <f>IF(ISTEXT('ENTERED ON'!C99), 0, IFERROR('ENTERED ON'!C99, 0))</f>
        <v>0</v>
      </c>
      <c r="L99" s="21">
        <f>IF(ISTEXT('ENTERED ON'!D99), 0, IFERROR('ENTERED ON'!D99, 0))</f>
        <v>0</v>
      </c>
      <c r="M99" s="19">
        <f>Table1[[#This Row],[Check out ]]-Table1[[#This Row],[Check in ]]</f>
        <v>0</v>
      </c>
      <c r="N99" s="19"/>
      <c r="O99" s="19">
        <f t="shared" si="11"/>
        <v>0</v>
      </c>
      <c r="P99" s="19">
        <f t="shared" si="12"/>
        <v>0</v>
      </c>
      <c r="Q99" s="19">
        <f t="shared" si="13"/>
        <v>0</v>
      </c>
      <c r="R99" s="19">
        <f t="shared" si="14"/>
        <v>0</v>
      </c>
      <c r="S99" s="19">
        <f t="shared" si="15"/>
        <v>0</v>
      </c>
      <c r="T99" s="19">
        <f t="shared" si="16"/>
        <v>0</v>
      </c>
      <c r="U99" s="19">
        <f t="shared" si="17"/>
        <v>0</v>
      </c>
      <c r="V99" s="19">
        <f t="shared" si="18"/>
        <v>0</v>
      </c>
      <c r="W99" s="19">
        <f t="shared" si="19"/>
        <v>0</v>
      </c>
      <c r="X99" s="19">
        <f t="shared" si="20"/>
        <v>0</v>
      </c>
      <c r="Y99" s="17">
        <f t="shared" si="21"/>
        <v>0</v>
      </c>
    </row>
    <row r="100" spans="1:25" x14ac:dyDescent="0.25">
      <c r="A100" s="18" t="str">
        <f>IF(OR(ISNUMBER('ENTERED ON'!M100), 'ENTERED ON'!M100=""), "M&amp;C / RESV/ OTHERS", 'ENTERED ON'!M100)</f>
        <v>M&amp;C / RESV/ OTHERS</v>
      </c>
      <c r="B100" s="18">
        <f>IF(ISTEXT(Table1[[#This Row],[ROOM TYPE]]), 1, 0)</f>
        <v>0</v>
      </c>
      <c r="C100" s="18">
        <f>IF(ISNUMBER('ENTERED ON'!L100), 0, 'ENTERED ON'!L100)</f>
        <v>0</v>
      </c>
      <c r="D100" s="18">
        <f>'ENTERED ON'!G100</f>
        <v>0</v>
      </c>
      <c r="E100" s="18">
        <f>IF(ISTEXT('ENTERED ON'!Q100), 1, 0)</f>
        <v>0</v>
      </c>
      <c r="F100" s="18">
        <f>IF(ISTEXT('ENTERED ON'!R99), 1, 0)</f>
        <v>0</v>
      </c>
      <c r="G100" s="18">
        <f>IFERROR(IF(ISTEXT('ENTERED ON'!P100), 0, 'ENTERED ON'!P100*1.1), 0)</f>
        <v>0</v>
      </c>
      <c r="H100" s="27">
        <f>IF(ISTEXT(G100), 0, Table1[[#This Row],[Amount]] / 'COMPANY PROD'!$V$33)</f>
        <v>0</v>
      </c>
      <c r="I100" s="27">
        <f>Table1[[#This Row],[NIGHTS]]/'COMPANY PROD'!$V$41</f>
        <v>0</v>
      </c>
      <c r="J100" s="24">
        <f>IFERROR(Table1[[#This Row],[Amount]]/Table1[[#This Row],[NIGHTS]],0)</f>
        <v>0</v>
      </c>
      <c r="K100" s="21">
        <f>IF(ISTEXT('ENTERED ON'!C100), 0, IFERROR('ENTERED ON'!C100, 0))</f>
        <v>0</v>
      </c>
      <c r="L100" s="21">
        <f>IF(ISTEXT('ENTERED ON'!D100), 0, IFERROR('ENTERED ON'!D100, 0))</f>
        <v>0</v>
      </c>
      <c r="M100" s="19">
        <f>Table1[[#This Row],[Check out ]]-Table1[[#This Row],[Check in ]]</f>
        <v>0</v>
      </c>
      <c r="N100" s="19"/>
      <c r="O100" s="19">
        <f t="shared" si="11"/>
        <v>0</v>
      </c>
      <c r="P100" s="19">
        <f t="shared" si="12"/>
        <v>0</v>
      </c>
      <c r="Q100" s="19">
        <f t="shared" si="13"/>
        <v>0</v>
      </c>
      <c r="R100" s="19">
        <f t="shared" si="14"/>
        <v>0</v>
      </c>
      <c r="S100" s="19">
        <f t="shared" si="15"/>
        <v>0</v>
      </c>
      <c r="T100" s="19">
        <f t="shared" si="16"/>
        <v>0</v>
      </c>
      <c r="U100" s="19">
        <f t="shared" si="17"/>
        <v>0</v>
      </c>
      <c r="V100" s="19">
        <f t="shared" si="18"/>
        <v>0</v>
      </c>
      <c r="W100" s="19">
        <f t="shared" si="19"/>
        <v>0</v>
      </c>
      <c r="X100" s="19">
        <f t="shared" si="20"/>
        <v>0</v>
      </c>
      <c r="Y100" s="17">
        <f t="shared" si="21"/>
        <v>0</v>
      </c>
    </row>
    <row r="101" spans="1:25" x14ac:dyDescent="0.25">
      <c r="A101" s="18" t="str">
        <f>IF(OR(ISNUMBER('ENTERED ON'!M101), 'ENTERED ON'!M101=""), "M&amp;C / RESV/ OTHERS", 'ENTERED ON'!M101)</f>
        <v>M&amp;C / RESV/ OTHERS</v>
      </c>
      <c r="B101" s="18">
        <f>IF(ISTEXT(Table1[[#This Row],[ROOM TYPE]]), 1, 0)</f>
        <v>0</v>
      </c>
      <c r="C101" s="18">
        <f>IF(ISNUMBER('ENTERED ON'!L101), 0, 'ENTERED ON'!L101)</f>
        <v>0</v>
      </c>
      <c r="D101" s="18">
        <f>'ENTERED ON'!G101</f>
        <v>0</v>
      </c>
      <c r="E101" s="18">
        <f>IF(ISTEXT('ENTERED ON'!Q101), 1, 0)</f>
        <v>0</v>
      </c>
      <c r="F101" s="18">
        <f>IF(ISTEXT('ENTERED ON'!R100), 1, 0)</f>
        <v>0</v>
      </c>
      <c r="G101" s="18">
        <f>IFERROR(IF(ISTEXT('ENTERED ON'!P101), 0, 'ENTERED ON'!P101*1.1), 0)</f>
        <v>0</v>
      </c>
      <c r="H101" s="27">
        <f>IF(ISTEXT(G101), 0, Table1[[#This Row],[Amount]] / 'COMPANY PROD'!$V$33)</f>
        <v>0</v>
      </c>
      <c r="I101" s="27">
        <f>Table1[[#This Row],[NIGHTS]]/'COMPANY PROD'!$V$41</f>
        <v>0</v>
      </c>
      <c r="J101" s="24">
        <f>IFERROR(Table1[[#This Row],[Amount]]/Table1[[#This Row],[NIGHTS]],0)</f>
        <v>0</v>
      </c>
      <c r="K101" s="21">
        <f>IF(ISTEXT('ENTERED ON'!C101), 0, IFERROR('ENTERED ON'!C101, 0))</f>
        <v>0</v>
      </c>
      <c r="L101" s="21">
        <f>IF(ISTEXT('ENTERED ON'!D101), 0, IFERROR('ENTERED ON'!D101, 0))</f>
        <v>0</v>
      </c>
      <c r="M101" s="19">
        <f>Table1[[#This Row],[Check out ]]-Table1[[#This Row],[Check in ]]</f>
        <v>0</v>
      </c>
      <c r="N101" s="19"/>
      <c r="O101" s="19">
        <f t="shared" si="11"/>
        <v>0</v>
      </c>
      <c r="P101" s="19">
        <f t="shared" si="12"/>
        <v>0</v>
      </c>
      <c r="Q101" s="19">
        <f t="shared" si="13"/>
        <v>0</v>
      </c>
      <c r="R101" s="19">
        <f t="shared" si="14"/>
        <v>0</v>
      </c>
      <c r="S101" s="19">
        <f t="shared" si="15"/>
        <v>0</v>
      </c>
      <c r="T101" s="19">
        <f t="shared" si="16"/>
        <v>0</v>
      </c>
      <c r="U101" s="19">
        <f t="shared" si="17"/>
        <v>0</v>
      </c>
      <c r="V101" s="19">
        <f t="shared" si="18"/>
        <v>0</v>
      </c>
      <c r="W101" s="19">
        <f t="shared" si="19"/>
        <v>0</v>
      </c>
      <c r="X101" s="19">
        <f t="shared" si="20"/>
        <v>0</v>
      </c>
      <c r="Y101" s="17">
        <f t="shared" si="21"/>
        <v>0</v>
      </c>
    </row>
    <row r="102" spans="1:25" x14ac:dyDescent="0.25">
      <c r="A102" s="18" t="str">
        <f>IF(OR(ISNUMBER('ENTERED ON'!M102), 'ENTERED ON'!M102=""), "M&amp;C / RESV/ OTHERS", 'ENTERED ON'!M102)</f>
        <v>M&amp;C / RESV/ OTHERS</v>
      </c>
      <c r="B102" s="18">
        <f>IF(ISTEXT(Table1[[#This Row],[ROOM TYPE]]), 1, 0)</f>
        <v>0</v>
      </c>
      <c r="C102" s="18">
        <f>IF(ISNUMBER('ENTERED ON'!L102), 0, 'ENTERED ON'!L102)</f>
        <v>0</v>
      </c>
      <c r="D102" s="18">
        <f>'ENTERED ON'!G102</f>
        <v>0</v>
      </c>
      <c r="E102" s="18">
        <f>IF(ISTEXT('ENTERED ON'!Q102), 1, 0)</f>
        <v>0</v>
      </c>
      <c r="F102" s="18">
        <f>IF(ISTEXT('ENTERED ON'!R101), 1, 0)</f>
        <v>0</v>
      </c>
      <c r="G102" s="18">
        <f>IFERROR(IF(ISTEXT('ENTERED ON'!P102), 0, 'ENTERED ON'!P102*1.1), 0)</f>
        <v>0</v>
      </c>
      <c r="H102" s="27">
        <f>IF(ISTEXT(G102), 0, Table1[[#This Row],[Amount]] / 'COMPANY PROD'!$V$33)</f>
        <v>0</v>
      </c>
      <c r="I102" s="27">
        <f>Table1[[#This Row],[NIGHTS]]/'COMPANY PROD'!$V$41</f>
        <v>0</v>
      </c>
      <c r="J102" s="24">
        <f>IFERROR(Table1[[#This Row],[Amount]]/Table1[[#This Row],[NIGHTS]],0)</f>
        <v>0</v>
      </c>
      <c r="K102" s="21">
        <f>IF(ISTEXT('ENTERED ON'!C102), 0, IFERROR('ENTERED ON'!C102, 0))</f>
        <v>0</v>
      </c>
      <c r="L102" s="21">
        <f>IF(ISTEXT('ENTERED ON'!D102), 0, IFERROR('ENTERED ON'!D102, 0))</f>
        <v>0</v>
      </c>
      <c r="M102" s="19">
        <f>Table1[[#This Row],[Check out ]]-Table1[[#This Row],[Check in ]]</f>
        <v>0</v>
      </c>
      <c r="N102" s="19"/>
      <c r="O102" s="19">
        <f t="shared" si="11"/>
        <v>0</v>
      </c>
      <c r="P102" s="19">
        <f t="shared" si="12"/>
        <v>0</v>
      </c>
      <c r="Q102" s="19">
        <f t="shared" si="13"/>
        <v>0</v>
      </c>
      <c r="R102" s="19">
        <f t="shared" si="14"/>
        <v>0</v>
      </c>
      <c r="S102" s="19">
        <f t="shared" si="15"/>
        <v>0</v>
      </c>
      <c r="T102" s="19">
        <f t="shared" si="16"/>
        <v>0</v>
      </c>
      <c r="U102" s="19">
        <f t="shared" si="17"/>
        <v>0</v>
      </c>
      <c r="V102" s="19">
        <f t="shared" si="18"/>
        <v>0</v>
      </c>
      <c r="W102" s="19">
        <f t="shared" si="19"/>
        <v>0</v>
      </c>
      <c r="X102" s="19">
        <f t="shared" si="20"/>
        <v>0</v>
      </c>
      <c r="Y102" s="17">
        <f t="shared" si="21"/>
        <v>0</v>
      </c>
    </row>
    <row r="103" spans="1:25" x14ac:dyDescent="0.25">
      <c r="A103" s="18" t="str">
        <f>IF(OR(ISNUMBER('ENTERED ON'!M103), 'ENTERED ON'!M103=""), "M&amp;C / RESV/ OTHERS", 'ENTERED ON'!M103)</f>
        <v>M&amp;C / RESV/ OTHERS</v>
      </c>
      <c r="B103" s="18">
        <f>IF(ISTEXT(Table1[[#This Row],[ROOM TYPE]]), 1, 0)</f>
        <v>0</v>
      </c>
      <c r="C103" s="18">
        <f>IF(ISNUMBER('ENTERED ON'!L103), 0, 'ENTERED ON'!L103)</f>
        <v>0</v>
      </c>
      <c r="D103" s="18">
        <f>'ENTERED ON'!G103</f>
        <v>0</v>
      </c>
      <c r="E103" s="18">
        <f>IF(ISTEXT('ENTERED ON'!Q103), 1, 0)</f>
        <v>0</v>
      </c>
      <c r="F103" s="18">
        <f>IF(ISTEXT('ENTERED ON'!R102), 1, 0)</f>
        <v>0</v>
      </c>
      <c r="G103" s="18">
        <f>IFERROR(IF(ISTEXT('ENTERED ON'!P103), 0, 'ENTERED ON'!P103*1.1), 0)</f>
        <v>0</v>
      </c>
      <c r="H103" s="27">
        <f>IF(ISTEXT(G103), 0, Table1[[#This Row],[Amount]] / 'COMPANY PROD'!$V$33)</f>
        <v>0</v>
      </c>
      <c r="I103" s="27">
        <f>Table1[[#This Row],[NIGHTS]]/'COMPANY PROD'!$V$41</f>
        <v>0</v>
      </c>
      <c r="J103" s="24">
        <f>IFERROR(Table1[[#This Row],[Amount]]/Table1[[#This Row],[NIGHTS]],0)</f>
        <v>0</v>
      </c>
      <c r="K103" s="21">
        <f>IF(ISTEXT('ENTERED ON'!C103), 0, IFERROR('ENTERED ON'!C103, 0))</f>
        <v>0</v>
      </c>
      <c r="L103" s="21">
        <f>IF(ISTEXT('ENTERED ON'!D103), 0, IFERROR('ENTERED ON'!D103, 0))</f>
        <v>0</v>
      </c>
      <c r="M103" s="19">
        <f>Table1[[#This Row],[Check out ]]-Table1[[#This Row],[Check in ]]</f>
        <v>0</v>
      </c>
      <c r="N103" s="19"/>
      <c r="O103" s="19">
        <f t="shared" si="11"/>
        <v>0</v>
      </c>
      <c r="P103" s="19">
        <f t="shared" si="12"/>
        <v>0</v>
      </c>
      <c r="Q103" s="19">
        <f t="shared" si="13"/>
        <v>0</v>
      </c>
      <c r="R103" s="19">
        <f t="shared" si="14"/>
        <v>0</v>
      </c>
      <c r="S103" s="19">
        <f t="shared" si="15"/>
        <v>0</v>
      </c>
      <c r="T103" s="19">
        <f t="shared" si="16"/>
        <v>0</v>
      </c>
      <c r="U103" s="19">
        <f t="shared" si="17"/>
        <v>0</v>
      </c>
      <c r="V103" s="19">
        <f t="shared" si="18"/>
        <v>0</v>
      </c>
      <c r="W103" s="19">
        <f t="shared" si="19"/>
        <v>0</v>
      </c>
      <c r="X103" s="19">
        <f t="shared" si="20"/>
        <v>0</v>
      </c>
      <c r="Y103" s="17">
        <f t="shared" si="21"/>
        <v>0</v>
      </c>
    </row>
    <row r="104" spans="1:25" x14ac:dyDescent="0.25">
      <c r="A104" s="18" t="str">
        <f>IF(OR(ISNUMBER('ENTERED ON'!M104), 'ENTERED ON'!M104=""), "M&amp;C / RESV/ OTHERS", 'ENTERED ON'!M104)</f>
        <v>M&amp;C / RESV/ OTHERS</v>
      </c>
      <c r="B104" s="18">
        <f>IF(ISTEXT(Table1[[#This Row],[ROOM TYPE]]), 1, 0)</f>
        <v>0</v>
      </c>
      <c r="C104" s="18">
        <f>IF(ISNUMBER('ENTERED ON'!L104), 0, 'ENTERED ON'!L104)</f>
        <v>0</v>
      </c>
      <c r="D104" s="18">
        <f>'ENTERED ON'!G104</f>
        <v>0</v>
      </c>
      <c r="E104" s="18">
        <f>IF(ISTEXT('ENTERED ON'!Q104), 1, 0)</f>
        <v>0</v>
      </c>
      <c r="F104" s="18">
        <f>IF(ISTEXT('ENTERED ON'!R103), 1, 0)</f>
        <v>0</v>
      </c>
      <c r="G104" s="18">
        <f>IFERROR(IF(ISTEXT('ENTERED ON'!P104), 0, 'ENTERED ON'!P104*1.1), 0)</f>
        <v>0</v>
      </c>
      <c r="H104" s="27">
        <f>IF(ISTEXT(G104), 0, Table1[[#This Row],[Amount]] / 'COMPANY PROD'!$V$33)</f>
        <v>0</v>
      </c>
      <c r="I104" s="27">
        <f>Table1[[#This Row],[NIGHTS]]/'COMPANY PROD'!$V$41</f>
        <v>0</v>
      </c>
      <c r="J104" s="24">
        <f>IFERROR(Table1[[#This Row],[Amount]]/Table1[[#This Row],[NIGHTS]],0)</f>
        <v>0</v>
      </c>
      <c r="K104" s="21">
        <f>IF(ISTEXT('ENTERED ON'!C104), 0, IFERROR('ENTERED ON'!C104, 0))</f>
        <v>0</v>
      </c>
      <c r="L104" s="21">
        <f>IF(ISTEXT('ENTERED ON'!D104), 0, IFERROR('ENTERED ON'!D104, 0))</f>
        <v>0</v>
      </c>
      <c r="M104" s="19">
        <f>Table1[[#This Row],[Check out ]]-Table1[[#This Row],[Check in ]]</f>
        <v>0</v>
      </c>
      <c r="N104" s="19"/>
      <c r="O104" s="19">
        <f t="shared" si="11"/>
        <v>0</v>
      </c>
      <c r="P104" s="19">
        <f t="shared" si="12"/>
        <v>0</v>
      </c>
      <c r="Q104" s="19">
        <f t="shared" si="13"/>
        <v>0</v>
      </c>
      <c r="R104" s="19">
        <f t="shared" si="14"/>
        <v>0</v>
      </c>
      <c r="S104" s="19">
        <f t="shared" si="15"/>
        <v>0</v>
      </c>
      <c r="T104" s="19">
        <f t="shared" si="16"/>
        <v>0</v>
      </c>
      <c r="U104" s="19">
        <f t="shared" si="17"/>
        <v>0</v>
      </c>
      <c r="V104" s="19">
        <f t="shared" si="18"/>
        <v>0</v>
      </c>
      <c r="W104" s="19">
        <f t="shared" si="19"/>
        <v>0</v>
      </c>
      <c r="X104" s="19">
        <f t="shared" si="20"/>
        <v>0</v>
      </c>
      <c r="Y104" s="17">
        <f t="shared" si="21"/>
        <v>0</v>
      </c>
    </row>
    <row r="105" spans="1:25" x14ac:dyDescent="0.25">
      <c r="A105" s="18" t="str">
        <f>IF(OR(ISNUMBER('ENTERED ON'!M105), 'ENTERED ON'!M105=""), "M&amp;C / RESV/ OTHERS", 'ENTERED ON'!M105)</f>
        <v>M&amp;C / RESV/ OTHERS</v>
      </c>
      <c r="B105" s="18">
        <f>IF(ISTEXT(Table1[[#This Row],[ROOM TYPE]]), 1, 0)</f>
        <v>0</v>
      </c>
      <c r="C105" s="18">
        <f>IF(ISNUMBER('ENTERED ON'!L105), 0, 'ENTERED ON'!L105)</f>
        <v>0</v>
      </c>
      <c r="D105" s="18">
        <f>'ENTERED ON'!G105</f>
        <v>0</v>
      </c>
      <c r="E105" s="18">
        <f>IF(ISTEXT('ENTERED ON'!Q105), 1, 0)</f>
        <v>0</v>
      </c>
      <c r="F105" s="18">
        <f>IF(ISTEXT('ENTERED ON'!R104), 1, 0)</f>
        <v>0</v>
      </c>
      <c r="G105" s="18">
        <f>IFERROR(IF(ISTEXT('ENTERED ON'!P105), 0, 'ENTERED ON'!P105*1.1), 0)</f>
        <v>0</v>
      </c>
      <c r="H105" s="27">
        <f>IF(ISTEXT(G105), 0, Table1[[#This Row],[Amount]] / 'COMPANY PROD'!$V$33)</f>
        <v>0</v>
      </c>
      <c r="I105" s="27">
        <f>Table1[[#This Row],[NIGHTS]]/'COMPANY PROD'!$V$41</f>
        <v>0</v>
      </c>
      <c r="J105" s="24">
        <f>IFERROR(Table1[[#This Row],[Amount]]/Table1[[#This Row],[NIGHTS]],0)</f>
        <v>0</v>
      </c>
      <c r="K105" s="21">
        <f>IF(ISTEXT('ENTERED ON'!C105), 0, IFERROR('ENTERED ON'!C105, 0))</f>
        <v>0</v>
      </c>
      <c r="L105" s="21">
        <f>IF(ISTEXT('ENTERED ON'!D105), 0, IFERROR('ENTERED ON'!D105, 0))</f>
        <v>0</v>
      </c>
      <c r="M105" s="19">
        <f>Table1[[#This Row],[Check out ]]-Table1[[#This Row],[Check in ]]</f>
        <v>0</v>
      </c>
      <c r="N105" s="19"/>
      <c r="O105" s="19">
        <f t="shared" si="11"/>
        <v>0</v>
      </c>
      <c r="P105" s="19">
        <f t="shared" si="12"/>
        <v>0</v>
      </c>
      <c r="Q105" s="19">
        <f t="shared" si="13"/>
        <v>0</v>
      </c>
      <c r="R105" s="19">
        <f t="shared" si="14"/>
        <v>0</v>
      </c>
      <c r="S105" s="19">
        <f t="shared" si="15"/>
        <v>0</v>
      </c>
      <c r="T105" s="19">
        <f t="shared" si="16"/>
        <v>0</v>
      </c>
      <c r="U105" s="19">
        <f t="shared" si="17"/>
        <v>0</v>
      </c>
      <c r="V105" s="19">
        <f t="shared" si="18"/>
        <v>0</v>
      </c>
      <c r="W105" s="19">
        <f t="shared" si="19"/>
        <v>0</v>
      </c>
      <c r="X105" s="19">
        <f t="shared" si="20"/>
        <v>0</v>
      </c>
      <c r="Y105" s="17">
        <f t="shared" si="21"/>
        <v>0</v>
      </c>
    </row>
    <row r="106" spans="1:25" x14ac:dyDescent="0.25">
      <c r="A106" s="18" t="str">
        <f>IF(OR(ISNUMBER('ENTERED ON'!M106), 'ENTERED ON'!M106=""), "M&amp;C / RESV/ OTHERS", 'ENTERED ON'!M106)</f>
        <v>M&amp;C / RESV/ OTHERS</v>
      </c>
      <c r="B106" s="18">
        <f>IF(ISTEXT(Table1[[#This Row],[ROOM TYPE]]), 1, 0)</f>
        <v>0</v>
      </c>
      <c r="C106" s="18">
        <f>IF(ISNUMBER('ENTERED ON'!L106), 0, 'ENTERED ON'!L106)</f>
        <v>0</v>
      </c>
      <c r="D106" s="18">
        <f>'ENTERED ON'!G106</f>
        <v>0</v>
      </c>
      <c r="E106" s="18">
        <f>IF(ISTEXT('ENTERED ON'!Q106), 1, 0)</f>
        <v>0</v>
      </c>
      <c r="F106" s="18">
        <f>IF(ISTEXT('ENTERED ON'!R105), 1, 0)</f>
        <v>0</v>
      </c>
      <c r="G106" s="18">
        <f>IFERROR(IF(ISTEXT('ENTERED ON'!P106), 0, 'ENTERED ON'!P106*1.1), 0)</f>
        <v>0</v>
      </c>
      <c r="H106" s="27">
        <f>IF(ISTEXT(G106), 0, Table1[[#This Row],[Amount]] / 'COMPANY PROD'!$V$33)</f>
        <v>0</v>
      </c>
      <c r="I106" s="27">
        <f>Table1[[#This Row],[NIGHTS]]/'COMPANY PROD'!$V$41</f>
        <v>0</v>
      </c>
      <c r="J106" s="24">
        <f>IFERROR(Table1[[#This Row],[Amount]]/Table1[[#This Row],[NIGHTS]],0)</f>
        <v>0</v>
      </c>
      <c r="K106" s="21">
        <f>IF(ISTEXT('ENTERED ON'!C106), 0, IFERROR('ENTERED ON'!C106, 0))</f>
        <v>0</v>
      </c>
      <c r="L106" s="21">
        <f>IF(ISTEXT('ENTERED ON'!D106), 0, IFERROR('ENTERED ON'!D106, 0))</f>
        <v>0</v>
      </c>
      <c r="M106" s="19">
        <f>Table1[[#This Row],[Check out ]]-Table1[[#This Row],[Check in ]]</f>
        <v>0</v>
      </c>
      <c r="N106" s="19"/>
      <c r="O106" s="19">
        <f t="shared" si="11"/>
        <v>0</v>
      </c>
      <c r="P106" s="19">
        <f t="shared" si="12"/>
        <v>0</v>
      </c>
      <c r="Q106" s="19">
        <f t="shared" si="13"/>
        <v>0</v>
      </c>
      <c r="R106" s="19">
        <f t="shared" si="14"/>
        <v>0</v>
      </c>
      <c r="S106" s="19">
        <f t="shared" si="15"/>
        <v>0</v>
      </c>
      <c r="T106" s="19">
        <f t="shared" si="16"/>
        <v>0</v>
      </c>
      <c r="U106" s="19">
        <f t="shared" si="17"/>
        <v>0</v>
      </c>
      <c r="V106" s="19">
        <f t="shared" si="18"/>
        <v>0</v>
      </c>
      <c r="W106" s="19">
        <f t="shared" si="19"/>
        <v>0</v>
      </c>
      <c r="X106" s="19">
        <f t="shared" si="20"/>
        <v>0</v>
      </c>
      <c r="Y106" s="17">
        <f t="shared" si="21"/>
        <v>0</v>
      </c>
    </row>
    <row r="107" spans="1:25" x14ac:dyDescent="0.25">
      <c r="A107" s="18" t="str">
        <f>IF(OR(ISNUMBER('ENTERED ON'!M107), 'ENTERED ON'!M107=""), "M&amp;C / RESV/ OTHERS", 'ENTERED ON'!M107)</f>
        <v>M&amp;C / RESV/ OTHERS</v>
      </c>
      <c r="B107" s="18">
        <f>IF(ISTEXT(Table1[[#This Row],[ROOM TYPE]]), 1, 0)</f>
        <v>0</v>
      </c>
      <c r="C107" s="18">
        <f>IF(ISNUMBER('ENTERED ON'!L107), 0, 'ENTERED ON'!L107)</f>
        <v>0</v>
      </c>
      <c r="D107" s="18">
        <f>'ENTERED ON'!G107</f>
        <v>0</v>
      </c>
      <c r="E107" s="18">
        <f>IF(ISTEXT('ENTERED ON'!Q107), 1, 0)</f>
        <v>0</v>
      </c>
      <c r="F107" s="18">
        <f>IF(ISTEXT('ENTERED ON'!R106), 1, 0)</f>
        <v>0</v>
      </c>
      <c r="G107" s="18">
        <f>IFERROR(IF(ISTEXT('ENTERED ON'!P107), 0, 'ENTERED ON'!P107*1.1), 0)</f>
        <v>0</v>
      </c>
      <c r="H107" s="27">
        <f>IF(ISTEXT(G107), 0, Table1[[#This Row],[Amount]] / 'COMPANY PROD'!$V$33)</f>
        <v>0</v>
      </c>
      <c r="I107" s="27">
        <f>Table1[[#This Row],[NIGHTS]]/'COMPANY PROD'!$V$41</f>
        <v>0</v>
      </c>
      <c r="J107" s="24">
        <f>IFERROR(Table1[[#This Row],[Amount]]/Table1[[#This Row],[NIGHTS]],0)</f>
        <v>0</v>
      </c>
      <c r="K107" s="21">
        <f>IF(ISTEXT('ENTERED ON'!C107), 0, IFERROR('ENTERED ON'!C107, 0))</f>
        <v>0</v>
      </c>
      <c r="L107" s="21">
        <f>IF(ISTEXT('ENTERED ON'!D107), 0, IFERROR('ENTERED ON'!D107, 0))</f>
        <v>0</v>
      </c>
      <c r="M107" s="19">
        <f>Table1[[#This Row],[Check out ]]-Table1[[#This Row],[Check in ]]</f>
        <v>0</v>
      </c>
      <c r="N107" s="19"/>
      <c r="O107" s="19">
        <f t="shared" si="11"/>
        <v>0</v>
      </c>
      <c r="P107" s="19">
        <f t="shared" si="12"/>
        <v>0</v>
      </c>
      <c r="Q107" s="19">
        <f t="shared" si="13"/>
        <v>0</v>
      </c>
      <c r="R107" s="19">
        <f t="shared" si="14"/>
        <v>0</v>
      </c>
      <c r="S107" s="19">
        <f t="shared" si="15"/>
        <v>0</v>
      </c>
      <c r="T107" s="19">
        <f t="shared" si="16"/>
        <v>0</v>
      </c>
      <c r="U107" s="19">
        <f t="shared" si="17"/>
        <v>0</v>
      </c>
      <c r="V107" s="19">
        <f t="shared" si="18"/>
        <v>0</v>
      </c>
      <c r="W107" s="19">
        <f t="shared" si="19"/>
        <v>0</v>
      </c>
      <c r="X107" s="19">
        <f t="shared" si="20"/>
        <v>0</v>
      </c>
      <c r="Y107" s="17">
        <f t="shared" si="21"/>
        <v>0</v>
      </c>
    </row>
    <row r="108" spans="1:25" x14ac:dyDescent="0.25">
      <c r="A108" s="18" t="str">
        <f>IF(OR(ISNUMBER('ENTERED ON'!M108), 'ENTERED ON'!M108=""), "M&amp;C / RESV/ OTHERS", 'ENTERED ON'!M108)</f>
        <v>M&amp;C / RESV/ OTHERS</v>
      </c>
      <c r="B108" s="18">
        <f>IF(ISTEXT(Table1[[#This Row],[ROOM TYPE]]), 1, 0)</f>
        <v>0</v>
      </c>
      <c r="C108" s="18">
        <f>IF(ISNUMBER('ENTERED ON'!L108), 0, 'ENTERED ON'!L108)</f>
        <v>0</v>
      </c>
      <c r="D108" s="18">
        <f>'ENTERED ON'!G108</f>
        <v>0</v>
      </c>
      <c r="E108" s="18">
        <f>IF(ISTEXT('ENTERED ON'!Q108), 1, 0)</f>
        <v>0</v>
      </c>
      <c r="F108" s="18">
        <f>IF(ISTEXT('ENTERED ON'!R107), 1, 0)</f>
        <v>0</v>
      </c>
      <c r="G108" s="18">
        <f>IFERROR(IF(ISTEXT('ENTERED ON'!P108), 0, 'ENTERED ON'!P108*1.1), 0)</f>
        <v>0</v>
      </c>
      <c r="H108" s="27">
        <f>IF(ISTEXT(G108), 0, Table1[[#This Row],[Amount]] / 'COMPANY PROD'!$V$33)</f>
        <v>0</v>
      </c>
      <c r="I108" s="27">
        <f>Table1[[#This Row],[NIGHTS]]/'COMPANY PROD'!$V$41</f>
        <v>0</v>
      </c>
      <c r="J108" s="24">
        <f>IFERROR(Table1[[#This Row],[Amount]]/Table1[[#This Row],[NIGHTS]],0)</f>
        <v>0</v>
      </c>
      <c r="K108" s="21">
        <f>IF(ISTEXT('ENTERED ON'!C108), 0, IFERROR('ENTERED ON'!C108, 0))</f>
        <v>0</v>
      </c>
      <c r="L108" s="21">
        <f>IF(ISTEXT('ENTERED ON'!D108), 0, IFERROR('ENTERED ON'!D108, 0))</f>
        <v>0</v>
      </c>
      <c r="M108" s="19">
        <f>Table1[[#This Row],[Check out ]]-Table1[[#This Row],[Check in ]]</f>
        <v>0</v>
      </c>
      <c r="N108" s="19"/>
      <c r="O108" s="19">
        <f t="shared" si="11"/>
        <v>0</v>
      </c>
      <c r="P108" s="19">
        <f t="shared" si="12"/>
        <v>0</v>
      </c>
      <c r="Q108" s="19">
        <f t="shared" si="13"/>
        <v>0</v>
      </c>
      <c r="R108" s="19">
        <f t="shared" si="14"/>
        <v>0</v>
      </c>
      <c r="S108" s="19">
        <f t="shared" si="15"/>
        <v>0</v>
      </c>
      <c r="T108" s="19">
        <f t="shared" si="16"/>
        <v>0</v>
      </c>
      <c r="U108" s="19">
        <f t="shared" si="17"/>
        <v>0</v>
      </c>
      <c r="V108" s="19">
        <f t="shared" si="18"/>
        <v>0</v>
      </c>
      <c r="W108" s="19">
        <f t="shared" si="19"/>
        <v>0</v>
      </c>
      <c r="X108" s="19">
        <f t="shared" si="20"/>
        <v>0</v>
      </c>
      <c r="Y108" s="17">
        <f t="shared" si="21"/>
        <v>0</v>
      </c>
    </row>
    <row r="109" spans="1:25" x14ac:dyDescent="0.25">
      <c r="A109" s="18" t="str">
        <f>IF(OR(ISNUMBER('ENTERED ON'!M109), 'ENTERED ON'!M109=""), "M&amp;C / RESV/ OTHERS", 'ENTERED ON'!M109)</f>
        <v>M&amp;C / RESV/ OTHERS</v>
      </c>
      <c r="B109" s="18">
        <f>IF(ISTEXT(Table1[[#This Row],[ROOM TYPE]]), 1, 0)</f>
        <v>0</v>
      </c>
      <c r="C109" s="18">
        <f>IF(ISNUMBER('ENTERED ON'!L109), 0, 'ENTERED ON'!L109)</f>
        <v>0</v>
      </c>
      <c r="D109" s="18">
        <f>'ENTERED ON'!G109</f>
        <v>0</v>
      </c>
      <c r="E109" s="18">
        <f>IF(ISTEXT('ENTERED ON'!Q109), 1, 0)</f>
        <v>0</v>
      </c>
      <c r="F109" s="18">
        <f>IF(ISTEXT('ENTERED ON'!R108), 1, 0)</f>
        <v>0</v>
      </c>
      <c r="G109" s="18">
        <f>IFERROR(IF(ISTEXT('ENTERED ON'!P109), 0, 'ENTERED ON'!P109*1.1), 0)</f>
        <v>0</v>
      </c>
      <c r="H109" s="27">
        <f>IF(ISTEXT(G109), 0, Table1[[#This Row],[Amount]] / 'COMPANY PROD'!$V$33)</f>
        <v>0</v>
      </c>
      <c r="I109" s="27">
        <f>Table1[[#This Row],[NIGHTS]]/'COMPANY PROD'!$V$41</f>
        <v>0</v>
      </c>
      <c r="J109" s="24">
        <f>IFERROR(Table1[[#This Row],[Amount]]/Table1[[#This Row],[NIGHTS]],0)</f>
        <v>0</v>
      </c>
      <c r="K109" s="21">
        <f>IF(ISTEXT('ENTERED ON'!C109), 0, IFERROR('ENTERED ON'!C109, 0))</f>
        <v>0</v>
      </c>
      <c r="L109" s="21">
        <f>IF(ISTEXT('ENTERED ON'!D109), 0, IFERROR('ENTERED ON'!D109, 0))</f>
        <v>0</v>
      </c>
      <c r="M109" s="19">
        <f>Table1[[#This Row],[Check out ]]-Table1[[#This Row],[Check in ]]</f>
        <v>0</v>
      </c>
      <c r="N109" s="19"/>
      <c r="O109" s="19">
        <f t="shared" si="11"/>
        <v>0</v>
      </c>
      <c r="P109" s="19">
        <f t="shared" si="12"/>
        <v>0</v>
      </c>
      <c r="Q109" s="19">
        <f t="shared" si="13"/>
        <v>0</v>
      </c>
      <c r="R109" s="19">
        <f t="shared" si="14"/>
        <v>0</v>
      </c>
      <c r="S109" s="19">
        <f t="shared" si="15"/>
        <v>0</v>
      </c>
      <c r="T109" s="19">
        <f t="shared" si="16"/>
        <v>0</v>
      </c>
      <c r="U109" s="19">
        <f t="shared" si="17"/>
        <v>0</v>
      </c>
      <c r="V109" s="19">
        <f t="shared" si="18"/>
        <v>0</v>
      </c>
      <c r="W109" s="19">
        <f t="shared" si="19"/>
        <v>0</v>
      </c>
      <c r="X109" s="19">
        <f t="shared" si="20"/>
        <v>0</v>
      </c>
      <c r="Y109" s="17">
        <f t="shared" si="21"/>
        <v>0</v>
      </c>
    </row>
    <row r="110" spans="1:25" x14ac:dyDescent="0.25">
      <c r="A110" s="18" t="str">
        <f>IF(OR(ISNUMBER('ENTERED ON'!M110), 'ENTERED ON'!M110=""), "M&amp;C / RESV/ OTHERS", 'ENTERED ON'!M110)</f>
        <v>M&amp;C / RESV/ OTHERS</v>
      </c>
      <c r="B110" s="18">
        <f>IF(ISTEXT(Table1[[#This Row],[ROOM TYPE]]), 1, 0)</f>
        <v>0</v>
      </c>
      <c r="C110" s="18">
        <f>IF(ISNUMBER('ENTERED ON'!L110), 0, 'ENTERED ON'!L110)</f>
        <v>0</v>
      </c>
      <c r="D110" s="18">
        <f>'ENTERED ON'!G110</f>
        <v>0</v>
      </c>
      <c r="E110" s="18">
        <f>IF(ISTEXT('ENTERED ON'!Q110), 1, 0)</f>
        <v>0</v>
      </c>
      <c r="F110" s="18">
        <f>IF(ISTEXT('ENTERED ON'!R109), 1, 0)</f>
        <v>0</v>
      </c>
      <c r="G110" s="18">
        <f>IFERROR(IF(ISTEXT('ENTERED ON'!P110), 0, 'ENTERED ON'!P110*1.1), 0)</f>
        <v>0</v>
      </c>
      <c r="H110" s="27">
        <f>IF(ISTEXT(G110), 0, Table1[[#This Row],[Amount]] / 'COMPANY PROD'!$V$33)</f>
        <v>0</v>
      </c>
      <c r="I110" s="27">
        <f>Table1[[#This Row],[NIGHTS]]/'COMPANY PROD'!$V$41</f>
        <v>0</v>
      </c>
      <c r="J110" s="24">
        <f>IFERROR(Table1[[#This Row],[Amount]]/Table1[[#This Row],[NIGHTS]],0)</f>
        <v>0</v>
      </c>
      <c r="K110" s="21">
        <f>IF(ISTEXT('ENTERED ON'!C110), 0, IFERROR('ENTERED ON'!C110, 0))</f>
        <v>0</v>
      </c>
      <c r="L110" s="21">
        <f>IF(ISTEXT('ENTERED ON'!D110), 0, IFERROR('ENTERED ON'!D110, 0))</f>
        <v>0</v>
      </c>
      <c r="M110" s="19">
        <f>Table1[[#This Row],[Check out ]]-Table1[[#This Row],[Check in ]]</f>
        <v>0</v>
      </c>
      <c r="N110" s="19"/>
      <c r="O110" s="19">
        <f t="shared" si="11"/>
        <v>0</v>
      </c>
      <c r="P110" s="19">
        <f t="shared" si="12"/>
        <v>0</v>
      </c>
      <c r="Q110" s="19">
        <f t="shared" si="13"/>
        <v>0</v>
      </c>
      <c r="R110" s="19">
        <f t="shared" si="14"/>
        <v>0</v>
      </c>
      <c r="S110" s="19">
        <f t="shared" si="15"/>
        <v>0</v>
      </c>
      <c r="T110" s="19">
        <f t="shared" si="16"/>
        <v>0</v>
      </c>
      <c r="U110" s="19">
        <f t="shared" si="17"/>
        <v>0</v>
      </c>
      <c r="V110" s="19">
        <f t="shared" si="18"/>
        <v>0</v>
      </c>
      <c r="W110" s="19">
        <f t="shared" si="19"/>
        <v>0</v>
      </c>
      <c r="X110" s="19">
        <f t="shared" si="20"/>
        <v>0</v>
      </c>
      <c r="Y110" s="17">
        <f t="shared" si="21"/>
        <v>0</v>
      </c>
    </row>
    <row r="111" spans="1:25" x14ac:dyDescent="0.25">
      <c r="A111" s="18" t="str">
        <f>IF(OR(ISNUMBER('ENTERED ON'!M111), 'ENTERED ON'!M111=""), "M&amp;C / RESV/ OTHERS", 'ENTERED ON'!M111)</f>
        <v>M&amp;C / RESV/ OTHERS</v>
      </c>
      <c r="B111" s="18">
        <f>IF(ISTEXT(Table1[[#This Row],[ROOM TYPE]]), 1, 0)</f>
        <v>0</v>
      </c>
      <c r="C111" s="18">
        <f>IF(ISNUMBER('ENTERED ON'!L111), 0, 'ENTERED ON'!L111)</f>
        <v>0</v>
      </c>
      <c r="D111" s="18">
        <f>'ENTERED ON'!G111</f>
        <v>0</v>
      </c>
      <c r="E111" s="18">
        <f>IF(ISTEXT('ENTERED ON'!Q111), 1, 0)</f>
        <v>0</v>
      </c>
      <c r="F111" s="18">
        <f>IF(ISTEXT('ENTERED ON'!R110), 1, 0)</f>
        <v>0</v>
      </c>
      <c r="G111" s="18">
        <f>IFERROR(IF(ISTEXT('ENTERED ON'!P111), 0, 'ENTERED ON'!P111*1.1), 0)</f>
        <v>0</v>
      </c>
      <c r="H111" s="27">
        <f>IF(ISTEXT(G111), 0, Table1[[#This Row],[Amount]] / 'COMPANY PROD'!$V$33)</f>
        <v>0</v>
      </c>
      <c r="I111" s="27">
        <f>Table1[[#This Row],[NIGHTS]]/'COMPANY PROD'!$V$41</f>
        <v>0</v>
      </c>
      <c r="J111" s="24">
        <f>IFERROR(Table1[[#This Row],[Amount]]/Table1[[#This Row],[NIGHTS]],0)</f>
        <v>0</v>
      </c>
      <c r="K111" s="21">
        <f>IF(ISTEXT('ENTERED ON'!C111), 0, IFERROR('ENTERED ON'!C111, 0))</f>
        <v>0</v>
      </c>
      <c r="L111" s="21">
        <f>IF(ISTEXT('ENTERED ON'!D111), 0, IFERROR('ENTERED ON'!D111, 0))</f>
        <v>0</v>
      </c>
      <c r="M111" s="19">
        <f>Table1[[#This Row],[Check out ]]-Table1[[#This Row],[Check in ]]</f>
        <v>0</v>
      </c>
      <c r="N111" s="19"/>
      <c r="O111" s="19">
        <f t="shared" si="11"/>
        <v>0</v>
      </c>
      <c r="P111" s="19">
        <f t="shared" si="12"/>
        <v>0</v>
      </c>
      <c r="Q111" s="19">
        <f t="shared" si="13"/>
        <v>0</v>
      </c>
      <c r="R111" s="19">
        <f t="shared" si="14"/>
        <v>0</v>
      </c>
      <c r="S111" s="19">
        <f t="shared" si="15"/>
        <v>0</v>
      </c>
      <c r="T111" s="19">
        <f t="shared" si="16"/>
        <v>0</v>
      </c>
      <c r="U111" s="19">
        <f t="shared" si="17"/>
        <v>0</v>
      </c>
      <c r="V111" s="19">
        <f t="shared" si="18"/>
        <v>0</v>
      </c>
      <c r="W111" s="19">
        <f t="shared" si="19"/>
        <v>0</v>
      </c>
      <c r="X111" s="19">
        <f t="shared" si="20"/>
        <v>0</v>
      </c>
      <c r="Y111" s="17">
        <f t="shared" si="21"/>
        <v>0</v>
      </c>
    </row>
    <row r="112" spans="1:25" x14ac:dyDescent="0.25">
      <c r="A112" s="18" t="str">
        <f>IF(OR(ISNUMBER('ENTERED ON'!M112), 'ENTERED ON'!M112=""), "M&amp;C / RESV/ OTHERS", 'ENTERED ON'!M112)</f>
        <v>M&amp;C / RESV/ OTHERS</v>
      </c>
      <c r="B112" s="18">
        <f>IF(ISTEXT(Table1[[#This Row],[ROOM TYPE]]), 1, 0)</f>
        <v>0</v>
      </c>
      <c r="C112" s="18">
        <f>IF(ISNUMBER('ENTERED ON'!L112), 0, 'ENTERED ON'!L112)</f>
        <v>0</v>
      </c>
      <c r="D112" s="18">
        <f>'ENTERED ON'!G112</f>
        <v>0</v>
      </c>
      <c r="E112" s="18">
        <f>IF(ISTEXT('ENTERED ON'!Q112), 1, 0)</f>
        <v>0</v>
      </c>
      <c r="F112" s="18">
        <f>IF(ISTEXT('ENTERED ON'!R111), 1, 0)</f>
        <v>0</v>
      </c>
      <c r="G112" s="18">
        <f>IFERROR(IF(ISTEXT('ENTERED ON'!P112), 0, 'ENTERED ON'!P112*1.1), 0)</f>
        <v>0</v>
      </c>
      <c r="H112" s="27">
        <f>IF(ISTEXT(G112), 0, Table1[[#This Row],[Amount]] / 'COMPANY PROD'!$V$33)</f>
        <v>0</v>
      </c>
      <c r="I112" s="27">
        <f>Table1[[#This Row],[NIGHTS]]/'COMPANY PROD'!$V$41</f>
        <v>0</v>
      </c>
      <c r="J112" s="24">
        <f>IFERROR(Table1[[#This Row],[Amount]]/Table1[[#This Row],[NIGHTS]],0)</f>
        <v>0</v>
      </c>
      <c r="K112" s="21">
        <f>IF(ISTEXT('ENTERED ON'!C112), 0, IFERROR('ENTERED ON'!C112, 0))</f>
        <v>0</v>
      </c>
      <c r="L112" s="21">
        <f>IF(ISTEXT('ENTERED ON'!D112), 0, IFERROR('ENTERED ON'!D112, 0))</f>
        <v>0</v>
      </c>
      <c r="M112" s="19">
        <f>Table1[[#This Row],[Check out ]]-Table1[[#This Row],[Check in ]]</f>
        <v>0</v>
      </c>
      <c r="N112" s="19"/>
      <c r="O112" s="19">
        <f t="shared" si="11"/>
        <v>0</v>
      </c>
      <c r="P112" s="19">
        <f t="shared" si="12"/>
        <v>0</v>
      </c>
      <c r="Q112" s="19">
        <f t="shared" si="13"/>
        <v>0</v>
      </c>
      <c r="R112" s="19">
        <f t="shared" si="14"/>
        <v>0</v>
      </c>
      <c r="S112" s="19">
        <f t="shared" si="15"/>
        <v>0</v>
      </c>
      <c r="T112" s="19">
        <f t="shared" si="16"/>
        <v>0</v>
      </c>
      <c r="U112" s="19">
        <f t="shared" si="17"/>
        <v>0</v>
      </c>
      <c r="V112" s="19">
        <f t="shared" si="18"/>
        <v>0</v>
      </c>
      <c r="W112" s="19">
        <f t="shared" si="19"/>
        <v>0</v>
      </c>
      <c r="X112" s="19">
        <f t="shared" si="20"/>
        <v>0</v>
      </c>
      <c r="Y112" s="17">
        <f t="shared" si="21"/>
        <v>0</v>
      </c>
    </row>
    <row r="113" spans="1:25" x14ac:dyDescent="0.25">
      <c r="A113" s="18" t="str">
        <f>IF(OR(ISNUMBER('ENTERED ON'!M113), 'ENTERED ON'!M113=""), "M&amp;C / RESV/ OTHERS", 'ENTERED ON'!M113)</f>
        <v>M&amp;C / RESV/ OTHERS</v>
      </c>
      <c r="B113" s="18">
        <f>IF(ISTEXT(Table1[[#This Row],[ROOM TYPE]]), 1, 0)</f>
        <v>0</v>
      </c>
      <c r="C113" s="18">
        <f>IF(ISNUMBER('ENTERED ON'!L113), 0, 'ENTERED ON'!L113)</f>
        <v>0</v>
      </c>
      <c r="D113" s="18">
        <f>'ENTERED ON'!G113</f>
        <v>0</v>
      </c>
      <c r="E113" s="18">
        <f>IF(ISTEXT('ENTERED ON'!Q113), 1, 0)</f>
        <v>0</v>
      </c>
      <c r="F113" s="18">
        <f>IF(ISTEXT('ENTERED ON'!R112), 1, 0)</f>
        <v>0</v>
      </c>
      <c r="G113" s="18">
        <f>IFERROR(IF(ISTEXT('ENTERED ON'!P113), 0, 'ENTERED ON'!P113*1.1), 0)</f>
        <v>0</v>
      </c>
      <c r="H113" s="27">
        <f>IF(ISTEXT(G113), 0, Table1[[#This Row],[Amount]] / 'COMPANY PROD'!$V$33)</f>
        <v>0</v>
      </c>
      <c r="I113" s="27">
        <f>Table1[[#This Row],[NIGHTS]]/'COMPANY PROD'!$V$41</f>
        <v>0</v>
      </c>
      <c r="J113" s="24">
        <f>IFERROR(Table1[[#This Row],[Amount]]/Table1[[#This Row],[NIGHTS]],0)</f>
        <v>0</v>
      </c>
      <c r="K113" s="21">
        <f>IF(ISTEXT('ENTERED ON'!C113), 0, IFERROR('ENTERED ON'!C113, 0))</f>
        <v>0</v>
      </c>
      <c r="L113" s="21">
        <f>IF(ISTEXT('ENTERED ON'!D113), 0, IFERROR('ENTERED ON'!D113, 0))</f>
        <v>0</v>
      </c>
      <c r="M113" s="19">
        <f>Table1[[#This Row],[Check out ]]-Table1[[#This Row],[Check in ]]</f>
        <v>0</v>
      </c>
      <c r="N113" s="19"/>
      <c r="O113" s="19">
        <f t="shared" si="11"/>
        <v>0</v>
      </c>
      <c r="P113" s="19">
        <f t="shared" si="12"/>
        <v>0</v>
      </c>
      <c r="Q113" s="19">
        <f t="shared" si="13"/>
        <v>0</v>
      </c>
      <c r="R113" s="19">
        <f t="shared" si="14"/>
        <v>0</v>
      </c>
      <c r="S113" s="19">
        <f t="shared" si="15"/>
        <v>0</v>
      </c>
      <c r="T113" s="19">
        <f t="shared" si="16"/>
        <v>0</v>
      </c>
      <c r="U113" s="19">
        <f t="shared" si="17"/>
        <v>0</v>
      </c>
      <c r="V113" s="19">
        <f t="shared" si="18"/>
        <v>0</v>
      </c>
      <c r="W113" s="19">
        <f t="shared" si="19"/>
        <v>0</v>
      </c>
      <c r="X113" s="19">
        <f t="shared" si="20"/>
        <v>0</v>
      </c>
      <c r="Y113" s="17">
        <f t="shared" si="21"/>
        <v>0</v>
      </c>
    </row>
    <row r="114" spans="1:25" x14ac:dyDescent="0.25">
      <c r="A114" s="18" t="str">
        <f>IF(OR(ISNUMBER('ENTERED ON'!M114), 'ENTERED ON'!M114=""), "M&amp;C / RESV/ OTHERS", 'ENTERED ON'!M114)</f>
        <v>M&amp;C / RESV/ OTHERS</v>
      </c>
      <c r="B114" s="18">
        <f>IF(ISTEXT(Table1[[#This Row],[ROOM TYPE]]), 1, 0)</f>
        <v>0</v>
      </c>
      <c r="C114" s="18">
        <f>IF(ISNUMBER('ENTERED ON'!L114), 0, 'ENTERED ON'!L114)</f>
        <v>0</v>
      </c>
      <c r="D114" s="18">
        <f>'ENTERED ON'!G114</f>
        <v>0</v>
      </c>
      <c r="E114" s="18">
        <f>IF(ISTEXT('ENTERED ON'!Q114), 1, 0)</f>
        <v>0</v>
      </c>
      <c r="F114" s="18">
        <f>IF(ISTEXT('ENTERED ON'!R113), 1, 0)</f>
        <v>0</v>
      </c>
      <c r="G114" s="18">
        <f>IFERROR(IF(ISTEXT('ENTERED ON'!P114), 0, 'ENTERED ON'!P114*1.1), 0)</f>
        <v>0</v>
      </c>
      <c r="H114" s="27">
        <f>IF(ISTEXT(G114), 0, Table1[[#This Row],[Amount]] / 'COMPANY PROD'!$V$33)</f>
        <v>0</v>
      </c>
      <c r="I114" s="27">
        <f>Table1[[#This Row],[NIGHTS]]/'COMPANY PROD'!$V$41</f>
        <v>0</v>
      </c>
      <c r="J114" s="24">
        <f>IFERROR(Table1[[#This Row],[Amount]]/Table1[[#This Row],[NIGHTS]],0)</f>
        <v>0</v>
      </c>
      <c r="K114" s="21">
        <f>IF(ISTEXT('ENTERED ON'!C114), 0, IFERROR('ENTERED ON'!C114, 0))</f>
        <v>0</v>
      </c>
      <c r="L114" s="21">
        <f>IF(ISTEXT('ENTERED ON'!D114), 0, IFERROR('ENTERED ON'!D114, 0))</f>
        <v>0</v>
      </c>
      <c r="M114" s="19">
        <f>Table1[[#This Row],[Check out ]]-Table1[[#This Row],[Check in ]]</f>
        <v>0</v>
      </c>
      <c r="N114" s="19"/>
      <c r="O114" s="19">
        <f t="shared" si="11"/>
        <v>0</v>
      </c>
      <c r="P114" s="19">
        <f t="shared" si="12"/>
        <v>0</v>
      </c>
      <c r="Q114" s="19">
        <f t="shared" si="13"/>
        <v>0</v>
      </c>
      <c r="R114" s="19">
        <f t="shared" si="14"/>
        <v>0</v>
      </c>
      <c r="S114" s="19">
        <f t="shared" si="15"/>
        <v>0</v>
      </c>
      <c r="T114" s="19">
        <f t="shared" si="16"/>
        <v>0</v>
      </c>
      <c r="U114" s="19">
        <f t="shared" si="17"/>
        <v>0</v>
      </c>
      <c r="V114" s="19">
        <f t="shared" si="18"/>
        <v>0</v>
      </c>
      <c r="W114" s="19">
        <f t="shared" si="19"/>
        <v>0</v>
      </c>
      <c r="X114" s="19">
        <f t="shared" si="20"/>
        <v>0</v>
      </c>
      <c r="Y114" s="17">
        <f t="shared" si="21"/>
        <v>0</v>
      </c>
    </row>
    <row r="115" spans="1:25" x14ac:dyDescent="0.25">
      <c r="A115" s="18" t="str">
        <f>IF(OR(ISNUMBER('ENTERED ON'!M115), 'ENTERED ON'!M115=""), "M&amp;C / RESV/ OTHERS", 'ENTERED ON'!M115)</f>
        <v>M&amp;C / RESV/ OTHERS</v>
      </c>
      <c r="B115" s="18">
        <f>IF(ISTEXT(Table1[[#This Row],[ROOM TYPE]]), 1, 0)</f>
        <v>0</v>
      </c>
      <c r="C115" s="18">
        <f>IF(ISNUMBER('ENTERED ON'!L115), 0, 'ENTERED ON'!L115)</f>
        <v>0</v>
      </c>
      <c r="D115" s="18">
        <f>'ENTERED ON'!G115</f>
        <v>0</v>
      </c>
      <c r="E115" s="18">
        <f>IF(ISTEXT('ENTERED ON'!Q115), 1, 0)</f>
        <v>0</v>
      </c>
      <c r="F115" s="18">
        <f>IF(ISTEXT('ENTERED ON'!R114), 1, 0)</f>
        <v>0</v>
      </c>
      <c r="G115" s="18">
        <f>IFERROR(IF(ISTEXT('ENTERED ON'!P115), 0, 'ENTERED ON'!P115*1.1), 0)</f>
        <v>0</v>
      </c>
      <c r="H115" s="27">
        <f>IF(ISTEXT(G115), 0, Table1[[#This Row],[Amount]] / 'COMPANY PROD'!$V$33)</f>
        <v>0</v>
      </c>
      <c r="I115" s="27">
        <f>Table1[[#This Row],[NIGHTS]]/'COMPANY PROD'!$V$41</f>
        <v>0</v>
      </c>
      <c r="J115" s="24">
        <f>IFERROR(Table1[[#This Row],[Amount]]/Table1[[#This Row],[NIGHTS]],0)</f>
        <v>0</v>
      </c>
      <c r="K115" s="21">
        <f>IF(ISTEXT('ENTERED ON'!C115), 0, IFERROR('ENTERED ON'!C115, 0))</f>
        <v>0</v>
      </c>
      <c r="L115" s="21">
        <f>IF(ISTEXT('ENTERED ON'!D115), 0, IFERROR('ENTERED ON'!D115, 0))</f>
        <v>0</v>
      </c>
      <c r="M115" s="19">
        <f>Table1[[#This Row],[Check out ]]-Table1[[#This Row],[Check in ]]</f>
        <v>0</v>
      </c>
      <c r="N115" s="19"/>
      <c r="O115" s="19">
        <f t="shared" si="11"/>
        <v>0</v>
      </c>
      <c r="P115" s="19">
        <f t="shared" si="12"/>
        <v>0</v>
      </c>
      <c r="Q115" s="19">
        <f t="shared" si="13"/>
        <v>0</v>
      </c>
      <c r="R115" s="19">
        <f t="shared" si="14"/>
        <v>0</v>
      </c>
      <c r="S115" s="19">
        <f t="shared" si="15"/>
        <v>0</v>
      </c>
      <c r="T115" s="19">
        <f t="shared" si="16"/>
        <v>0</v>
      </c>
      <c r="U115" s="19">
        <f t="shared" si="17"/>
        <v>0</v>
      </c>
      <c r="V115" s="19">
        <f t="shared" si="18"/>
        <v>0</v>
      </c>
      <c r="W115" s="19">
        <f t="shared" si="19"/>
        <v>0</v>
      </c>
      <c r="X115" s="19">
        <f t="shared" si="20"/>
        <v>0</v>
      </c>
      <c r="Y115" s="17">
        <f t="shared" si="21"/>
        <v>0</v>
      </c>
    </row>
    <row r="116" spans="1:25" x14ac:dyDescent="0.25">
      <c r="A116" s="18" t="str">
        <f>IF(OR(ISNUMBER('ENTERED ON'!M116), 'ENTERED ON'!M116=""), "M&amp;C / RESV/ OTHERS", 'ENTERED ON'!M116)</f>
        <v>M&amp;C / RESV/ OTHERS</v>
      </c>
      <c r="B116" s="18">
        <f>IF(ISTEXT(Table1[[#This Row],[ROOM TYPE]]), 1, 0)</f>
        <v>0</v>
      </c>
      <c r="C116" s="18">
        <f>IF(ISNUMBER('ENTERED ON'!L116), 0, 'ENTERED ON'!L116)</f>
        <v>0</v>
      </c>
      <c r="D116" s="18">
        <f>'ENTERED ON'!G116</f>
        <v>0</v>
      </c>
      <c r="E116" s="18">
        <f>IF(ISTEXT('ENTERED ON'!Q116), 1, 0)</f>
        <v>0</v>
      </c>
      <c r="F116" s="18">
        <f>IF(ISTEXT('ENTERED ON'!R115), 1, 0)</f>
        <v>0</v>
      </c>
      <c r="G116" s="18">
        <f>IFERROR(IF(ISTEXT('ENTERED ON'!P116), 0, 'ENTERED ON'!P116*1.1), 0)</f>
        <v>0</v>
      </c>
      <c r="H116" s="27">
        <f>IF(ISTEXT(G116), 0, Table1[[#This Row],[Amount]] / 'COMPANY PROD'!$V$33)</f>
        <v>0</v>
      </c>
      <c r="I116" s="27">
        <f>Table1[[#This Row],[NIGHTS]]/'COMPANY PROD'!$V$41</f>
        <v>0</v>
      </c>
      <c r="J116" s="24">
        <f>IFERROR(Table1[[#This Row],[Amount]]/Table1[[#This Row],[NIGHTS]],0)</f>
        <v>0</v>
      </c>
      <c r="K116" s="21">
        <f>IF(ISTEXT('ENTERED ON'!C116), 0, IFERROR('ENTERED ON'!C116, 0))</f>
        <v>0</v>
      </c>
      <c r="L116" s="21">
        <f>IF(ISTEXT('ENTERED ON'!D116), 0, IFERROR('ENTERED ON'!D116, 0))</f>
        <v>0</v>
      </c>
      <c r="M116" s="19">
        <f>Table1[[#This Row],[Check out ]]-Table1[[#This Row],[Check in ]]</f>
        <v>0</v>
      </c>
      <c r="N116" s="19"/>
      <c r="O116" s="19">
        <f t="shared" si="11"/>
        <v>0</v>
      </c>
      <c r="P116" s="19">
        <f t="shared" si="12"/>
        <v>0</v>
      </c>
      <c r="Q116" s="19">
        <f t="shared" si="13"/>
        <v>0</v>
      </c>
      <c r="R116" s="19">
        <f t="shared" si="14"/>
        <v>0</v>
      </c>
      <c r="S116" s="19">
        <f t="shared" si="15"/>
        <v>0</v>
      </c>
      <c r="T116" s="19">
        <f t="shared" si="16"/>
        <v>0</v>
      </c>
      <c r="U116" s="19">
        <f t="shared" si="17"/>
        <v>0</v>
      </c>
      <c r="V116" s="19">
        <f t="shared" si="18"/>
        <v>0</v>
      </c>
      <c r="W116" s="19">
        <f t="shared" si="19"/>
        <v>0</v>
      </c>
      <c r="X116" s="19">
        <f t="shared" si="20"/>
        <v>0</v>
      </c>
      <c r="Y116" s="17">
        <f t="shared" si="21"/>
        <v>0</v>
      </c>
    </row>
    <row r="117" spans="1:25" x14ac:dyDescent="0.25">
      <c r="A117" s="18" t="str">
        <f>IF(OR(ISNUMBER('ENTERED ON'!M117), 'ENTERED ON'!M117=""), "M&amp;C / RESV/ OTHERS", 'ENTERED ON'!M117)</f>
        <v>M&amp;C / RESV/ OTHERS</v>
      </c>
      <c r="B117" s="18">
        <f>IF(ISTEXT(Table1[[#This Row],[ROOM TYPE]]), 1, 0)</f>
        <v>0</v>
      </c>
      <c r="C117" s="18">
        <f>IF(ISNUMBER('ENTERED ON'!L117), 0, 'ENTERED ON'!L117)</f>
        <v>0</v>
      </c>
      <c r="D117" s="18">
        <f>'ENTERED ON'!G117</f>
        <v>0</v>
      </c>
      <c r="E117" s="18">
        <f>IF(ISTEXT('ENTERED ON'!Q117), 1, 0)</f>
        <v>0</v>
      </c>
      <c r="F117" s="18">
        <f>IF(ISTEXT('ENTERED ON'!R116), 1, 0)</f>
        <v>0</v>
      </c>
      <c r="G117" s="18">
        <f>IFERROR(IF(ISTEXT('ENTERED ON'!P117), 0, 'ENTERED ON'!P117*1.1), 0)</f>
        <v>0</v>
      </c>
      <c r="H117" s="27">
        <f>IF(ISTEXT(G117), 0, Table1[[#This Row],[Amount]] / 'COMPANY PROD'!$V$33)</f>
        <v>0</v>
      </c>
      <c r="I117" s="27">
        <f>Table1[[#This Row],[NIGHTS]]/'COMPANY PROD'!$V$41</f>
        <v>0</v>
      </c>
      <c r="J117" s="24">
        <f>IFERROR(Table1[[#This Row],[Amount]]/Table1[[#This Row],[NIGHTS]],0)</f>
        <v>0</v>
      </c>
      <c r="K117" s="21">
        <f>IF(ISTEXT('ENTERED ON'!C117), 0, IFERROR('ENTERED ON'!C117, 0))</f>
        <v>0</v>
      </c>
      <c r="L117" s="21">
        <f>IF(ISTEXT('ENTERED ON'!D117), 0, IFERROR('ENTERED ON'!D117, 0))</f>
        <v>0</v>
      </c>
      <c r="M117" s="19">
        <f>Table1[[#This Row],[Check out ]]-Table1[[#This Row],[Check in ]]</f>
        <v>0</v>
      </c>
      <c r="N117" s="19"/>
      <c r="O117" s="19">
        <f t="shared" si="11"/>
        <v>0</v>
      </c>
      <c r="P117" s="19">
        <f t="shared" si="12"/>
        <v>0</v>
      </c>
      <c r="Q117" s="19">
        <f t="shared" si="13"/>
        <v>0</v>
      </c>
      <c r="R117" s="19">
        <f t="shared" si="14"/>
        <v>0</v>
      </c>
      <c r="S117" s="19">
        <f t="shared" si="15"/>
        <v>0</v>
      </c>
      <c r="T117" s="19">
        <f t="shared" si="16"/>
        <v>0</v>
      </c>
      <c r="U117" s="19">
        <f t="shared" si="17"/>
        <v>0</v>
      </c>
      <c r="V117" s="19">
        <f t="shared" si="18"/>
        <v>0</v>
      </c>
      <c r="W117" s="19">
        <f t="shared" si="19"/>
        <v>0</v>
      </c>
      <c r="X117" s="19">
        <f t="shared" si="20"/>
        <v>0</v>
      </c>
      <c r="Y117" s="17">
        <f t="shared" si="21"/>
        <v>0</v>
      </c>
    </row>
    <row r="118" spans="1:25" x14ac:dyDescent="0.25">
      <c r="A118" s="18" t="str">
        <f>IF(OR(ISNUMBER('ENTERED ON'!M118), 'ENTERED ON'!M118=""), "M&amp;C / RESV/ OTHERS", 'ENTERED ON'!M118)</f>
        <v>M&amp;C / RESV/ OTHERS</v>
      </c>
      <c r="B118" s="18">
        <f>IF(ISTEXT(Table1[[#This Row],[ROOM TYPE]]), 1, 0)</f>
        <v>0</v>
      </c>
      <c r="C118" s="18">
        <f>IF(ISNUMBER('ENTERED ON'!L118), 0, 'ENTERED ON'!L118)</f>
        <v>0</v>
      </c>
      <c r="D118" s="18">
        <f>'ENTERED ON'!G118</f>
        <v>0</v>
      </c>
      <c r="E118" s="18">
        <f>IF(ISTEXT('ENTERED ON'!Q118), 1, 0)</f>
        <v>0</v>
      </c>
      <c r="F118" s="18">
        <f>IF(ISTEXT('ENTERED ON'!R117), 1, 0)</f>
        <v>0</v>
      </c>
      <c r="G118" s="18">
        <f>IFERROR(IF(ISTEXT('ENTERED ON'!P118), 0, 'ENTERED ON'!P118*1.1), 0)</f>
        <v>0</v>
      </c>
      <c r="H118" s="27">
        <f>IF(ISTEXT(G118), 0, Table1[[#This Row],[Amount]] / 'COMPANY PROD'!$V$33)</f>
        <v>0</v>
      </c>
      <c r="I118" s="27">
        <f>Table1[[#This Row],[NIGHTS]]/'COMPANY PROD'!$V$41</f>
        <v>0</v>
      </c>
      <c r="J118" s="24">
        <f>IFERROR(Table1[[#This Row],[Amount]]/Table1[[#This Row],[NIGHTS]],0)</f>
        <v>0</v>
      </c>
      <c r="K118" s="21">
        <f>IF(ISTEXT('ENTERED ON'!C118), 0, IFERROR('ENTERED ON'!C118, 0))</f>
        <v>0</v>
      </c>
      <c r="L118" s="21">
        <f>IF(ISTEXT('ENTERED ON'!D118), 0, IFERROR('ENTERED ON'!D118, 0))</f>
        <v>0</v>
      </c>
      <c r="M118" s="19">
        <f>Table1[[#This Row],[Check out ]]-Table1[[#This Row],[Check in ]]</f>
        <v>0</v>
      </c>
      <c r="N118" s="19"/>
      <c r="O118" s="19">
        <f t="shared" si="11"/>
        <v>0</v>
      </c>
      <c r="P118" s="19">
        <f t="shared" si="12"/>
        <v>0</v>
      </c>
      <c r="Q118" s="19">
        <f t="shared" si="13"/>
        <v>0</v>
      </c>
      <c r="R118" s="19">
        <f t="shared" si="14"/>
        <v>0</v>
      </c>
      <c r="S118" s="19">
        <f t="shared" si="15"/>
        <v>0</v>
      </c>
      <c r="T118" s="19">
        <f t="shared" si="16"/>
        <v>0</v>
      </c>
      <c r="U118" s="19">
        <f t="shared" si="17"/>
        <v>0</v>
      </c>
      <c r="V118" s="19">
        <f t="shared" si="18"/>
        <v>0</v>
      </c>
      <c r="W118" s="19">
        <f t="shared" si="19"/>
        <v>0</v>
      </c>
      <c r="X118" s="19">
        <f t="shared" si="20"/>
        <v>0</v>
      </c>
      <c r="Y118" s="17">
        <f t="shared" si="21"/>
        <v>0</v>
      </c>
    </row>
    <row r="119" spans="1:25" x14ac:dyDescent="0.25">
      <c r="A119" s="18" t="str">
        <f>IF(OR(ISNUMBER('ENTERED ON'!M119), 'ENTERED ON'!M119=""), "M&amp;C / RESV/ OTHERS", 'ENTERED ON'!M119)</f>
        <v>M&amp;C / RESV/ OTHERS</v>
      </c>
      <c r="B119" s="18">
        <f>IF(ISTEXT(Table1[[#This Row],[ROOM TYPE]]), 1, 0)</f>
        <v>0</v>
      </c>
      <c r="C119" s="18">
        <f>IF(ISNUMBER('ENTERED ON'!L119), 0, 'ENTERED ON'!L119)</f>
        <v>0</v>
      </c>
      <c r="D119" s="18">
        <f>'ENTERED ON'!G119</f>
        <v>0</v>
      </c>
      <c r="E119" s="18">
        <f>IF(ISTEXT('ENTERED ON'!Q119), 1, 0)</f>
        <v>0</v>
      </c>
      <c r="F119" s="18">
        <f>IF(ISTEXT('ENTERED ON'!R118), 1, 0)</f>
        <v>0</v>
      </c>
      <c r="G119" s="18">
        <f>IFERROR(IF(ISTEXT('ENTERED ON'!P119), 0, 'ENTERED ON'!P119*1.1), 0)</f>
        <v>0</v>
      </c>
      <c r="H119" s="27">
        <f>IF(ISTEXT(G119), 0, Table1[[#This Row],[Amount]] / 'COMPANY PROD'!$V$33)</f>
        <v>0</v>
      </c>
      <c r="I119" s="27">
        <f>Table1[[#This Row],[NIGHTS]]/'COMPANY PROD'!$V$41</f>
        <v>0</v>
      </c>
      <c r="J119" s="24">
        <f>IFERROR(Table1[[#This Row],[Amount]]/Table1[[#This Row],[NIGHTS]],0)</f>
        <v>0</v>
      </c>
      <c r="K119" s="21">
        <f>IF(ISTEXT('ENTERED ON'!C119), 0, IFERROR('ENTERED ON'!C119, 0))</f>
        <v>0</v>
      </c>
      <c r="L119" s="21">
        <f>IF(ISTEXT('ENTERED ON'!D119), 0, IFERROR('ENTERED ON'!D119, 0))</f>
        <v>0</v>
      </c>
      <c r="M119" s="19">
        <f>Table1[[#This Row],[Check out ]]-Table1[[#This Row],[Check in ]]</f>
        <v>0</v>
      </c>
      <c r="N119" s="19"/>
      <c r="O119" s="19">
        <f t="shared" si="11"/>
        <v>0</v>
      </c>
      <c r="P119" s="19">
        <f t="shared" si="12"/>
        <v>0</v>
      </c>
      <c r="Q119" s="19">
        <f t="shared" si="13"/>
        <v>0</v>
      </c>
      <c r="R119" s="19">
        <f t="shared" si="14"/>
        <v>0</v>
      </c>
      <c r="S119" s="19">
        <f t="shared" si="15"/>
        <v>0</v>
      </c>
      <c r="T119" s="19">
        <f t="shared" si="16"/>
        <v>0</v>
      </c>
      <c r="U119" s="19">
        <f t="shared" si="17"/>
        <v>0</v>
      </c>
      <c r="V119" s="19">
        <f t="shared" si="18"/>
        <v>0</v>
      </c>
      <c r="W119" s="19">
        <f t="shared" si="19"/>
        <v>0</v>
      </c>
      <c r="X119" s="19">
        <f t="shared" si="20"/>
        <v>0</v>
      </c>
      <c r="Y119" s="17">
        <f t="shared" si="21"/>
        <v>0</v>
      </c>
    </row>
    <row r="120" spans="1:25" x14ac:dyDescent="0.25">
      <c r="A120" s="18" t="str">
        <f>IF(OR(ISNUMBER('ENTERED ON'!M120), 'ENTERED ON'!M120=""), "M&amp;C / RESV/ OTHERS", 'ENTERED ON'!M120)</f>
        <v>M&amp;C / RESV/ OTHERS</v>
      </c>
      <c r="B120" s="18">
        <f>IF(ISTEXT(Table1[[#This Row],[ROOM TYPE]]), 1, 0)</f>
        <v>0</v>
      </c>
      <c r="C120" s="18">
        <f>IF(ISNUMBER('ENTERED ON'!L120), 0, 'ENTERED ON'!L120)</f>
        <v>0</v>
      </c>
      <c r="D120" s="18">
        <f>'ENTERED ON'!G120</f>
        <v>0</v>
      </c>
      <c r="E120" s="18">
        <f>IF(ISTEXT('ENTERED ON'!Q120), 1, 0)</f>
        <v>0</v>
      </c>
      <c r="F120" s="18">
        <f>IF(ISTEXT('ENTERED ON'!R119), 1, 0)</f>
        <v>0</v>
      </c>
      <c r="G120" s="18">
        <f>IFERROR(IF(ISTEXT('ENTERED ON'!P120), 0, 'ENTERED ON'!P120*1.1), 0)</f>
        <v>0</v>
      </c>
      <c r="H120" s="27">
        <f>IF(ISTEXT(G120), 0, Table1[[#This Row],[Amount]] / 'COMPANY PROD'!$V$33)</f>
        <v>0</v>
      </c>
      <c r="I120" s="27">
        <f>Table1[[#This Row],[NIGHTS]]/'COMPANY PROD'!$V$41</f>
        <v>0</v>
      </c>
      <c r="J120" s="24">
        <f>IFERROR(Table1[[#This Row],[Amount]]/Table1[[#This Row],[NIGHTS]],0)</f>
        <v>0</v>
      </c>
      <c r="K120" s="21">
        <f>IF(ISTEXT('ENTERED ON'!C120), 0, IFERROR('ENTERED ON'!C120, 0))</f>
        <v>0</v>
      </c>
      <c r="L120" s="21">
        <f>IF(ISTEXT('ENTERED ON'!D120), 0, IFERROR('ENTERED ON'!D120, 0))</f>
        <v>0</v>
      </c>
      <c r="M120" s="19">
        <f>Table1[[#This Row],[Check out ]]-Table1[[#This Row],[Check in ]]</f>
        <v>0</v>
      </c>
      <c r="N120" s="19"/>
      <c r="O120" s="19">
        <f t="shared" si="11"/>
        <v>0</v>
      </c>
      <c r="P120" s="19">
        <f t="shared" si="12"/>
        <v>0</v>
      </c>
      <c r="Q120" s="19">
        <f t="shared" si="13"/>
        <v>0</v>
      </c>
      <c r="R120" s="19">
        <f t="shared" si="14"/>
        <v>0</v>
      </c>
      <c r="S120" s="19">
        <f t="shared" si="15"/>
        <v>0</v>
      </c>
      <c r="T120" s="19">
        <f t="shared" si="16"/>
        <v>0</v>
      </c>
      <c r="U120" s="19">
        <f t="shared" si="17"/>
        <v>0</v>
      </c>
      <c r="V120" s="19">
        <f t="shared" si="18"/>
        <v>0</v>
      </c>
      <c r="W120" s="19">
        <f t="shared" si="19"/>
        <v>0</v>
      </c>
      <c r="X120" s="19">
        <f t="shared" si="20"/>
        <v>0</v>
      </c>
      <c r="Y120" s="17">
        <f t="shared" si="21"/>
        <v>0</v>
      </c>
    </row>
    <row r="121" spans="1:25" x14ac:dyDescent="0.25">
      <c r="A121" s="18" t="str">
        <f>IF(OR(ISNUMBER('ENTERED ON'!M121), 'ENTERED ON'!M121=""), "M&amp;C / RESV/ OTHERS", 'ENTERED ON'!M121)</f>
        <v>M&amp;C / RESV/ OTHERS</v>
      </c>
      <c r="B121" s="18">
        <f>IF(ISTEXT(Table1[[#This Row],[ROOM TYPE]]), 1, 0)</f>
        <v>0</v>
      </c>
      <c r="C121" s="18">
        <f>IF(ISNUMBER('ENTERED ON'!L121), 0, 'ENTERED ON'!L121)</f>
        <v>0</v>
      </c>
      <c r="D121" s="18">
        <f>'ENTERED ON'!G121</f>
        <v>0</v>
      </c>
      <c r="E121" s="18">
        <f>IF(ISTEXT('ENTERED ON'!Q121), 1, 0)</f>
        <v>0</v>
      </c>
      <c r="F121" s="18">
        <f>IF(ISTEXT('ENTERED ON'!R120), 1, 0)</f>
        <v>0</v>
      </c>
      <c r="G121" s="18">
        <f>IFERROR(IF(ISTEXT('ENTERED ON'!P121), 0, 'ENTERED ON'!P121*1.1), 0)</f>
        <v>0</v>
      </c>
      <c r="H121" s="27">
        <f>IF(ISTEXT(G121), 0, Table1[[#This Row],[Amount]] / 'COMPANY PROD'!$V$33)</f>
        <v>0</v>
      </c>
      <c r="I121" s="27">
        <f>Table1[[#This Row],[NIGHTS]]/'COMPANY PROD'!$V$41</f>
        <v>0</v>
      </c>
      <c r="J121" s="24">
        <f>IFERROR(Table1[[#This Row],[Amount]]/Table1[[#This Row],[NIGHTS]],0)</f>
        <v>0</v>
      </c>
      <c r="K121" s="21">
        <f>IF(ISTEXT('ENTERED ON'!C121), 0, IFERROR('ENTERED ON'!C121, 0))</f>
        <v>0</v>
      </c>
      <c r="L121" s="21">
        <f>IF(ISTEXT('ENTERED ON'!D121), 0, IFERROR('ENTERED ON'!D121, 0))</f>
        <v>0</v>
      </c>
      <c r="M121" s="19">
        <f>Table1[[#This Row],[Check out ]]-Table1[[#This Row],[Check in ]]</f>
        <v>0</v>
      </c>
      <c r="N121" s="19"/>
      <c r="O121" s="19">
        <f t="shared" si="11"/>
        <v>0</v>
      </c>
      <c r="P121" s="19">
        <f t="shared" si="12"/>
        <v>0</v>
      </c>
      <c r="Q121" s="19">
        <f t="shared" si="13"/>
        <v>0</v>
      </c>
      <c r="R121" s="19">
        <f t="shared" si="14"/>
        <v>0</v>
      </c>
      <c r="S121" s="19">
        <f t="shared" si="15"/>
        <v>0</v>
      </c>
      <c r="T121" s="19">
        <f t="shared" si="16"/>
        <v>0</v>
      </c>
      <c r="U121" s="19">
        <f t="shared" si="17"/>
        <v>0</v>
      </c>
      <c r="V121" s="19">
        <f t="shared" si="18"/>
        <v>0</v>
      </c>
      <c r="W121" s="19">
        <f t="shared" si="19"/>
        <v>0</v>
      </c>
      <c r="X121" s="19">
        <f t="shared" si="20"/>
        <v>0</v>
      </c>
      <c r="Y121" s="17">
        <f t="shared" si="21"/>
        <v>0</v>
      </c>
    </row>
    <row r="122" spans="1:25" x14ac:dyDescent="0.25">
      <c r="A122" s="18" t="str">
        <f>IF(OR(ISNUMBER('ENTERED ON'!M122), 'ENTERED ON'!M122=""), "M&amp;C / RESV/ OTHERS", 'ENTERED ON'!M122)</f>
        <v>M&amp;C / RESV/ OTHERS</v>
      </c>
      <c r="B122" s="18">
        <f>IF(ISTEXT(Table1[[#This Row],[ROOM TYPE]]), 1, 0)</f>
        <v>0</v>
      </c>
      <c r="C122" s="18">
        <f>IF(ISNUMBER('ENTERED ON'!L122), 0, 'ENTERED ON'!L122)</f>
        <v>0</v>
      </c>
      <c r="D122" s="18">
        <f>'ENTERED ON'!G122</f>
        <v>0</v>
      </c>
      <c r="E122" s="18">
        <f>IF(ISTEXT('ENTERED ON'!Q122), 1, 0)</f>
        <v>0</v>
      </c>
      <c r="F122" s="18">
        <f>IF(ISTEXT('ENTERED ON'!R121), 1, 0)</f>
        <v>0</v>
      </c>
      <c r="G122" s="18">
        <f>IFERROR(IF(ISTEXT('ENTERED ON'!P122), 0, 'ENTERED ON'!P122*1.1), 0)</f>
        <v>0</v>
      </c>
      <c r="H122" s="27">
        <f>IF(ISTEXT(G122), 0, Table1[[#This Row],[Amount]] / 'COMPANY PROD'!$V$33)</f>
        <v>0</v>
      </c>
      <c r="I122" s="27">
        <f>Table1[[#This Row],[NIGHTS]]/'COMPANY PROD'!$V$41</f>
        <v>0</v>
      </c>
      <c r="J122" s="24">
        <f>IFERROR(Table1[[#This Row],[Amount]]/Table1[[#This Row],[NIGHTS]],0)</f>
        <v>0</v>
      </c>
      <c r="K122" s="21">
        <f>IF(ISTEXT('ENTERED ON'!C122), 0, IFERROR('ENTERED ON'!C122, 0))</f>
        <v>0</v>
      </c>
      <c r="L122" s="21">
        <f>IF(ISTEXT('ENTERED ON'!D122), 0, IFERROR('ENTERED ON'!D122, 0))</f>
        <v>0</v>
      </c>
      <c r="M122" s="19">
        <f>Table1[[#This Row],[Check out ]]-Table1[[#This Row],[Check in ]]</f>
        <v>0</v>
      </c>
      <c r="N122" s="19"/>
      <c r="O122" s="19">
        <f t="shared" si="11"/>
        <v>0</v>
      </c>
      <c r="P122" s="19">
        <f t="shared" si="12"/>
        <v>0</v>
      </c>
      <c r="Q122" s="19">
        <f t="shared" si="13"/>
        <v>0</v>
      </c>
      <c r="R122" s="19">
        <f t="shared" si="14"/>
        <v>0</v>
      </c>
      <c r="S122" s="19">
        <f t="shared" si="15"/>
        <v>0</v>
      </c>
      <c r="T122" s="19">
        <f t="shared" si="16"/>
        <v>0</v>
      </c>
      <c r="U122" s="19">
        <f t="shared" si="17"/>
        <v>0</v>
      </c>
      <c r="V122" s="19">
        <f t="shared" si="18"/>
        <v>0</v>
      </c>
      <c r="W122" s="19">
        <f t="shared" si="19"/>
        <v>0</v>
      </c>
      <c r="X122" s="19">
        <f t="shared" si="20"/>
        <v>0</v>
      </c>
      <c r="Y122" s="17">
        <f t="shared" si="21"/>
        <v>0</v>
      </c>
    </row>
    <row r="123" spans="1:25" x14ac:dyDescent="0.25">
      <c r="A123" s="18" t="str">
        <f>IF(OR(ISNUMBER('ENTERED ON'!M123), 'ENTERED ON'!M123=""), "M&amp;C / RESV/ OTHERS", 'ENTERED ON'!M123)</f>
        <v>M&amp;C / RESV/ OTHERS</v>
      </c>
      <c r="B123" s="18">
        <f>IF(ISTEXT(Table1[[#This Row],[ROOM TYPE]]), 1, 0)</f>
        <v>0</v>
      </c>
      <c r="C123" s="18">
        <f>IF(ISNUMBER('ENTERED ON'!L123), 0, 'ENTERED ON'!L123)</f>
        <v>0</v>
      </c>
      <c r="D123" s="18">
        <f>'ENTERED ON'!G123</f>
        <v>0</v>
      </c>
      <c r="E123" s="18">
        <f>IF(ISTEXT('ENTERED ON'!Q123), 1, 0)</f>
        <v>0</v>
      </c>
      <c r="F123" s="18">
        <f>IF(ISTEXT('ENTERED ON'!R122), 1, 0)</f>
        <v>0</v>
      </c>
      <c r="G123" s="18">
        <f>IFERROR(IF(ISTEXT('ENTERED ON'!P123), 0, 'ENTERED ON'!P123*1.1), 0)</f>
        <v>0</v>
      </c>
      <c r="H123" s="27">
        <f>IF(ISTEXT(G123), 0, Table1[[#This Row],[Amount]] / 'COMPANY PROD'!$V$33)</f>
        <v>0</v>
      </c>
      <c r="I123" s="27">
        <f>Table1[[#This Row],[NIGHTS]]/'COMPANY PROD'!$V$41</f>
        <v>0</v>
      </c>
      <c r="J123" s="24">
        <f>IFERROR(Table1[[#This Row],[Amount]]/Table1[[#This Row],[NIGHTS]],0)</f>
        <v>0</v>
      </c>
      <c r="K123" s="21">
        <f>IF(ISTEXT('ENTERED ON'!C123), 0, IFERROR('ENTERED ON'!C123, 0))</f>
        <v>0</v>
      </c>
      <c r="L123" s="21">
        <f>IF(ISTEXT('ENTERED ON'!D123), 0, IFERROR('ENTERED ON'!D123, 0))</f>
        <v>0</v>
      </c>
      <c r="M123" s="19">
        <f>Table1[[#This Row],[Check out ]]-Table1[[#This Row],[Check in ]]</f>
        <v>0</v>
      </c>
      <c r="N123" s="19"/>
      <c r="O123" s="19">
        <f t="shared" si="11"/>
        <v>0</v>
      </c>
      <c r="P123" s="19">
        <f t="shared" si="12"/>
        <v>0</v>
      </c>
      <c r="Q123" s="19">
        <f t="shared" si="13"/>
        <v>0</v>
      </c>
      <c r="R123" s="19">
        <f t="shared" si="14"/>
        <v>0</v>
      </c>
      <c r="S123" s="19">
        <f t="shared" si="15"/>
        <v>0</v>
      </c>
      <c r="T123" s="19">
        <f t="shared" si="16"/>
        <v>0</v>
      </c>
      <c r="U123" s="19">
        <f t="shared" si="17"/>
        <v>0</v>
      </c>
      <c r="V123" s="19">
        <f t="shared" si="18"/>
        <v>0</v>
      </c>
      <c r="W123" s="19">
        <f t="shared" si="19"/>
        <v>0</v>
      </c>
      <c r="X123" s="19">
        <f t="shared" si="20"/>
        <v>0</v>
      </c>
      <c r="Y123" s="17">
        <f t="shared" si="21"/>
        <v>0</v>
      </c>
    </row>
    <row r="124" spans="1:25" x14ac:dyDescent="0.25">
      <c r="A124" s="18" t="str">
        <f>IF(OR(ISNUMBER('ENTERED ON'!M124), 'ENTERED ON'!M124=""), "M&amp;C / RESV/ OTHERS", 'ENTERED ON'!M124)</f>
        <v>M&amp;C / RESV/ OTHERS</v>
      </c>
      <c r="B124" s="18">
        <f>IF(ISTEXT(Table1[[#This Row],[ROOM TYPE]]), 1, 0)</f>
        <v>0</v>
      </c>
      <c r="C124" s="18">
        <f>IF(ISNUMBER('ENTERED ON'!L124), 0, 'ENTERED ON'!L124)</f>
        <v>0</v>
      </c>
      <c r="D124" s="18">
        <f>'ENTERED ON'!G124</f>
        <v>0</v>
      </c>
      <c r="E124" s="18">
        <f>IF(ISTEXT('ENTERED ON'!Q124), 1, 0)</f>
        <v>0</v>
      </c>
      <c r="F124" s="18">
        <f>IF(ISTEXT('ENTERED ON'!R123), 1, 0)</f>
        <v>0</v>
      </c>
      <c r="G124" s="18">
        <f>IFERROR(IF(ISTEXT('ENTERED ON'!P124), 0, 'ENTERED ON'!P124*1.1), 0)</f>
        <v>0</v>
      </c>
      <c r="H124" s="27">
        <f>IF(ISTEXT(G124), 0, Table1[[#This Row],[Amount]] / 'COMPANY PROD'!$V$33)</f>
        <v>0</v>
      </c>
      <c r="I124" s="27">
        <f>Table1[[#This Row],[NIGHTS]]/'COMPANY PROD'!$V$41</f>
        <v>0</v>
      </c>
      <c r="J124" s="24">
        <f>IFERROR(Table1[[#This Row],[Amount]]/Table1[[#This Row],[NIGHTS]],0)</f>
        <v>0</v>
      </c>
      <c r="K124" s="21">
        <f>IF(ISTEXT('ENTERED ON'!C124), 0, IFERROR('ENTERED ON'!C124, 0))</f>
        <v>0</v>
      </c>
      <c r="L124" s="21">
        <f>IF(ISTEXT('ENTERED ON'!D124), 0, IFERROR('ENTERED ON'!D124, 0))</f>
        <v>0</v>
      </c>
      <c r="M124" s="19">
        <f>Table1[[#This Row],[Check out ]]-Table1[[#This Row],[Check in ]]</f>
        <v>0</v>
      </c>
      <c r="N124" s="19"/>
      <c r="O124" s="19">
        <f t="shared" si="11"/>
        <v>0</v>
      </c>
      <c r="P124" s="19">
        <f t="shared" si="12"/>
        <v>0</v>
      </c>
      <c r="Q124" s="19">
        <f t="shared" si="13"/>
        <v>0</v>
      </c>
      <c r="R124" s="19">
        <f t="shared" si="14"/>
        <v>0</v>
      </c>
      <c r="S124" s="19">
        <f t="shared" si="15"/>
        <v>0</v>
      </c>
      <c r="T124" s="19">
        <f t="shared" si="16"/>
        <v>0</v>
      </c>
      <c r="U124" s="19">
        <f t="shared" si="17"/>
        <v>0</v>
      </c>
      <c r="V124" s="19">
        <f t="shared" si="18"/>
        <v>0</v>
      </c>
      <c r="W124" s="19">
        <f t="shared" si="19"/>
        <v>0</v>
      </c>
      <c r="X124" s="19">
        <f t="shared" si="20"/>
        <v>0</v>
      </c>
      <c r="Y124" s="17">
        <f t="shared" si="21"/>
        <v>0</v>
      </c>
    </row>
    <row r="125" spans="1:25" x14ac:dyDescent="0.25">
      <c r="A125" s="18" t="str">
        <f>IF(OR(ISNUMBER('ENTERED ON'!M125), 'ENTERED ON'!M125=""), "M&amp;C / RESV/ OTHERS", 'ENTERED ON'!M125)</f>
        <v>M&amp;C / RESV/ OTHERS</v>
      </c>
      <c r="B125" s="18">
        <f>IF(ISTEXT(Table1[[#This Row],[ROOM TYPE]]), 1, 0)</f>
        <v>0</v>
      </c>
      <c r="C125" s="18">
        <f>IF(ISNUMBER('ENTERED ON'!L125), 0, 'ENTERED ON'!L125)</f>
        <v>0</v>
      </c>
      <c r="D125" s="18">
        <f>'ENTERED ON'!G125</f>
        <v>0</v>
      </c>
      <c r="E125" s="18">
        <f>IF(ISTEXT('ENTERED ON'!Q125), 1, 0)</f>
        <v>0</v>
      </c>
      <c r="F125" s="18">
        <f>IF(ISTEXT('ENTERED ON'!R124), 1, 0)</f>
        <v>0</v>
      </c>
      <c r="G125" s="18">
        <f>IFERROR(IF(ISTEXT('ENTERED ON'!P125), 0, 'ENTERED ON'!P125*1.1), 0)</f>
        <v>0</v>
      </c>
      <c r="H125" s="27">
        <f>IF(ISTEXT(G125), 0, Table1[[#This Row],[Amount]] / 'COMPANY PROD'!$V$33)</f>
        <v>0</v>
      </c>
      <c r="I125" s="27">
        <f>Table1[[#This Row],[NIGHTS]]/'COMPANY PROD'!$V$41</f>
        <v>0</v>
      </c>
      <c r="J125" s="24">
        <f>IFERROR(Table1[[#This Row],[Amount]]/Table1[[#This Row],[NIGHTS]],0)</f>
        <v>0</v>
      </c>
      <c r="K125" s="21">
        <f>IF(ISTEXT('ENTERED ON'!C125), 0, IFERROR('ENTERED ON'!C125, 0))</f>
        <v>0</v>
      </c>
      <c r="L125" s="21">
        <f>IF(ISTEXT('ENTERED ON'!D125), 0, IFERROR('ENTERED ON'!D125, 0))</f>
        <v>0</v>
      </c>
      <c r="M125" s="19">
        <f>Table1[[#This Row],[Check out ]]-Table1[[#This Row],[Check in ]]</f>
        <v>0</v>
      </c>
      <c r="N125" s="19"/>
      <c r="O125" s="19">
        <f t="shared" si="11"/>
        <v>0</v>
      </c>
      <c r="P125" s="19">
        <f t="shared" si="12"/>
        <v>0</v>
      </c>
      <c r="Q125" s="19">
        <f t="shared" si="13"/>
        <v>0</v>
      </c>
      <c r="R125" s="19">
        <f t="shared" si="14"/>
        <v>0</v>
      </c>
      <c r="S125" s="19">
        <f t="shared" si="15"/>
        <v>0</v>
      </c>
      <c r="T125" s="19">
        <f t="shared" si="16"/>
        <v>0</v>
      </c>
      <c r="U125" s="19">
        <f t="shared" si="17"/>
        <v>0</v>
      </c>
      <c r="V125" s="19">
        <f t="shared" si="18"/>
        <v>0</v>
      </c>
      <c r="W125" s="19">
        <f t="shared" si="19"/>
        <v>0</v>
      </c>
      <c r="X125" s="19">
        <f t="shared" si="20"/>
        <v>0</v>
      </c>
      <c r="Y125" s="17">
        <f t="shared" si="21"/>
        <v>0</v>
      </c>
    </row>
    <row r="126" spans="1:25" x14ac:dyDescent="0.25">
      <c r="A126" s="18" t="str">
        <f>IF(OR(ISNUMBER('ENTERED ON'!M126), 'ENTERED ON'!M126=""), "M&amp;C / RESV/ OTHERS", 'ENTERED ON'!M126)</f>
        <v>M&amp;C / RESV/ OTHERS</v>
      </c>
      <c r="B126" s="18">
        <f>IF(ISTEXT(Table1[[#This Row],[ROOM TYPE]]), 1, 0)</f>
        <v>0</v>
      </c>
      <c r="C126" s="18">
        <f>IF(ISNUMBER('ENTERED ON'!L126), 0, 'ENTERED ON'!L126)</f>
        <v>0</v>
      </c>
      <c r="D126" s="18">
        <f>'ENTERED ON'!G126</f>
        <v>0</v>
      </c>
      <c r="E126" s="18">
        <f>IF(ISTEXT('ENTERED ON'!Q126), 1, 0)</f>
        <v>0</v>
      </c>
      <c r="F126" s="18">
        <f>IF(ISTEXT('ENTERED ON'!R125), 1, 0)</f>
        <v>0</v>
      </c>
      <c r="G126" s="18">
        <f>IFERROR(IF(ISTEXT('ENTERED ON'!P126), 0, 'ENTERED ON'!P126*1.1), 0)</f>
        <v>0</v>
      </c>
      <c r="H126" s="27">
        <f>IF(ISTEXT(G126), 0, Table1[[#This Row],[Amount]] / 'COMPANY PROD'!$V$33)</f>
        <v>0</v>
      </c>
      <c r="I126" s="27">
        <f>Table1[[#This Row],[NIGHTS]]/'COMPANY PROD'!$V$41</f>
        <v>0</v>
      </c>
      <c r="J126" s="24">
        <f>IFERROR(Table1[[#This Row],[Amount]]/Table1[[#This Row],[NIGHTS]],0)</f>
        <v>0</v>
      </c>
      <c r="K126" s="21">
        <f>IF(ISTEXT('ENTERED ON'!C126), 0, IFERROR('ENTERED ON'!C126, 0))</f>
        <v>0</v>
      </c>
      <c r="L126" s="21">
        <f>IF(ISTEXT('ENTERED ON'!D126), 0, IFERROR('ENTERED ON'!D126, 0))</f>
        <v>0</v>
      </c>
      <c r="M126" s="19">
        <f>Table1[[#This Row],[Check out ]]-Table1[[#This Row],[Check in ]]</f>
        <v>0</v>
      </c>
      <c r="N126" s="19"/>
      <c r="O126" s="19">
        <f t="shared" si="11"/>
        <v>0</v>
      </c>
      <c r="P126" s="19">
        <f t="shared" si="12"/>
        <v>0</v>
      </c>
      <c r="Q126" s="19">
        <f t="shared" si="13"/>
        <v>0</v>
      </c>
      <c r="R126" s="19">
        <f t="shared" si="14"/>
        <v>0</v>
      </c>
      <c r="S126" s="19">
        <f t="shared" si="15"/>
        <v>0</v>
      </c>
      <c r="T126" s="19">
        <f t="shared" si="16"/>
        <v>0</v>
      </c>
      <c r="U126" s="19">
        <f t="shared" si="17"/>
        <v>0</v>
      </c>
      <c r="V126" s="19">
        <f t="shared" si="18"/>
        <v>0</v>
      </c>
      <c r="W126" s="19">
        <f t="shared" si="19"/>
        <v>0</v>
      </c>
      <c r="X126" s="19">
        <f t="shared" si="20"/>
        <v>0</v>
      </c>
      <c r="Y126" s="17">
        <f t="shared" si="21"/>
        <v>0</v>
      </c>
    </row>
    <row r="127" spans="1:25" x14ac:dyDescent="0.25">
      <c r="A127" s="18" t="str">
        <f>IF(OR(ISNUMBER('ENTERED ON'!M127), 'ENTERED ON'!M127=""), "M&amp;C / RESV/ OTHERS", 'ENTERED ON'!M127)</f>
        <v>M&amp;C / RESV/ OTHERS</v>
      </c>
      <c r="B127" s="18">
        <f>IF(ISTEXT(Table1[[#This Row],[ROOM TYPE]]), 1, 0)</f>
        <v>0</v>
      </c>
      <c r="C127" s="18">
        <f>IF(ISNUMBER('ENTERED ON'!L127), 0, 'ENTERED ON'!L127)</f>
        <v>0</v>
      </c>
      <c r="D127" s="18">
        <f>'ENTERED ON'!G127</f>
        <v>0</v>
      </c>
      <c r="E127" s="18">
        <f>IF(ISTEXT('ENTERED ON'!Q127), 1, 0)</f>
        <v>0</v>
      </c>
      <c r="F127" s="18">
        <f>IF(ISTEXT('ENTERED ON'!R126), 1, 0)</f>
        <v>0</v>
      </c>
      <c r="G127" s="18">
        <f>IFERROR(IF(ISTEXT('ENTERED ON'!P127), 0, 'ENTERED ON'!P127*1.1), 0)</f>
        <v>0</v>
      </c>
      <c r="H127" s="27">
        <f>IF(ISTEXT(G127), 0, Table1[[#This Row],[Amount]] / 'COMPANY PROD'!$V$33)</f>
        <v>0</v>
      </c>
      <c r="I127" s="27">
        <f>Table1[[#This Row],[NIGHTS]]/'COMPANY PROD'!$V$41</f>
        <v>0</v>
      </c>
      <c r="J127" s="24">
        <f>IFERROR(Table1[[#This Row],[Amount]]/Table1[[#This Row],[NIGHTS]],0)</f>
        <v>0</v>
      </c>
      <c r="K127" s="21">
        <f>IF(ISTEXT('ENTERED ON'!C127), 0, IFERROR('ENTERED ON'!C127, 0))</f>
        <v>0</v>
      </c>
      <c r="L127" s="21">
        <f>IF(ISTEXT('ENTERED ON'!D127), 0, IFERROR('ENTERED ON'!D127, 0))</f>
        <v>0</v>
      </c>
      <c r="M127" s="19">
        <f>Table1[[#This Row],[Check out ]]-Table1[[#This Row],[Check in ]]</f>
        <v>0</v>
      </c>
      <c r="N127" s="19"/>
      <c r="O127" s="19">
        <f t="shared" si="11"/>
        <v>0</v>
      </c>
      <c r="P127" s="19">
        <f t="shared" si="12"/>
        <v>0</v>
      </c>
      <c r="Q127" s="19">
        <f t="shared" si="13"/>
        <v>0</v>
      </c>
      <c r="R127" s="19">
        <f t="shared" si="14"/>
        <v>0</v>
      </c>
      <c r="S127" s="19">
        <f t="shared" si="15"/>
        <v>0</v>
      </c>
      <c r="T127" s="19">
        <f t="shared" si="16"/>
        <v>0</v>
      </c>
      <c r="U127" s="19">
        <f t="shared" si="17"/>
        <v>0</v>
      </c>
      <c r="V127" s="19">
        <f t="shared" si="18"/>
        <v>0</v>
      </c>
      <c r="W127" s="19">
        <f t="shared" si="19"/>
        <v>0</v>
      </c>
      <c r="X127" s="19">
        <f t="shared" si="20"/>
        <v>0</v>
      </c>
      <c r="Y127" s="17">
        <f t="shared" si="21"/>
        <v>0</v>
      </c>
    </row>
    <row r="128" spans="1:25" x14ac:dyDescent="0.25">
      <c r="A128" s="18" t="str">
        <f>IF(OR(ISNUMBER('ENTERED ON'!M128), 'ENTERED ON'!M128=""), "M&amp;C / RESV/ OTHERS", 'ENTERED ON'!M128)</f>
        <v>M&amp;C / RESV/ OTHERS</v>
      </c>
      <c r="B128" s="18">
        <f>IF(ISTEXT(Table1[[#This Row],[ROOM TYPE]]), 1, 0)</f>
        <v>0</v>
      </c>
      <c r="C128" s="18">
        <f>IF(ISNUMBER('ENTERED ON'!L128), 0, 'ENTERED ON'!L128)</f>
        <v>0</v>
      </c>
      <c r="D128" s="18">
        <f>'ENTERED ON'!G128</f>
        <v>0</v>
      </c>
      <c r="E128" s="18">
        <f>IF(ISTEXT('ENTERED ON'!Q128), 1, 0)</f>
        <v>0</v>
      </c>
      <c r="F128" s="18">
        <f>IF(ISTEXT('ENTERED ON'!R127), 1, 0)</f>
        <v>0</v>
      </c>
      <c r="G128" s="18">
        <f>IFERROR(IF(ISTEXT('ENTERED ON'!P128), 0, 'ENTERED ON'!P128*1.1), 0)</f>
        <v>0</v>
      </c>
      <c r="H128" s="27">
        <f>IF(ISTEXT(G128), 0, Table1[[#This Row],[Amount]] / 'COMPANY PROD'!$V$33)</f>
        <v>0</v>
      </c>
      <c r="I128" s="27">
        <f>Table1[[#This Row],[NIGHTS]]/'COMPANY PROD'!$V$41</f>
        <v>0</v>
      </c>
      <c r="J128" s="24">
        <f>IFERROR(Table1[[#This Row],[Amount]]/Table1[[#This Row],[NIGHTS]],0)</f>
        <v>0</v>
      </c>
      <c r="K128" s="21">
        <f>IF(ISTEXT('ENTERED ON'!C128), 0, IFERROR('ENTERED ON'!C128, 0))</f>
        <v>0</v>
      </c>
      <c r="L128" s="21">
        <f>IF(ISTEXT('ENTERED ON'!D128), 0, IFERROR('ENTERED ON'!D128, 0))</f>
        <v>0</v>
      </c>
      <c r="M128" s="19">
        <f>Table1[[#This Row],[Check out ]]-Table1[[#This Row],[Check in ]]</f>
        <v>0</v>
      </c>
      <c r="N128" s="19"/>
      <c r="O128" s="19">
        <f t="shared" si="11"/>
        <v>0</v>
      </c>
      <c r="P128" s="19">
        <f t="shared" si="12"/>
        <v>0</v>
      </c>
      <c r="Q128" s="19">
        <f t="shared" si="13"/>
        <v>0</v>
      </c>
      <c r="R128" s="19">
        <f t="shared" si="14"/>
        <v>0</v>
      </c>
      <c r="S128" s="19">
        <f t="shared" si="15"/>
        <v>0</v>
      </c>
      <c r="T128" s="19">
        <f t="shared" si="16"/>
        <v>0</v>
      </c>
      <c r="U128" s="19">
        <f t="shared" si="17"/>
        <v>0</v>
      </c>
      <c r="V128" s="19">
        <f t="shared" si="18"/>
        <v>0</v>
      </c>
      <c r="W128" s="19">
        <f t="shared" si="19"/>
        <v>0</v>
      </c>
      <c r="X128" s="19">
        <f t="shared" si="20"/>
        <v>0</v>
      </c>
      <c r="Y128" s="17">
        <f t="shared" si="21"/>
        <v>0</v>
      </c>
    </row>
    <row r="129" spans="1:25" x14ac:dyDescent="0.25">
      <c r="A129" s="18" t="str">
        <f>IF(OR(ISNUMBER('ENTERED ON'!M129), 'ENTERED ON'!M129=""), "M&amp;C / RESV/ OTHERS", 'ENTERED ON'!M129)</f>
        <v>M&amp;C / RESV/ OTHERS</v>
      </c>
      <c r="B129" s="18">
        <f>IF(ISTEXT(Table1[[#This Row],[ROOM TYPE]]), 1, 0)</f>
        <v>0</v>
      </c>
      <c r="C129" s="18">
        <f>IF(ISNUMBER('ENTERED ON'!L129), 0, 'ENTERED ON'!L129)</f>
        <v>0</v>
      </c>
      <c r="D129" s="18">
        <f>'ENTERED ON'!G129</f>
        <v>0</v>
      </c>
      <c r="E129" s="18">
        <f>IF(ISTEXT('ENTERED ON'!Q129), 1, 0)</f>
        <v>0</v>
      </c>
      <c r="F129" s="18">
        <f>IF(ISTEXT('ENTERED ON'!R128), 1, 0)</f>
        <v>0</v>
      </c>
      <c r="G129" s="18">
        <f>IFERROR(IF(ISTEXT('ENTERED ON'!P129), 0, 'ENTERED ON'!P129*1.1), 0)</f>
        <v>0</v>
      </c>
      <c r="H129" s="27">
        <f>IF(ISTEXT(G129), 0, Table1[[#This Row],[Amount]] / 'COMPANY PROD'!$V$33)</f>
        <v>0</v>
      </c>
      <c r="I129" s="27">
        <f>Table1[[#This Row],[NIGHTS]]/'COMPANY PROD'!$V$41</f>
        <v>0</v>
      </c>
      <c r="J129" s="24">
        <f>IFERROR(Table1[[#This Row],[Amount]]/Table1[[#This Row],[NIGHTS]],0)</f>
        <v>0</v>
      </c>
      <c r="K129" s="21">
        <f>IF(ISTEXT('ENTERED ON'!C129), 0, IFERROR('ENTERED ON'!C129, 0))</f>
        <v>0</v>
      </c>
      <c r="L129" s="21">
        <f>IF(ISTEXT('ENTERED ON'!D129), 0, IFERROR('ENTERED ON'!D129, 0))</f>
        <v>0</v>
      </c>
      <c r="M129" s="19">
        <f>Table1[[#This Row],[Check out ]]-Table1[[#This Row],[Check in ]]</f>
        <v>0</v>
      </c>
      <c r="N129" s="19"/>
      <c r="O129" s="19">
        <f t="shared" si="11"/>
        <v>0</v>
      </c>
      <c r="P129" s="19">
        <f t="shared" si="12"/>
        <v>0</v>
      </c>
      <c r="Q129" s="19">
        <f t="shared" si="13"/>
        <v>0</v>
      </c>
      <c r="R129" s="19">
        <f t="shared" si="14"/>
        <v>0</v>
      </c>
      <c r="S129" s="19">
        <f t="shared" si="15"/>
        <v>0</v>
      </c>
      <c r="T129" s="19">
        <f t="shared" si="16"/>
        <v>0</v>
      </c>
      <c r="U129" s="19">
        <f t="shared" si="17"/>
        <v>0</v>
      </c>
      <c r="V129" s="19">
        <f t="shared" si="18"/>
        <v>0</v>
      </c>
      <c r="W129" s="19">
        <f t="shared" si="19"/>
        <v>0</v>
      </c>
      <c r="X129" s="19">
        <f t="shared" si="20"/>
        <v>0</v>
      </c>
      <c r="Y129" s="17">
        <f t="shared" si="21"/>
        <v>0</v>
      </c>
    </row>
    <row r="130" spans="1:25" x14ac:dyDescent="0.25">
      <c r="A130" s="18" t="str">
        <f>IF(OR(ISNUMBER('ENTERED ON'!M130), 'ENTERED ON'!M130=""), "M&amp;C / RESV/ OTHERS", 'ENTERED ON'!M130)</f>
        <v>M&amp;C / RESV/ OTHERS</v>
      </c>
      <c r="B130" s="18">
        <f>IF(ISTEXT(Table1[[#This Row],[ROOM TYPE]]), 1, 0)</f>
        <v>0</v>
      </c>
      <c r="C130" s="18">
        <f>IF(ISNUMBER('ENTERED ON'!L130), 0, 'ENTERED ON'!L130)</f>
        <v>0</v>
      </c>
      <c r="D130" s="18">
        <f>'ENTERED ON'!G130</f>
        <v>0</v>
      </c>
      <c r="E130" s="18">
        <f>IF(ISTEXT('ENTERED ON'!Q130), 1, 0)</f>
        <v>0</v>
      </c>
      <c r="F130" s="18">
        <f>IF(ISTEXT('ENTERED ON'!R129), 1, 0)</f>
        <v>0</v>
      </c>
      <c r="G130" s="18">
        <f>IFERROR(IF(ISTEXT('ENTERED ON'!P130), 0, 'ENTERED ON'!P130*1.1), 0)</f>
        <v>0</v>
      </c>
      <c r="H130" s="27">
        <f>IF(ISTEXT(G130), 0, Table1[[#This Row],[Amount]] / 'COMPANY PROD'!$V$33)</f>
        <v>0</v>
      </c>
      <c r="I130" s="27">
        <f>Table1[[#This Row],[NIGHTS]]/'COMPANY PROD'!$V$41</f>
        <v>0</v>
      </c>
      <c r="J130" s="24">
        <f>IFERROR(Table1[[#This Row],[Amount]]/Table1[[#This Row],[NIGHTS]],0)</f>
        <v>0</v>
      </c>
      <c r="K130" s="21">
        <f>IF(ISTEXT('ENTERED ON'!C130), 0, IFERROR('ENTERED ON'!C130, 0))</f>
        <v>0</v>
      </c>
      <c r="L130" s="21">
        <f>IF(ISTEXT('ENTERED ON'!D130), 0, IFERROR('ENTERED ON'!D130, 0))</f>
        <v>0</v>
      </c>
      <c r="M130" s="19">
        <f>Table1[[#This Row],[Check out ]]-Table1[[#This Row],[Check in ]]</f>
        <v>0</v>
      </c>
      <c r="N130" s="19"/>
      <c r="O130" s="19">
        <f t="shared" si="11"/>
        <v>0</v>
      </c>
      <c r="P130" s="19">
        <f t="shared" si="12"/>
        <v>0</v>
      </c>
      <c r="Q130" s="19">
        <f t="shared" si="13"/>
        <v>0</v>
      </c>
      <c r="R130" s="19">
        <f t="shared" si="14"/>
        <v>0</v>
      </c>
      <c r="S130" s="19">
        <f t="shared" si="15"/>
        <v>0</v>
      </c>
      <c r="T130" s="19">
        <f t="shared" si="16"/>
        <v>0</v>
      </c>
      <c r="U130" s="19">
        <f t="shared" si="17"/>
        <v>0</v>
      </c>
      <c r="V130" s="19">
        <f t="shared" si="18"/>
        <v>0</v>
      </c>
      <c r="W130" s="19">
        <f t="shared" si="19"/>
        <v>0</v>
      </c>
      <c r="X130" s="19">
        <f t="shared" si="20"/>
        <v>0</v>
      </c>
      <c r="Y130" s="17">
        <f t="shared" si="21"/>
        <v>0</v>
      </c>
    </row>
    <row r="131" spans="1:25" x14ac:dyDescent="0.25">
      <c r="A131" s="18" t="str">
        <f>IF(OR(ISNUMBER('ENTERED ON'!M131), 'ENTERED ON'!M131=""), "M&amp;C / RESV/ OTHERS", 'ENTERED ON'!M131)</f>
        <v>M&amp;C / RESV/ OTHERS</v>
      </c>
      <c r="B131" s="18">
        <f>IF(ISTEXT(Table1[[#This Row],[ROOM TYPE]]), 1, 0)</f>
        <v>0</v>
      </c>
      <c r="C131" s="18">
        <f>IF(ISNUMBER('ENTERED ON'!L131), 0, 'ENTERED ON'!L131)</f>
        <v>0</v>
      </c>
      <c r="D131" s="18">
        <f>'ENTERED ON'!G131</f>
        <v>0</v>
      </c>
      <c r="E131" s="18">
        <f>IF(ISTEXT('ENTERED ON'!Q131), 1, 0)</f>
        <v>0</v>
      </c>
      <c r="F131" s="18">
        <f>IF(ISTEXT('ENTERED ON'!R130), 1, 0)</f>
        <v>0</v>
      </c>
      <c r="G131" s="18">
        <f>IFERROR(IF(ISTEXT('ENTERED ON'!P131), 0, 'ENTERED ON'!P131*1.1), 0)</f>
        <v>0</v>
      </c>
      <c r="H131" s="27">
        <f>IF(ISTEXT(G131), 0, Table1[[#This Row],[Amount]] / 'COMPANY PROD'!$V$33)</f>
        <v>0</v>
      </c>
      <c r="I131" s="27">
        <f>Table1[[#This Row],[NIGHTS]]/'COMPANY PROD'!$V$41</f>
        <v>0</v>
      </c>
      <c r="J131" s="24">
        <f>IFERROR(Table1[[#This Row],[Amount]]/Table1[[#This Row],[NIGHTS]],0)</f>
        <v>0</v>
      </c>
      <c r="K131" s="21">
        <f>IF(ISTEXT('ENTERED ON'!C131), 0, IFERROR('ENTERED ON'!C131, 0))</f>
        <v>0</v>
      </c>
      <c r="L131" s="21">
        <f>IF(ISTEXT('ENTERED ON'!D131), 0, IFERROR('ENTERED ON'!D131, 0))</f>
        <v>0</v>
      </c>
      <c r="M131" s="19">
        <f>Table1[[#This Row],[Check out ]]-Table1[[#This Row],[Check in ]]</f>
        <v>0</v>
      </c>
      <c r="N131" s="19"/>
      <c r="O131" s="19">
        <f t="shared" ref="O131:O150" si="22">MAX(0, MIN(L131-1, DATE(YEAR(K131), 3, 1)-1) - MAX(K131, DATE(YEAR(K131), 2, 1)) + 1)</f>
        <v>0</v>
      </c>
      <c r="P131" s="19">
        <f t="shared" ref="P131:P150" si="23">MAX(0, MIN(L131-1, DATE(YEAR(K131), 4, 1)-1) - MAX(K131, DATE(YEAR(K131), 3, 1)) + 1)</f>
        <v>0</v>
      </c>
      <c r="Q131" s="19">
        <f t="shared" ref="Q131:Q150" si="24">MAX(0,MIN(L131-1,DATE(YEAR(K131),5,1)-1)-MAX(K131,DATE(YEAR(K131),4,1))+1)</f>
        <v>0</v>
      </c>
      <c r="R131" s="19">
        <f t="shared" ref="R131:R150" si="25">MAX(0, MIN(L131-1, DATE(YEAR(K131), 6, 1)-1) - MAX(K131, DATE(YEAR(K131), 5, 1)) + 1)</f>
        <v>0</v>
      </c>
      <c r="S131" s="19">
        <f t="shared" ref="S131:S150" si="26">MAX(0, MIN(L131-1, DATE(YEAR(K131), 7, 1)-1) - MAX(K131, DATE(YEAR(K131), 6, 1)) + 1)</f>
        <v>0</v>
      </c>
      <c r="T131" s="19">
        <f t="shared" ref="T131:T150" si="27">MAX(0, MIN(L131-1, DATE(YEAR(K131), 8, 1)-1) - MAX(K131, DATE(YEAR(K131), 7, 1)) + 1)</f>
        <v>0</v>
      </c>
      <c r="U131" s="19">
        <f t="shared" ref="U131:U150" si="28">MAX(0, MIN(L131-1, DATE(YEAR(K131), 9, 1)-1) - MAX(K131, DATE(YEAR(K131), 8, 1)) + 1)</f>
        <v>0</v>
      </c>
      <c r="V131" s="19">
        <f t="shared" ref="V131:V150" si="29">MAX(0, MIN(L131-1, DATE(YEAR(K131), 10, 1)-1) - MAX(K131, DATE(YEAR(K131), 9, 1)) + 1)</f>
        <v>0</v>
      </c>
      <c r="W131" s="19">
        <f t="shared" ref="W131:W150" si="30">MAX(0, MIN(L131-1, DATE(YEAR(K131), 11, 1)-1) - MAX(K131, DATE(YEAR(K131), 10, 1)) + 1)</f>
        <v>0</v>
      </c>
      <c r="X131" s="19">
        <f t="shared" ref="X131:X150" si="31">MAX(0, MIN(L131-1, DATE(YEAR(K131), 12, 1)-1) - MAX(K131, DATE(YEAR(K131), 11, 1)) + 1)</f>
        <v>0</v>
      </c>
      <c r="Y131" s="17">
        <f t="shared" ref="Y131:Y150" si="32">MAX(0, MIN(L131-1, DATE(YEAR(K131)+1, 1, 1)-1) - MAX(K131, DATE(YEAR(K131), 12, 1)) + 1)</f>
        <v>0</v>
      </c>
    </row>
    <row r="132" spans="1:25" x14ac:dyDescent="0.25">
      <c r="A132" s="18" t="str">
        <f>IF(OR(ISNUMBER('ENTERED ON'!M132), 'ENTERED ON'!M132=""), "M&amp;C / RESV/ OTHERS", 'ENTERED ON'!M132)</f>
        <v>M&amp;C / RESV/ OTHERS</v>
      </c>
      <c r="B132" s="18">
        <f>IF(ISTEXT(Table1[[#This Row],[ROOM TYPE]]), 1, 0)</f>
        <v>0</v>
      </c>
      <c r="C132" s="18">
        <f>IF(ISNUMBER('ENTERED ON'!L132), 0, 'ENTERED ON'!L132)</f>
        <v>0</v>
      </c>
      <c r="D132" s="18">
        <f>'ENTERED ON'!G132</f>
        <v>0</v>
      </c>
      <c r="E132" s="18">
        <f>IF(ISTEXT('ENTERED ON'!Q132), 1, 0)</f>
        <v>0</v>
      </c>
      <c r="F132" s="18">
        <f>IF(ISTEXT('ENTERED ON'!R131), 1, 0)</f>
        <v>0</v>
      </c>
      <c r="G132" s="18">
        <f>IFERROR(IF(ISTEXT('ENTERED ON'!P132), 0, 'ENTERED ON'!P132*1.1), 0)</f>
        <v>0</v>
      </c>
      <c r="H132" s="27">
        <f>IF(ISTEXT(G132), 0, Table1[[#This Row],[Amount]] / 'COMPANY PROD'!$V$33)</f>
        <v>0</v>
      </c>
      <c r="I132" s="27">
        <f>Table1[[#This Row],[NIGHTS]]/'COMPANY PROD'!$V$41</f>
        <v>0</v>
      </c>
      <c r="J132" s="24">
        <f>IFERROR(Table1[[#This Row],[Amount]]/Table1[[#This Row],[NIGHTS]],0)</f>
        <v>0</v>
      </c>
      <c r="K132" s="21">
        <f>IF(ISTEXT('ENTERED ON'!C132), 0, IFERROR('ENTERED ON'!C132, 0))</f>
        <v>0</v>
      </c>
      <c r="L132" s="21">
        <f>IF(ISTEXT('ENTERED ON'!D132), 0, IFERROR('ENTERED ON'!D132, 0))</f>
        <v>0</v>
      </c>
      <c r="M132" s="19">
        <f>Table1[[#This Row],[Check out ]]-Table1[[#This Row],[Check in ]]</f>
        <v>0</v>
      </c>
      <c r="N132" s="19"/>
      <c r="O132" s="19">
        <f t="shared" si="22"/>
        <v>0</v>
      </c>
      <c r="P132" s="19">
        <f t="shared" si="23"/>
        <v>0</v>
      </c>
      <c r="Q132" s="19">
        <f t="shared" si="24"/>
        <v>0</v>
      </c>
      <c r="R132" s="19">
        <f t="shared" si="25"/>
        <v>0</v>
      </c>
      <c r="S132" s="19">
        <f t="shared" si="26"/>
        <v>0</v>
      </c>
      <c r="T132" s="19">
        <f t="shared" si="27"/>
        <v>0</v>
      </c>
      <c r="U132" s="19">
        <f t="shared" si="28"/>
        <v>0</v>
      </c>
      <c r="V132" s="19">
        <f t="shared" si="29"/>
        <v>0</v>
      </c>
      <c r="W132" s="19">
        <f t="shared" si="30"/>
        <v>0</v>
      </c>
      <c r="X132" s="19">
        <f t="shared" si="31"/>
        <v>0</v>
      </c>
      <c r="Y132" s="17">
        <f t="shared" si="32"/>
        <v>0</v>
      </c>
    </row>
    <row r="133" spans="1:25" x14ac:dyDescent="0.25">
      <c r="A133" s="18" t="str">
        <f>IF(OR(ISNUMBER('ENTERED ON'!M133), 'ENTERED ON'!M133=""), "M&amp;C / RESV/ OTHERS", 'ENTERED ON'!M133)</f>
        <v>M&amp;C / RESV/ OTHERS</v>
      </c>
      <c r="B133" s="18">
        <f>IF(ISTEXT(Table1[[#This Row],[ROOM TYPE]]), 1, 0)</f>
        <v>0</v>
      </c>
      <c r="C133" s="18">
        <f>IF(ISNUMBER('ENTERED ON'!L133), 0, 'ENTERED ON'!L133)</f>
        <v>0</v>
      </c>
      <c r="D133" s="18">
        <f>'ENTERED ON'!G133</f>
        <v>0</v>
      </c>
      <c r="E133" s="18">
        <f>IF(ISTEXT('ENTERED ON'!Q133), 1, 0)</f>
        <v>0</v>
      </c>
      <c r="F133" s="18">
        <f>IF(ISTEXT('ENTERED ON'!R132), 1, 0)</f>
        <v>0</v>
      </c>
      <c r="G133" s="18">
        <f>IFERROR(IF(ISTEXT('ENTERED ON'!P133), 0, 'ENTERED ON'!P133*1.1), 0)</f>
        <v>0</v>
      </c>
      <c r="H133" s="27">
        <f>IF(ISTEXT(G133), 0, Table1[[#This Row],[Amount]] / 'COMPANY PROD'!$V$33)</f>
        <v>0</v>
      </c>
      <c r="I133" s="27">
        <f>Table1[[#This Row],[NIGHTS]]/'COMPANY PROD'!$V$41</f>
        <v>0</v>
      </c>
      <c r="J133" s="24">
        <f>IFERROR(Table1[[#This Row],[Amount]]/Table1[[#This Row],[NIGHTS]],0)</f>
        <v>0</v>
      </c>
      <c r="K133" s="21">
        <f>IF(ISTEXT('ENTERED ON'!C133), 0, IFERROR('ENTERED ON'!C133, 0))</f>
        <v>0</v>
      </c>
      <c r="L133" s="21">
        <f>IF(ISTEXT('ENTERED ON'!D133), 0, IFERROR('ENTERED ON'!D133, 0))</f>
        <v>0</v>
      </c>
      <c r="M133" s="19">
        <f>Table1[[#This Row],[Check out ]]-Table1[[#This Row],[Check in ]]</f>
        <v>0</v>
      </c>
      <c r="N133" s="19"/>
      <c r="O133" s="19">
        <f t="shared" si="22"/>
        <v>0</v>
      </c>
      <c r="P133" s="19">
        <f t="shared" si="23"/>
        <v>0</v>
      </c>
      <c r="Q133" s="19">
        <f t="shared" si="24"/>
        <v>0</v>
      </c>
      <c r="R133" s="19">
        <f t="shared" si="25"/>
        <v>0</v>
      </c>
      <c r="S133" s="19">
        <f t="shared" si="26"/>
        <v>0</v>
      </c>
      <c r="T133" s="19">
        <f t="shared" si="27"/>
        <v>0</v>
      </c>
      <c r="U133" s="19">
        <f t="shared" si="28"/>
        <v>0</v>
      </c>
      <c r="V133" s="19">
        <f t="shared" si="29"/>
        <v>0</v>
      </c>
      <c r="W133" s="19">
        <f t="shared" si="30"/>
        <v>0</v>
      </c>
      <c r="X133" s="19">
        <f t="shared" si="31"/>
        <v>0</v>
      </c>
      <c r="Y133" s="17">
        <f t="shared" si="32"/>
        <v>0</v>
      </c>
    </row>
    <row r="134" spans="1:25" x14ac:dyDescent="0.25">
      <c r="A134" s="18" t="str">
        <f>IF(OR(ISNUMBER('ENTERED ON'!M134), 'ENTERED ON'!M134=""), "M&amp;C / RESV/ OTHERS", 'ENTERED ON'!M134)</f>
        <v>M&amp;C / RESV/ OTHERS</v>
      </c>
      <c r="B134" s="18">
        <f>IF(ISTEXT(Table1[[#This Row],[ROOM TYPE]]), 1, 0)</f>
        <v>0</v>
      </c>
      <c r="C134" s="18">
        <f>IF(ISNUMBER('ENTERED ON'!L134), 0, 'ENTERED ON'!L134)</f>
        <v>0</v>
      </c>
      <c r="D134" s="18">
        <f>'ENTERED ON'!G134</f>
        <v>0</v>
      </c>
      <c r="E134" s="18">
        <f>IF(ISTEXT('ENTERED ON'!Q134), 1, 0)</f>
        <v>0</v>
      </c>
      <c r="F134" s="18">
        <f>IF(ISTEXT('ENTERED ON'!R133), 1, 0)</f>
        <v>0</v>
      </c>
      <c r="G134" s="18">
        <f>IFERROR(IF(ISTEXT('ENTERED ON'!P134), 0, 'ENTERED ON'!P134*1.1), 0)</f>
        <v>0</v>
      </c>
      <c r="H134" s="27">
        <f>IF(ISTEXT(G134), 0, Table1[[#This Row],[Amount]] / 'COMPANY PROD'!$V$33)</f>
        <v>0</v>
      </c>
      <c r="I134" s="27">
        <f>Table1[[#This Row],[NIGHTS]]/'COMPANY PROD'!$V$41</f>
        <v>0</v>
      </c>
      <c r="J134" s="24">
        <f>IFERROR(Table1[[#This Row],[Amount]]/Table1[[#This Row],[NIGHTS]],0)</f>
        <v>0</v>
      </c>
      <c r="K134" s="21">
        <f>IF(ISTEXT('ENTERED ON'!C134), 0, IFERROR('ENTERED ON'!C134, 0))</f>
        <v>0</v>
      </c>
      <c r="L134" s="21">
        <f>IF(ISTEXT('ENTERED ON'!D134), 0, IFERROR('ENTERED ON'!D134, 0))</f>
        <v>0</v>
      </c>
      <c r="M134" s="19">
        <f>Table1[[#This Row],[Check out ]]-Table1[[#This Row],[Check in ]]</f>
        <v>0</v>
      </c>
      <c r="N134" s="19"/>
      <c r="O134" s="19">
        <f t="shared" si="22"/>
        <v>0</v>
      </c>
      <c r="P134" s="19">
        <f t="shared" si="23"/>
        <v>0</v>
      </c>
      <c r="Q134" s="19">
        <f t="shared" si="24"/>
        <v>0</v>
      </c>
      <c r="R134" s="19">
        <f t="shared" si="25"/>
        <v>0</v>
      </c>
      <c r="S134" s="19">
        <f t="shared" si="26"/>
        <v>0</v>
      </c>
      <c r="T134" s="19">
        <f t="shared" si="27"/>
        <v>0</v>
      </c>
      <c r="U134" s="19">
        <f t="shared" si="28"/>
        <v>0</v>
      </c>
      <c r="V134" s="19">
        <f t="shared" si="29"/>
        <v>0</v>
      </c>
      <c r="W134" s="19">
        <f t="shared" si="30"/>
        <v>0</v>
      </c>
      <c r="X134" s="19">
        <f t="shared" si="31"/>
        <v>0</v>
      </c>
      <c r="Y134" s="17">
        <f t="shared" si="32"/>
        <v>0</v>
      </c>
    </row>
    <row r="135" spans="1:25" x14ac:dyDescent="0.25">
      <c r="A135" s="18" t="str">
        <f>IF(OR(ISNUMBER('ENTERED ON'!M135), 'ENTERED ON'!M135=""), "M&amp;C / RESV/ OTHERS", 'ENTERED ON'!M135)</f>
        <v>M&amp;C / RESV/ OTHERS</v>
      </c>
      <c r="B135" s="18">
        <f>IF(ISTEXT(Table1[[#This Row],[ROOM TYPE]]), 1, 0)</f>
        <v>0</v>
      </c>
      <c r="C135" s="18">
        <f>IF(ISNUMBER('ENTERED ON'!L135), 0, 'ENTERED ON'!L135)</f>
        <v>0</v>
      </c>
      <c r="D135" s="18">
        <f>'ENTERED ON'!G135</f>
        <v>0</v>
      </c>
      <c r="E135" s="18">
        <f>IF(ISTEXT('ENTERED ON'!Q135), 1, 0)</f>
        <v>0</v>
      </c>
      <c r="F135" s="18">
        <f>IF(ISTEXT('ENTERED ON'!R134), 1, 0)</f>
        <v>0</v>
      </c>
      <c r="G135" s="18">
        <f>IFERROR(IF(ISTEXT('ENTERED ON'!P135), 0, 'ENTERED ON'!P135*1.1), 0)</f>
        <v>0</v>
      </c>
      <c r="H135" s="27">
        <f>IF(ISTEXT(G135), 0, Table1[[#This Row],[Amount]] / 'COMPANY PROD'!$V$33)</f>
        <v>0</v>
      </c>
      <c r="I135" s="27">
        <f>Table1[[#This Row],[NIGHTS]]/'COMPANY PROD'!$V$41</f>
        <v>0</v>
      </c>
      <c r="J135" s="24">
        <f>IFERROR(Table1[[#This Row],[Amount]]/Table1[[#This Row],[NIGHTS]],0)</f>
        <v>0</v>
      </c>
      <c r="K135" s="21">
        <f>IF(ISTEXT('ENTERED ON'!C135), 0, IFERROR('ENTERED ON'!C135, 0))</f>
        <v>0</v>
      </c>
      <c r="L135" s="21">
        <f>IF(ISTEXT('ENTERED ON'!D135), 0, IFERROR('ENTERED ON'!D135, 0))</f>
        <v>0</v>
      </c>
      <c r="M135" s="19">
        <f>Table1[[#This Row],[Check out ]]-Table1[[#This Row],[Check in ]]</f>
        <v>0</v>
      </c>
      <c r="N135" s="19"/>
      <c r="O135" s="19">
        <f t="shared" si="22"/>
        <v>0</v>
      </c>
      <c r="P135" s="19">
        <f t="shared" si="23"/>
        <v>0</v>
      </c>
      <c r="Q135" s="19">
        <f t="shared" si="24"/>
        <v>0</v>
      </c>
      <c r="R135" s="19">
        <f t="shared" si="25"/>
        <v>0</v>
      </c>
      <c r="S135" s="19">
        <f t="shared" si="26"/>
        <v>0</v>
      </c>
      <c r="T135" s="19">
        <f t="shared" si="27"/>
        <v>0</v>
      </c>
      <c r="U135" s="19">
        <f t="shared" si="28"/>
        <v>0</v>
      </c>
      <c r="V135" s="19">
        <f t="shared" si="29"/>
        <v>0</v>
      </c>
      <c r="W135" s="19">
        <f t="shared" si="30"/>
        <v>0</v>
      </c>
      <c r="X135" s="19">
        <f t="shared" si="31"/>
        <v>0</v>
      </c>
      <c r="Y135" s="17">
        <f t="shared" si="32"/>
        <v>0</v>
      </c>
    </row>
    <row r="136" spans="1:25" x14ac:dyDescent="0.25">
      <c r="A136" s="18" t="str">
        <f>IF(OR(ISNUMBER('ENTERED ON'!M136), 'ENTERED ON'!M136=""), "M&amp;C / RESV/ OTHERS", 'ENTERED ON'!M136)</f>
        <v>M&amp;C / RESV/ OTHERS</v>
      </c>
      <c r="B136" s="18">
        <f>IF(ISTEXT(Table1[[#This Row],[ROOM TYPE]]), 1, 0)</f>
        <v>0</v>
      </c>
      <c r="C136" s="18">
        <f>IF(ISNUMBER('ENTERED ON'!L136), 0, 'ENTERED ON'!L136)</f>
        <v>0</v>
      </c>
      <c r="D136" s="18">
        <f>'ENTERED ON'!G136</f>
        <v>0</v>
      </c>
      <c r="E136" s="18">
        <f>IF(ISTEXT('ENTERED ON'!Q136), 1, 0)</f>
        <v>0</v>
      </c>
      <c r="F136" s="18">
        <f>IF(ISTEXT('ENTERED ON'!R135), 1, 0)</f>
        <v>0</v>
      </c>
      <c r="G136" s="18">
        <f>IFERROR(IF(ISTEXT('ENTERED ON'!P136), 0, 'ENTERED ON'!P136*1.1), 0)</f>
        <v>0</v>
      </c>
      <c r="H136" s="27">
        <f>IF(ISTEXT(G136), 0, Table1[[#This Row],[Amount]] / 'COMPANY PROD'!$V$33)</f>
        <v>0</v>
      </c>
      <c r="I136" s="27">
        <f>Table1[[#This Row],[NIGHTS]]/'COMPANY PROD'!$V$41</f>
        <v>0</v>
      </c>
      <c r="J136" s="24">
        <f>IFERROR(Table1[[#This Row],[Amount]]/Table1[[#This Row],[NIGHTS]],0)</f>
        <v>0</v>
      </c>
      <c r="K136" s="21">
        <f>IF(ISTEXT('ENTERED ON'!C136), 0, IFERROR('ENTERED ON'!C136, 0))</f>
        <v>0</v>
      </c>
      <c r="L136" s="21">
        <f>IF(ISTEXT('ENTERED ON'!D136), 0, IFERROR('ENTERED ON'!D136, 0))</f>
        <v>0</v>
      </c>
      <c r="M136" s="19">
        <f>Table1[[#This Row],[Check out ]]-Table1[[#This Row],[Check in ]]</f>
        <v>0</v>
      </c>
      <c r="N136" s="19"/>
      <c r="O136" s="19">
        <f t="shared" si="22"/>
        <v>0</v>
      </c>
      <c r="P136" s="19">
        <f t="shared" si="23"/>
        <v>0</v>
      </c>
      <c r="Q136" s="19">
        <f t="shared" si="24"/>
        <v>0</v>
      </c>
      <c r="R136" s="19">
        <f t="shared" si="25"/>
        <v>0</v>
      </c>
      <c r="S136" s="19">
        <f t="shared" si="26"/>
        <v>0</v>
      </c>
      <c r="T136" s="19">
        <f t="shared" si="27"/>
        <v>0</v>
      </c>
      <c r="U136" s="19">
        <f t="shared" si="28"/>
        <v>0</v>
      </c>
      <c r="V136" s="19">
        <f t="shared" si="29"/>
        <v>0</v>
      </c>
      <c r="W136" s="19">
        <f t="shared" si="30"/>
        <v>0</v>
      </c>
      <c r="X136" s="19">
        <f t="shared" si="31"/>
        <v>0</v>
      </c>
      <c r="Y136" s="17">
        <f t="shared" si="32"/>
        <v>0</v>
      </c>
    </row>
    <row r="137" spans="1:25" x14ac:dyDescent="0.25">
      <c r="A137" s="18" t="str">
        <f>IF(OR(ISNUMBER('ENTERED ON'!M137), 'ENTERED ON'!M137=""), "M&amp;C / RESV/ OTHERS", 'ENTERED ON'!M137)</f>
        <v>M&amp;C / RESV/ OTHERS</v>
      </c>
      <c r="B137" s="18">
        <f>IF(ISTEXT(Table1[[#This Row],[ROOM TYPE]]), 1, 0)</f>
        <v>0</v>
      </c>
      <c r="C137" s="18">
        <f>IF(ISNUMBER('ENTERED ON'!L137), 0, 'ENTERED ON'!L137)</f>
        <v>0</v>
      </c>
      <c r="D137" s="18">
        <f>'ENTERED ON'!G137</f>
        <v>0</v>
      </c>
      <c r="E137" s="18">
        <f>IF(ISTEXT('ENTERED ON'!Q137), 1, 0)</f>
        <v>0</v>
      </c>
      <c r="F137" s="18">
        <f>IF(ISTEXT('ENTERED ON'!R136), 1, 0)</f>
        <v>0</v>
      </c>
      <c r="G137" s="18">
        <f>IFERROR(IF(ISTEXT('ENTERED ON'!P137), 0, 'ENTERED ON'!P137*1.1), 0)</f>
        <v>0</v>
      </c>
      <c r="H137" s="27">
        <f>IF(ISTEXT(G137), 0, Table1[[#This Row],[Amount]] / 'COMPANY PROD'!$V$33)</f>
        <v>0</v>
      </c>
      <c r="I137" s="27">
        <f>Table1[[#This Row],[NIGHTS]]/'COMPANY PROD'!$V$41</f>
        <v>0</v>
      </c>
      <c r="J137" s="24">
        <f>IFERROR(Table1[[#This Row],[Amount]]/Table1[[#This Row],[NIGHTS]],0)</f>
        <v>0</v>
      </c>
      <c r="K137" s="21">
        <f>IF(ISTEXT('ENTERED ON'!C137), 0, IFERROR('ENTERED ON'!C137, 0))</f>
        <v>0</v>
      </c>
      <c r="L137" s="21">
        <f>IF(ISTEXT('ENTERED ON'!D137), 0, IFERROR('ENTERED ON'!D137, 0))</f>
        <v>0</v>
      </c>
      <c r="M137" s="19">
        <f>Table1[[#This Row],[Check out ]]-Table1[[#This Row],[Check in ]]</f>
        <v>0</v>
      </c>
      <c r="N137" s="19"/>
      <c r="O137" s="19">
        <f t="shared" si="22"/>
        <v>0</v>
      </c>
      <c r="P137" s="19">
        <f t="shared" si="23"/>
        <v>0</v>
      </c>
      <c r="Q137" s="19">
        <f t="shared" si="24"/>
        <v>0</v>
      </c>
      <c r="R137" s="19">
        <f t="shared" si="25"/>
        <v>0</v>
      </c>
      <c r="S137" s="19">
        <f t="shared" si="26"/>
        <v>0</v>
      </c>
      <c r="T137" s="19">
        <f t="shared" si="27"/>
        <v>0</v>
      </c>
      <c r="U137" s="19">
        <f t="shared" si="28"/>
        <v>0</v>
      </c>
      <c r="V137" s="19">
        <f t="shared" si="29"/>
        <v>0</v>
      </c>
      <c r="W137" s="19">
        <f t="shared" si="30"/>
        <v>0</v>
      </c>
      <c r="X137" s="19">
        <f t="shared" si="31"/>
        <v>0</v>
      </c>
      <c r="Y137" s="17">
        <f t="shared" si="32"/>
        <v>0</v>
      </c>
    </row>
    <row r="138" spans="1:25" x14ac:dyDescent="0.25">
      <c r="A138" s="18" t="str">
        <f>IF(OR(ISNUMBER('ENTERED ON'!M138), 'ENTERED ON'!M138=""), "M&amp;C / RESV/ OTHERS", 'ENTERED ON'!M138)</f>
        <v>M&amp;C / RESV/ OTHERS</v>
      </c>
      <c r="B138" s="18">
        <f>IF(ISTEXT(Table1[[#This Row],[ROOM TYPE]]), 1, 0)</f>
        <v>0</v>
      </c>
      <c r="C138" s="18">
        <f>IF(ISNUMBER('ENTERED ON'!L138), 0, 'ENTERED ON'!L138)</f>
        <v>0</v>
      </c>
      <c r="D138" s="18">
        <f>'ENTERED ON'!G138</f>
        <v>0</v>
      </c>
      <c r="E138" s="18">
        <f>IF(ISTEXT('ENTERED ON'!Q138), 1, 0)</f>
        <v>0</v>
      </c>
      <c r="F138" s="18">
        <f>IF(ISTEXT('ENTERED ON'!R137), 1, 0)</f>
        <v>0</v>
      </c>
      <c r="G138" s="18">
        <f>IFERROR(IF(ISTEXT('ENTERED ON'!P138), 0, 'ENTERED ON'!P138*1.1), 0)</f>
        <v>0</v>
      </c>
      <c r="H138" s="27">
        <f>IF(ISTEXT(G138), 0, Table1[[#This Row],[Amount]] / 'COMPANY PROD'!$V$33)</f>
        <v>0</v>
      </c>
      <c r="I138" s="27">
        <f>Table1[[#This Row],[NIGHTS]]/'COMPANY PROD'!$V$41</f>
        <v>0</v>
      </c>
      <c r="J138" s="24">
        <f>IFERROR(Table1[[#This Row],[Amount]]/Table1[[#This Row],[NIGHTS]],0)</f>
        <v>0</v>
      </c>
      <c r="K138" s="21">
        <f>IF(ISTEXT('ENTERED ON'!C138), 0, IFERROR('ENTERED ON'!C138, 0))</f>
        <v>0</v>
      </c>
      <c r="L138" s="21">
        <f>IF(ISTEXT('ENTERED ON'!D138), 0, IFERROR('ENTERED ON'!D138, 0))</f>
        <v>0</v>
      </c>
      <c r="M138" s="19">
        <f>Table1[[#This Row],[Check out ]]-Table1[[#This Row],[Check in ]]</f>
        <v>0</v>
      </c>
      <c r="N138" s="19"/>
      <c r="O138" s="19">
        <f t="shared" si="22"/>
        <v>0</v>
      </c>
      <c r="P138" s="19">
        <f t="shared" si="23"/>
        <v>0</v>
      </c>
      <c r="Q138" s="19">
        <f t="shared" si="24"/>
        <v>0</v>
      </c>
      <c r="R138" s="19">
        <f t="shared" si="25"/>
        <v>0</v>
      </c>
      <c r="S138" s="19">
        <f t="shared" si="26"/>
        <v>0</v>
      </c>
      <c r="T138" s="19">
        <f t="shared" si="27"/>
        <v>0</v>
      </c>
      <c r="U138" s="19">
        <f t="shared" si="28"/>
        <v>0</v>
      </c>
      <c r="V138" s="19">
        <f t="shared" si="29"/>
        <v>0</v>
      </c>
      <c r="W138" s="19">
        <f t="shared" si="30"/>
        <v>0</v>
      </c>
      <c r="X138" s="19">
        <f t="shared" si="31"/>
        <v>0</v>
      </c>
      <c r="Y138" s="17">
        <f t="shared" si="32"/>
        <v>0</v>
      </c>
    </row>
    <row r="139" spans="1:25" x14ac:dyDescent="0.25">
      <c r="A139" s="18" t="str">
        <f>IF(OR(ISNUMBER('ENTERED ON'!M139), 'ENTERED ON'!M139=""), "M&amp;C / RESV/ OTHERS", 'ENTERED ON'!M139)</f>
        <v>M&amp;C / RESV/ OTHERS</v>
      </c>
      <c r="B139" s="18">
        <f>IF(ISTEXT(Table1[[#This Row],[ROOM TYPE]]), 1, 0)</f>
        <v>0</v>
      </c>
      <c r="C139" s="18">
        <f>IF(ISNUMBER('ENTERED ON'!L139), 0, 'ENTERED ON'!L139)</f>
        <v>0</v>
      </c>
      <c r="D139" s="18">
        <f>'ENTERED ON'!G139</f>
        <v>0</v>
      </c>
      <c r="E139" s="18">
        <f>IF(ISTEXT('ENTERED ON'!Q139), 1, 0)</f>
        <v>0</v>
      </c>
      <c r="F139" s="18">
        <f>IF(ISTEXT('ENTERED ON'!R138), 1, 0)</f>
        <v>0</v>
      </c>
      <c r="G139" s="18">
        <f>IFERROR(IF(ISTEXT('ENTERED ON'!P139), 0, 'ENTERED ON'!P139*1.1), 0)</f>
        <v>0</v>
      </c>
      <c r="H139" s="27">
        <f>IF(ISTEXT(G139), 0, Table1[[#This Row],[Amount]] / 'COMPANY PROD'!$V$33)</f>
        <v>0</v>
      </c>
      <c r="I139" s="27">
        <f>Table1[[#This Row],[NIGHTS]]/'COMPANY PROD'!$V$41</f>
        <v>0</v>
      </c>
      <c r="J139" s="24">
        <f>IFERROR(Table1[[#This Row],[Amount]]/Table1[[#This Row],[NIGHTS]],0)</f>
        <v>0</v>
      </c>
      <c r="K139" s="21">
        <f>IF(ISTEXT('ENTERED ON'!C139), 0, IFERROR('ENTERED ON'!C139, 0))</f>
        <v>0</v>
      </c>
      <c r="L139" s="21">
        <f>IF(ISTEXT('ENTERED ON'!D139), 0, IFERROR('ENTERED ON'!D139, 0))</f>
        <v>0</v>
      </c>
      <c r="M139" s="19">
        <f>Table1[[#This Row],[Check out ]]-Table1[[#This Row],[Check in ]]</f>
        <v>0</v>
      </c>
      <c r="N139" s="19"/>
      <c r="O139" s="19">
        <f t="shared" si="22"/>
        <v>0</v>
      </c>
      <c r="P139" s="19">
        <f t="shared" si="23"/>
        <v>0</v>
      </c>
      <c r="Q139" s="19">
        <f t="shared" si="24"/>
        <v>0</v>
      </c>
      <c r="R139" s="19">
        <f t="shared" si="25"/>
        <v>0</v>
      </c>
      <c r="S139" s="19">
        <f t="shared" si="26"/>
        <v>0</v>
      </c>
      <c r="T139" s="19">
        <f t="shared" si="27"/>
        <v>0</v>
      </c>
      <c r="U139" s="19">
        <f t="shared" si="28"/>
        <v>0</v>
      </c>
      <c r="V139" s="19">
        <f t="shared" si="29"/>
        <v>0</v>
      </c>
      <c r="W139" s="19">
        <f t="shared" si="30"/>
        <v>0</v>
      </c>
      <c r="X139" s="19">
        <f t="shared" si="31"/>
        <v>0</v>
      </c>
      <c r="Y139" s="17">
        <f t="shared" si="32"/>
        <v>0</v>
      </c>
    </row>
    <row r="140" spans="1:25" x14ac:dyDescent="0.25">
      <c r="A140" s="18" t="str">
        <f>IF(OR(ISNUMBER('ENTERED ON'!M140), 'ENTERED ON'!M140=""), "M&amp;C / RESV/ OTHERS", 'ENTERED ON'!M140)</f>
        <v>M&amp;C / RESV/ OTHERS</v>
      </c>
      <c r="B140" s="18">
        <f>IF(ISTEXT(Table1[[#This Row],[ROOM TYPE]]), 1, 0)</f>
        <v>0</v>
      </c>
      <c r="C140" s="18">
        <f>IF(ISNUMBER('ENTERED ON'!L140), 0, 'ENTERED ON'!L140)</f>
        <v>0</v>
      </c>
      <c r="D140" s="18">
        <f>'ENTERED ON'!G140</f>
        <v>0</v>
      </c>
      <c r="E140" s="18">
        <f>IF(ISTEXT('ENTERED ON'!Q140), 1, 0)</f>
        <v>0</v>
      </c>
      <c r="F140" s="18">
        <f>IF(ISTEXT('ENTERED ON'!R139), 1, 0)</f>
        <v>0</v>
      </c>
      <c r="G140" s="18">
        <f>IFERROR(IF(ISTEXT('ENTERED ON'!P140), 0, 'ENTERED ON'!P140*1.1), 0)</f>
        <v>0</v>
      </c>
      <c r="H140" s="27">
        <f>IF(ISTEXT(G140), 0, Table1[[#This Row],[Amount]] / 'COMPANY PROD'!$V$33)</f>
        <v>0</v>
      </c>
      <c r="I140" s="27">
        <f>Table1[[#This Row],[NIGHTS]]/'COMPANY PROD'!$V$41</f>
        <v>0</v>
      </c>
      <c r="J140" s="24">
        <f>IFERROR(Table1[[#This Row],[Amount]]/Table1[[#This Row],[NIGHTS]],0)</f>
        <v>0</v>
      </c>
      <c r="K140" s="21">
        <f>IF(ISTEXT('ENTERED ON'!C140), 0, IFERROR('ENTERED ON'!C140, 0))</f>
        <v>0</v>
      </c>
      <c r="L140" s="21">
        <f>IF(ISTEXT('ENTERED ON'!D140), 0, IFERROR('ENTERED ON'!D140, 0))</f>
        <v>0</v>
      </c>
      <c r="M140" s="19">
        <f>Table1[[#This Row],[Check out ]]-Table1[[#This Row],[Check in ]]</f>
        <v>0</v>
      </c>
      <c r="N140" s="19"/>
      <c r="O140" s="19">
        <f t="shared" si="22"/>
        <v>0</v>
      </c>
      <c r="P140" s="19">
        <f t="shared" si="23"/>
        <v>0</v>
      </c>
      <c r="Q140" s="19">
        <f t="shared" si="24"/>
        <v>0</v>
      </c>
      <c r="R140" s="19">
        <f t="shared" si="25"/>
        <v>0</v>
      </c>
      <c r="S140" s="19">
        <f t="shared" si="26"/>
        <v>0</v>
      </c>
      <c r="T140" s="19">
        <f t="shared" si="27"/>
        <v>0</v>
      </c>
      <c r="U140" s="19">
        <f t="shared" si="28"/>
        <v>0</v>
      </c>
      <c r="V140" s="19">
        <f t="shared" si="29"/>
        <v>0</v>
      </c>
      <c r="W140" s="19">
        <f t="shared" si="30"/>
        <v>0</v>
      </c>
      <c r="X140" s="19">
        <f t="shared" si="31"/>
        <v>0</v>
      </c>
      <c r="Y140" s="17">
        <f t="shared" si="32"/>
        <v>0</v>
      </c>
    </row>
    <row r="141" spans="1:25" x14ac:dyDescent="0.25">
      <c r="A141" s="18" t="str">
        <f>IF(OR(ISNUMBER('ENTERED ON'!M141), 'ENTERED ON'!M141=""), "M&amp;C / RESV/ OTHERS", 'ENTERED ON'!M141)</f>
        <v>M&amp;C / RESV/ OTHERS</v>
      </c>
      <c r="B141" s="18">
        <f>IF(ISTEXT(Table1[[#This Row],[ROOM TYPE]]), 1, 0)</f>
        <v>0</v>
      </c>
      <c r="C141" s="18">
        <f>IF(ISNUMBER('ENTERED ON'!L141), 0, 'ENTERED ON'!L141)</f>
        <v>0</v>
      </c>
      <c r="D141" s="18">
        <f>'ENTERED ON'!G141</f>
        <v>0</v>
      </c>
      <c r="E141" s="18">
        <f>IF(ISTEXT('ENTERED ON'!Q141), 1, 0)</f>
        <v>0</v>
      </c>
      <c r="F141" s="18">
        <f>IF(ISTEXT('ENTERED ON'!R140), 1, 0)</f>
        <v>0</v>
      </c>
      <c r="G141" s="18">
        <f>IFERROR(IF(ISTEXT('ENTERED ON'!P141), 0, 'ENTERED ON'!P141*1.1), 0)</f>
        <v>0</v>
      </c>
      <c r="H141" s="27">
        <f>IF(ISTEXT(G141), 0, Table1[[#This Row],[Amount]] / 'COMPANY PROD'!$V$33)</f>
        <v>0</v>
      </c>
      <c r="I141" s="27">
        <f>Table1[[#This Row],[NIGHTS]]/'COMPANY PROD'!$V$41</f>
        <v>0</v>
      </c>
      <c r="J141" s="24">
        <f>IFERROR(Table1[[#This Row],[Amount]]/Table1[[#This Row],[NIGHTS]],0)</f>
        <v>0</v>
      </c>
      <c r="K141" s="21">
        <f>IF(ISTEXT('ENTERED ON'!C141), 0, IFERROR('ENTERED ON'!C141, 0))</f>
        <v>0</v>
      </c>
      <c r="L141" s="21">
        <f>IF(ISTEXT('ENTERED ON'!D141), 0, IFERROR('ENTERED ON'!D141, 0))</f>
        <v>0</v>
      </c>
      <c r="M141" s="19">
        <f>Table1[[#This Row],[Check out ]]-Table1[[#This Row],[Check in ]]</f>
        <v>0</v>
      </c>
      <c r="N141" s="19"/>
      <c r="O141" s="19">
        <f t="shared" si="22"/>
        <v>0</v>
      </c>
      <c r="P141" s="19">
        <f t="shared" si="23"/>
        <v>0</v>
      </c>
      <c r="Q141" s="19">
        <f t="shared" si="24"/>
        <v>0</v>
      </c>
      <c r="R141" s="19">
        <f t="shared" si="25"/>
        <v>0</v>
      </c>
      <c r="S141" s="19">
        <f t="shared" si="26"/>
        <v>0</v>
      </c>
      <c r="T141" s="19">
        <f t="shared" si="27"/>
        <v>0</v>
      </c>
      <c r="U141" s="19">
        <f t="shared" si="28"/>
        <v>0</v>
      </c>
      <c r="V141" s="19">
        <f t="shared" si="29"/>
        <v>0</v>
      </c>
      <c r="W141" s="19">
        <f t="shared" si="30"/>
        <v>0</v>
      </c>
      <c r="X141" s="19">
        <f t="shared" si="31"/>
        <v>0</v>
      </c>
      <c r="Y141" s="17">
        <f t="shared" si="32"/>
        <v>0</v>
      </c>
    </row>
    <row r="142" spans="1:25" x14ac:dyDescent="0.25">
      <c r="A142" s="18" t="str">
        <f>IF(OR(ISNUMBER('ENTERED ON'!M142), 'ENTERED ON'!M142=""), "M&amp;C / RESV/ OTHERS", 'ENTERED ON'!M142)</f>
        <v>M&amp;C / RESV/ OTHERS</v>
      </c>
      <c r="B142" s="18">
        <f>IF(ISTEXT(Table1[[#This Row],[ROOM TYPE]]), 1, 0)</f>
        <v>0</v>
      </c>
      <c r="C142" s="18">
        <f>IF(ISNUMBER('ENTERED ON'!L142), 0, 'ENTERED ON'!L142)</f>
        <v>0</v>
      </c>
      <c r="D142" s="18">
        <f>'ENTERED ON'!G142</f>
        <v>0</v>
      </c>
      <c r="E142" s="18">
        <f>IF(ISTEXT('ENTERED ON'!Q142), 1, 0)</f>
        <v>0</v>
      </c>
      <c r="F142" s="18">
        <f>IF(ISTEXT('ENTERED ON'!R141), 1, 0)</f>
        <v>0</v>
      </c>
      <c r="G142" s="18">
        <f>IFERROR(IF(ISTEXT('ENTERED ON'!P142), 0, 'ENTERED ON'!P142*1.1), 0)</f>
        <v>0</v>
      </c>
      <c r="H142" s="27">
        <f>IF(ISTEXT(G142), 0, Table1[[#This Row],[Amount]] / 'COMPANY PROD'!$V$33)</f>
        <v>0</v>
      </c>
      <c r="I142" s="27">
        <f>Table1[[#This Row],[NIGHTS]]/'COMPANY PROD'!$V$41</f>
        <v>0</v>
      </c>
      <c r="J142" s="24">
        <f>IFERROR(Table1[[#This Row],[Amount]]/Table1[[#This Row],[NIGHTS]],0)</f>
        <v>0</v>
      </c>
      <c r="K142" s="21">
        <f>IF(ISTEXT('ENTERED ON'!C142), 0, IFERROR('ENTERED ON'!C142, 0))</f>
        <v>0</v>
      </c>
      <c r="L142" s="21">
        <f>IF(ISTEXT('ENTERED ON'!D142), 0, IFERROR('ENTERED ON'!D142, 0))</f>
        <v>0</v>
      </c>
      <c r="M142" s="19">
        <f>Table1[[#This Row],[Check out ]]-Table1[[#This Row],[Check in ]]</f>
        <v>0</v>
      </c>
      <c r="N142" s="19"/>
      <c r="O142" s="19">
        <f t="shared" si="22"/>
        <v>0</v>
      </c>
      <c r="P142" s="19">
        <f t="shared" si="23"/>
        <v>0</v>
      </c>
      <c r="Q142" s="19">
        <f t="shared" si="24"/>
        <v>0</v>
      </c>
      <c r="R142" s="19">
        <f t="shared" si="25"/>
        <v>0</v>
      </c>
      <c r="S142" s="19">
        <f t="shared" si="26"/>
        <v>0</v>
      </c>
      <c r="T142" s="19">
        <f t="shared" si="27"/>
        <v>0</v>
      </c>
      <c r="U142" s="19">
        <f t="shared" si="28"/>
        <v>0</v>
      </c>
      <c r="V142" s="19">
        <f t="shared" si="29"/>
        <v>0</v>
      </c>
      <c r="W142" s="19">
        <f t="shared" si="30"/>
        <v>0</v>
      </c>
      <c r="X142" s="19">
        <f t="shared" si="31"/>
        <v>0</v>
      </c>
      <c r="Y142" s="17">
        <f t="shared" si="32"/>
        <v>0</v>
      </c>
    </row>
    <row r="143" spans="1:25" x14ac:dyDescent="0.25">
      <c r="A143" s="18" t="str">
        <f>IF(OR(ISNUMBER('ENTERED ON'!M143), 'ENTERED ON'!M143=""), "M&amp;C / RESV/ OTHERS", 'ENTERED ON'!M143)</f>
        <v>M&amp;C / RESV/ OTHERS</v>
      </c>
      <c r="B143" s="18">
        <f>IF(ISTEXT(Table1[[#This Row],[ROOM TYPE]]), 1, 0)</f>
        <v>0</v>
      </c>
      <c r="C143" s="18">
        <f>IF(ISNUMBER('ENTERED ON'!L143), 0, 'ENTERED ON'!L143)</f>
        <v>0</v>
      </c>
      <c r="D143" s="18">
        <f>'ENTERED ON'!G143</f>
        <v>0</v>
      </c>
      <c r="E143" s="18">
        <f>IF(ISTEXT('ENTERED ON'!Q143), 1, 0)</f>
        <v>0</v>
      </c>
      <c r="F143" s="18">
        <f>IF(ISTEXT('ENTERED ON'!R142), 1, 0)</f>
        <v>0</v>
      </c>
      <c r="G143" s="18">
        <f>IFERROR(IF(ISTEXT('ENTERED ON'!P143), 0, 'ENTERED ON'!P143*1.1), 0)</f>
        <v>0</v>
      </c>
      <c r="H143" s="27">
        <f>IF(ISTEXT(G143), 0, Table1[[#This Row],[Amount]] / 'COMPANY PROD'!$V$33)</f>
        <v>0</v>
      </c>
      <c r="I143" s="27">
        <f>Table1[[#This Row],[NIGHTS]]/'COMPANY PROD'!$V$41</f>
        <v>0</v>
      </c>
      <c r="J143" s="24">
        <f>IFERROR(Table1[[#This Row],[Amount]]/Table1[[#This Row],[NIGHTS]],0)</f>
        <v>0</v>
      </c>
      <c r="K143" s="21">
        <f>IF(ISTEXT('ENTERED ON'!C143), 0, IFERROR('ENTERED ON'!C143, 0))</f>
        <v>0</v>
      </c>
      <c r="L143" s="21">
        <f>IF(ISTEXT('ENTERED ON'!D143), 0, IFERROR('ENTERED ON'!D143, 0))</f>
        <v>0</v>
      </c>
      <c r="M143" s="19">
        <f>Table1[[#This Row],[Check out ]]-Table1[[#This Row],[Check in ]]</f>
        <v>0</v>
      </c>
      <c r="N143" s="19"/>
      <c r="O143" s="19">
        <f t="shared" si="22"/>
        <v>0</v>
      </c>
      <c r="P143" s="19">
        <f t="shared" si="23"/>
        <v>0</v>
      </c>
      <c r="Q143" s="19">
        <f t="shared" si="24"/>
        <v>0</v>
      </c>
      <c r="R143" s="19">
        <f t="shared" si="25"/>
        <v>0</v>
      </c>
      <c r="S143" s="19">
        <f t="shared" si="26"/>
        <v>0</v>
      </c>
      <c r="T143" s="19">
        <f t="shared" si="27"/>
        <v>0</v>
      </c>
      <c r="U143" s="19">
        <f t="shared" si="28"/>
        <v>0</v>
      </c>
      <c r="V143" s="19">
        <f t="shared" si="29"/>
        <v>0</v>
      </c>
      <c r="W143" s="19">
        <f t="shared" si="30"/>
        <v>0</v>
      </c>
      <c r="X143" s="19">
        <f t="shared" si="31"/>
        <v>0</v>
      </c>
      <c r="Y143" s="17">
        <f t="shared" si="32"/>
        <v>0</v>
      </c>
    </row>
    <row r="144" spans="1:25" x14ac:dyDescent="0.25">
      <c r="A144" s="18" t="str">
        <f>IF(OR(ISNUMBER('ENTERED ON'!M144), 'ENTERED ON'!M144=""), "M&amp;C / RESV/ OTHERS", 'ENTERED ON'!M144)</f>
        <v>M&amp;C / RESV/ OTHERS</v>
      </c>
      <c r="B144" s="18">
        <f>IF(ISTEXT(Table1[[#This Row],[ROOM TYPE]]), 1, 0)</f>
        <v>0</v>
      </c>
      <c r="C144" s="18">
        <f>IF(ISNUMBER('ENTERED ON'!L144), 0, 'ENTERED ON'!L144)</f>
        <v>0</v>
      </c>
      <c r="D144" s="18">
        <f>'ENTERED ON'!G144</f>
        <v>0</v>
      </c>
      <c r="E144" s="18">
        <f>IF(ISTEXT('ENTERED ON'!Q144), 1, 0)</f>
        <v>0</v>
      </c>
      <c r="F144" s="18">
        <f>IF(ISTEXT('ENTERED ON'!R143), 1, 0)</f>
        <v>0</v>
      </c>
      <c r="G144" s="18">
        <f>IFERROR(IF(ISTEXT('ENTERED ON'!P144), 0, 'ENTERED ON'!P144*1.1), 0)</f>
        <v>0</v>
      </c>
      <c r="H144" s="27">
        <f>IF(ISTEXT(G144), 0, Table1[[#This Row],[Amount]] / 'COMPANY PROD'!$V$33)</f>
        <v>0</v>
      </c>
      <c r="I144" s="27">
        <f>Table1[[#This Row],[NIGHTS]]/'COMPANY PROD'!$V$41</f>
        <v>0</v>
      </c>
      <c r="J144" s="24">
        <f>IFERROR(Table1[[#This Row],[Amount]]/Table1[[#This Row],[NIGHTS]],0)</f>
        <v>0</v>
      </c>
      <c r="K144" s="21">
        <f>IF(ISTEXT('ENTERED ON'!C144), 0, IFERROR('ENTERED ON'!C144, 0))</f>
        <v>0</v>
      </c>
      <c r="L144" s="21">
        <f>IF(ISTEXT('ENTERED ON'!D144), 0, IFERROR('ENTERED ON'!D144, 0))</f>
        <v>0</v>
      </c>
      <c r="M144" s="19">
        <f>Table1[[#This Row],[Check out ]]-Table1[[#This Row],[Check in ]]</f>
        <v>0</v>
      </c>
      <c r="N144" s="19"/>
      <c r="O144" s="19">
        <f t="shared" si="22"/>
        <v>0</v>
      </c>
      <c r="P144" s="19">
        <f t="shared" si="23"/>
        <v>0</v>
      </c>
      <c r="Q144" s="19">
        <f t="shared" si="24"/>
        <v>0</v>
      </c>
      <c r="R144" s="19">
        <f t="shared" si="25"/>
        <v>0</v>
      </c>
      <c r="S144" s="19">
        <f t="shared" si="26"/>
        <v>0</v>
      </c>
      <c r="T144" s="19">
        <f t="shared" si="27"/>
        <v>0</v>
      </c>
      <c r="U144" s="19">
        <f t="shared" si="28"/>
        <v>0</v>
      </c>
      <c r="V144" s="19">
        <f t="shared" si="29"/>
        <v>0</v>
      </c>
      <c r="W144" s="19">
        <f t="shared" si="30"/>
        <v>0</v>
      </c>
      <c r="X144" s="19">
        <f t="shared" si="31"/>
        <v>0</v>
      </c>
      <c r="Y144" s="17">
        <f t="shared" si="32"/>
        <v>0</v>
      </c>
    </row>
    <row r="145" spans="1:25" x14ac:dyDescent="0.25">
      <c r="A145" s="18" t="str">
        <f>IF(OR(ISNUMBER('ENTERED ON'!M145), 'ENTERED ON'!M145=""), "M&amp;C / RESV/ OTHERS", 'ENTERED ON'!M145)</f>
        <v>M&amp;C / RESV/ OTHERS</v>
      </c>
      <c r="B145" s="18">
        <f>IF(ISTEXT(Table1[[#This Row],[ROOM TYPE]]), 1, 0)</f>
        <v>0</v>
      </c>
      <c r="C145" s="18">
        <f>IF(ISNUMBER('ENTERED ON'!L145), 0, 'ENTERED ON'!L145)</f>
        <v>0</v>
      </c>
      <c r="D145" s="18">
        <f>'ENTERED ON'!G145</f>
        <v>0</v>
      </c>
      <c r="E145" s="18">
        <f>IF(ISTEXT('ENTERED ON'!Q145), 1, 0)</f>
        <v>0</v>
      </c>
      <c r="F145" s="18">
        <f>IF(ISTEXT('ENTERED ON'!R144), 1, 0)</f>
        <v>0</v>
      </c>
      <c r="G145" s="18">
        <f>IFERROR(IF(ISTEXT('ENTERED ON'!P145), 0, 'ENTERED ON'!P145*1.1), 0)</f>
        <v>0</v>
      </c>
      <c r="H145" s="27">
        <f>IF(ISTEXT(G145), 0, Table1[[#This Row],[Amount]] / 'COMPANY PROD'!$V$33)</f>
        <v>0</v>
      </c>
      <c r="I145" s="27">
        <f>Table1[[#This Row],[NIGHTS]]/'COMPANY PROD'!$V$41</f>
        <v>0</v>
      </c>
      <c r="J145" s="24">
        <f>IFERROR(Table1[[#This Row],[Amount]]/Table1[[#This Row],[NIGHTS]],0)</f>
        <v>0</v>
      </c>
      <c r="K145" s="21">
        <f>IF(ISTEXT('ENTERED ON'!C145), 0, IFERROR('ENTERED ON'!C145, 0))</f>
        <v>0</v>
      </c>
      <c r="L145" s="21">
        <f>IF(ISTEXT('ENTERED ON'!D145), 0, IFERROR('ENTERED ON'!D145, 0))</f>
        <v>0</v>
      </c>
      <c r="M145" s="19">
        <f>Table1[[#This Row],[Check out ]]-Table1[[#This Row],[Check in ]]</f>
        <v>0</v>
      </c>
      <c r="N145" s="19"/>
      <c r="O145" s="19">
        <f t="shared" si="22"/>
        <v>0</v>
      </c>
      <c r="P145" s="19">
        <f t="shared" si="23"/>
        <v>0</v>
      </c>
      <c r="Q145" s="19">
        <f t="shared" si="24"/>
        <v>0</v>
      </c>
      <c r="R145" s="19">
        <f t="shared" si="25"/>
        <v>0</v>
      </c>
      <c r="S145" s="19">
        <f t="shared" si="26"/>
        <v>0</v>
      </c>
      <c r="T145" s="19">
        <f t="shared" si="27"/>
        <v>0</v>
      </c>
      <c r="U145" s="19">
        <f t="shared" si="28"/>
        <v>0</v>
      </c>
      <c r="V145" s="19">
        <f t="shared" si="29"/>
        <v>0</v>
      </c>
      <c r="W145" s="19">
        <f t="shared" si="30"/>
        <v>0</v>
      </c>
      <c r="X145" s="19">
        <f t="shared" si="31"/>
        <v>0</v>
      </c>
      <c r="Y145" s="17">
        <f t="shared" si="32"/>
        <v>0</v>
      </c>
    </row>
    <row r="146" spans="1:25" x14ac:dyDescent="0.25">
      <c r="A146" s="18" t="str">
        <f>IF(OR(ISNUMBER('ENTERED ON'!M146), 'ENTERED ON'!M146=""), "M&amp;C / RESV/ OTHERS", 'ENTERED ON'!M146)</f>
        <v>M&amp;C / RESV/ OTHERS</v>
      </c>
      <c r="B146" s="18">
        <f>IF(ISTEXT(Table1[[#This Row],[ROOM TYPE]]), 1, 0)</f>
        <v>0</v>
      </c>
      <c r="C146" s="18">
        <f>IF(ISNUMBER('ENTERED ON'!L146), 0, 'ENTERED ON'!L146)</f>
        <v>0</v>
      </c>
      <c r="D146" s="18">
        <f>'ENTERED ON'!G146</f>
        <v>0</v>
      </c>
      <c r="E146" s="18">
        <f>IF(ISTEXT('ENTERED ON'!Q146), 1, 0)</f>
        <v>0</v>
      </c>
      <c r="F146" s="18">
        <f>IF(ISTEXT('ENTERED ON'!R145), 1, 0)</f>
        <v>0</v>
      </c>
      <c r="G146" s="18">
        <f>IFERROR(IF(ISTEXT('ENTERED ON'!P146), 0, 'ENTERED ON'!P146*1.1), 0)</f>
        <v>0</v>
      </c>
      <c r="H146" s="27">
        <f>IF(ISTEXT(G146), 0, Table1[[#This Row],[Amount]] / 'COMPANY PROD'!$V$33)</f>
        <v>0</v>
      </c>
      <c r="I146" s="27">
        <f>Table1[[#This Row],[NIGHTS]]/'COMPANY PROD'!$V$41</f>
        <v>0</v>
      </c>
      <c r="J146" s="24">
        <f>IFERROR(Table1[[#This Row],[Amount]]/Table1[[#This Row],[NIGHTS]],0)</f>
        <v>0</v>
      </c>
      <c r="K146" s="21">
        <f>IF(ISTEXT('ENTERED ON'!C146), 0, IFERROR('ENTERED ON'!C146, 0))</f>
        <v>0</v>
      </c>
      <c r="L146" s="21">
        <f>IF(ISTEXT('ENTERED ON'!D146), 0, IFERROR('ENTERED ON'!D146, 0))</f>
        <v>0</v>
      </c>
      <c r="M146" s="19">
        <f>Table1[[#This Row],[Check out ]]-Table1[[#This Row],[Check in ]]</f>
        <v>0</v>
      </c>
      <c r="N146" s="19"/>
      <c r="O146" s="19">
        <f t="shared" si="22"/>
        <v>0</v>
      </c>
      <c r="P146" s="19">
        <f t="shared" si="23"/>
        <v>0</v>
      </c>
      <c r="Q146" s="19">
        <f t="shared" si="24"/>
        <v>0</v>
      </c>
      <c r="R146" s="19">
        <f t="shared" si="25"/>
        <v>0</v>
      </c>
      <c r="S146" s="19">
        <f t="shared" si="26"/>
        <v>0</v>
      </c>
      <c r="T146" s="19">
        <f t="shared" si="27"/>
        <v>0</v>
      </c>
      <c r="U146" s="19">
        <f t="shared" si="28"/>
        <v>0</v>
      </c>
      <c r="V146" s="19">
        <f t="shared" si="29"/>
        <v>0</v>
      </c>
      <c r="W146" s="19">
        <f t="shared" si="30"/>
        <v>0</v>
      </c>
      <c r="X146" s="19">
        <f t="shared" si="31"/>
        <v>0</v>
      </c>
      <c r="Y146" s="17">
        <f t="shared" si="32"/>
        <v>0</v>
      </c>
    </row>
    <row r="147" spans="1:25" x14ac:dyDescent="0.25">
      <c r="A147" s="18" t="str">
        <f>IF(OR(ISNUMBER('ENTERED ON'!M147), 'ENTERED ON'!M147=""), "M&amp;C / RESV/ OTHERS", 'ENTERED ON'!M147)</f>
        <v>M&amp;C / RESV/ OTHERS</v>
      </c>
      <c r="B147" s="18">
        <f>IF(ISTEXT(Table1[[#This Row],[ROOM TYPE]]), 1, 0)</f>
        <v>0</v>
      </c>
      <c r="C147" s="18">
        <f>IF(ISNUMBER('ENTERED ON'!L147), 0, 'ENTERED ON'!L147)</f>
        <v>0</v>
      </c>
      <c r="D147" s="18">
        <f>'ENTERED ON'!G147</f>
        <v>0</v>
      </c>
      <c r="E147" s="18">
        <f>IF(ISTEXT('ENTERED ON'!Q147), 1, 0)</f>
        <v>0</v>
      </c>
      <c r="F147" s="18">
        <f>IF(ISTEXT('ENTERED ON'!R146), 1, 0)</f>
        <v>0</v>
      </c>
      <c r="G147" s="18">
        <f>IFERROR(IF(ISTEXT('ENTERED ON'!P147), 0, 'ENTERED ON'!P147*1.1), 0)</f>
        <v>0</v>
      </c>
      <c r="H147" s="27">
        <f>IF(ISTEXT(G147), 0, Table1[[#This Row],[Amount]] / 'COMPANY PROD'!$V$33)</f>
        <v>0</v>
      </c>
      <c r="I147" s="27">
        <f>Table1[[#This Row],[NIGHTS]]/'COMPANY PROD'!$V$41</f>
        <v>0</v>
      </c>
      <c r="J147" s="24">
        <f>IFERROR(Table1[[#This Row],[Amount]]/Table1[[#This Row],[NIGHTS]],0)</f>
        <v>0</v>
      </c>
      <c r="K147" s="21">
        <f>IF(ISTEXT('ENTERED ON'!C147), 0, IFERROR('ENTERED ON'!C147, 0))</f>
        <v>0</v>
      </c>
      <c r="L147" s="21">
        <f>IF(ISTEXT('ENTERED ON'!D147), 0, IFERROR('ENTERED ON'!D147, 0))</f>
        <v>0</v>
      </c>
      <c r="M147" s="19">
        <f>Table1[[#This Row],[Check out ]]-Table1[[#This Row],[Check in ]]</f>
        <v>0</v>
      </c>
      <c r="N147" s="19"/>
      <c r="O147" s="19">
        <f t="shared" si="22"/>
        <v>0</v>
      </c>
      <c r="P147" s="19">
        <f t="shared" si="23"/>
        <v>0</v>
      </c>
      <c r="Q147" s="19">
        <f t="shared" si="24"/>
        <v>0</v>
      </c>
      <c r="R147" s="19">
        <f t="shared" si="25"/>
        <v>0</v>
      </c>
      <c r="S147" s="19">
        <f t="shared" si="26"/>
        <v>0</v>
      </c>
      <c r="T147" s="19">
        <f t="shared" si="27"/>
        <v>0</v>
      </c>
      <c r="U147" s="19">
        <f t="shared" si="28"/>
        <v>0</v>
      </c>
      <c r="V147" s="19">
        <f t="shared" si="29"/>
        <v>0</v>
      </c>
      <c r="W147" s="19">
        <f t="shared" si="30"/>
        <v>0</v>
      </c>
      <c r="X147" s="19">
        <f t="shared" si="31"/>
        <v>0</v>
      </c>
      <c r="Y147" s="17">
        <f t="shared" si="32"/>
        <v>0</v>
      </c>
    </row>
    <row r="148" spans="1:25" x14ac:dyDescent="0.25">
      <c r="A148" s="18" t="str">
        <f>IF(OR(ISNUMBER('ENTERED ON'!M148), 'ENTERED ON'!M148=""), "M&amp;C / RESV/ OTHERS", 'ENTERED ON'!M148)</f>
        <v>M&amp;C / RESV/ OTHERS</v>
      </c>
      <c r="B148" s="18">
        <f>IF(ISTEXT(Table1[[#This Row],[ROOM TYPE]]), 1, 0)</f>
        <v>0</v>
      </c>
      <c r="C148" s="18">
        <f>IF(ISNUMBER('ENTERED ON'!L148), 0, 'ENTERED ON'!L148)</f>
        <v>0</v>
      </c>
      <c r="D148" s="18">
        <f>'ENTERED ON'!G148</f>
        <v>0</v>
      </c>
      <c r="E148" s="18">
        <f>IF(ISTEXT('ENTERED ON'!Q148), 1, 0)</f>
        <v>0</v>
      </c>
      <c r="F148" s="18">
        <f>IF(ISTEXT('ENTERED ON'!R147), 1, 0)</f>
        <v>0</v>
      </c>
      <c r="G148" s="18">
        <f>IFERROR(IF(ISTEXT('ENTERED ON'!P148), 0, 'ENTERED ON'!P148*1.1), 0)</f>
        <v>0</v>
      </c>
      <c r="H148" s="27">
        <f>IF(ISTEXT(G148), 0, Table1[[#This Row],[Amount]] / 'COMPANY PROD'!$V$33)</f>
        <v>0</v>
      </c>
      <c r="I148" s="27">
        <f>Table1[[#This Row],[NIGHTS]]/'COMPANY PROD'!$V$41</f>
        <v>0</v>
      </c>
      <c r="J148" s="24">
        <f>IFERROR(Table1[[#This Row],[Amount]]/Table1[[#This Row],[NIGHTS]],0)</f>
        <v>0</v>
      </c>
      <c r="K148" s="21">
        <f>IF(ISTEXT('ENTERED ON'!C148), 0, IFERROR('ENTERED ON'!C148, 0))</f>
        <v>0</v>
      </c>
      <c r="L148" s="21">
        <f>IF(ISTEXT('ENTERED ON'!D148), 0, IFERROR('ENTERED ON'!D148, 0))</f>
        <v>0</v>
      </c>
      <c r="M148" s="19">
        <f>Table1[[#This Row],[Check out ]]-Table1[[#This Row],[Check in ]]</f>
        <v>0</v>
      </c>
      <c r="N148" s="19"/>
      <c r="O148" s="19">
        <f t="shared" si="22"/>
        <v>0</v>
      </c>
      <c r="P148" s="19">
        <f t="shared" si="23"/>
        <v>0</v>
      </c>
      <c r="Q148" s="19">
        <f t="shared" si="24"/>
        <v>0</v>
      </c>
      <c r="R148" s="19">
        <f t="shared" si="25"/>
        <v>0</v>
      </c>
      <c r="S148" s="19">
        <f t="shared" si="26"/>
        <v>0</v>
      </c>
      <c r="T148" s="19">
        <f t="shared" si="27"/>
        <v>0</v>
      </c>
      <c r="U148" s="19">
        <f t="shared" si="28"/>
        <v>0</v>
      </c>
      <c r="V148" s="19">
        <f t="shared" si="29"/>
        <v>0</v>
      </c>
      <c r="W148" s="19">
        <f t="shared" si="30"/>
        <v>0</v>
      </c>
      <c r="X148" s="19">
        <f t="shared" si="31"/>
        <v>0</v>
      </c>
      <c r="Y148" s="17">
        <f t="shared" si="32"/>
        <v>0</v>
      </c>
    </row>
    <row r="149" spans="1:25" x14ac:dyDescent="0.25">
      <c r="A149" s="18" t="str">
        <f>IF(OR(ISNUMBER('ENTERED ON'!M149), 'ENTERED ON'!M149=""), "M&amp;C / RESV/ OTHERS", 'ENTERED ON'!M149)</f>
        <v>M&amp;C / RESV/ OTHERS</v>
      </c>
      <c r="B149" s="18">
        <f>IF(ISTEXT(Table1[[#This Row],[ROOM TYPE]]), 1, 0)</f>
        <v>0</v>
      </c>
      <c r="C149" s="18">
        <f>IF(ISNUMBER('ENTERED ON'!L149), 0, 'ENTERED ON'!L149)</f>
        <v>0</v>
      </c>
      <c r="D149" s="18">
        <f>'ENTERED ON'!G149</f>
        <v>0</v>
      </c>
      <c r="E149" s="18">
        <f>IF(ISTEXT('ENTERED ON'!Q149), 1, 0)</f>
        <v>0</v>
      </c>
      <c r="F149" s="18">
        <f>IF(ISTEXT('ENTERED ON'!R148), 1, 0)</f>
        <v>0</v>
      </c>
      <c r="G149" s="18">
        <f>IFERROR(IF(ISTEXT('ENTERED ON'!P149), 0, 'ENTERED ON'!P149*1.1), 0)</f>
        <v>0</v>
      </c>
      <c r="H149" s="27">
        <f>IF(ISTEXT(G149), 0, Table1[[#This Row],[Amount]] / 'COMPANY PROD'!$V$33)</f>
        <v>0</v>
      </c>
      <c r="I149" s="27">
        <f>Table1[[#This Row],[NIGHTS]]/'COMPANY PROD'!$V$41</f>
        <v>0</v>
      </c>
      <c r="J149" s="24">
        <f>IFERROR(Table1[[#This Row],[Amount]]/Table1[[#This Row],[NIGHTS]],0)</f>
        <v>0</v>
      </c>
      <c r="K149" s="21">
        <f>IF(ISTEXT('ENTERED ON'!C149), 0, IFERROR('ENTERED ON'!C149, 0))</f>
        <v>0</v>
      </c>
      <c r="L149" s="21">
        <f>IF(ISTEXT('ENTERED ON'!D149), 0, IFERROR('ENTERED ON'!D149, 0))</f>
        <v>0</v>
      </c>
      <c r="M149" s="19">
        <f>Table1[[#This Row],[Check out ]]-Table1[[#This Row],[Check in ]]</f>
        <v>0</v>
      </c>
      <c r="N149" s="19"/>
      <c r="O149" s="19">
        <f t="shared" si="22"/>
        <v>0</v>
      </c>
      <c r="P149" s="19">
        <f t="shared" si="23"/>
        <v>0</v>
      </c>
      <c r="Q149" s="19">
        <f t="shared" si="24"/>
        <v>0</v>
      </c>
      <c r="R149" s="19">
        <f t="shared" si="25"/>
        <v>0</v>
      </c>
      <c r="S149" s="19">
        <f t="shared" si="26"/>
        <v>0</v>
      </c>
      <c r="T149" s="19">
        <f t="shared" si="27"/>
        <v>0</v>
      </c>
      <c r="U149" s="19">
        <f t="shared" si="28"/>
        <v>0</v>
      </c>
      <c r="V149" s="19">
        <f t="shared" si="29"/>
        <v>0</v>
      </c>
      <c r="W149" s="19">
        <f t="shared" si="30"/>
        <v>0</v>
      </c>
      <c r="X149" s="19">
        <f t="shared" si="31"/>
        <v>0</v>
      </c>
      <c r="Y149" s="17">
        <f t="shared" si="32"/>
        <v>0</v>
      </c>
    </row>
    <row r="150" spans="1:25" x14ac:dyDescent="0.25">
      <c r="A150" s="18" t="str">
        <f>IF(OR(ISNUMBER('ENTERED ON'!M150), 'ENTERED ON'!M150=""), "M&amp;C / RESV/ OTHERS", 'ENTERED ON'!M150)</f>
        <v>M&amp;C / RESV/ OTHERS</v>
      </c>
      <c r="B150" s="18">
        <f>IF(ISTEXT(Table1[[#This Row],[ROOM TYPE]]), 1, 0)</f>
        <v>0</v>
      </c>
      <c r="C150" s="18">
        <f>IF(ISNUMBER('ENTERED ON'!L150), 0, 'ENTERED ON'!L150)</f>
        <v>0</v>
      </c>
      <c r="D150" s="18">
        <f>'ENTERED ON'!G150</f>
        <v>0</v>
      </c>
      <c r="E150" s="18">
        <f>IF(ISTEXT('ENTERED ON'!Q150), 1, 0)</f>
        <v>0</v>
      </c>
      <c r="F150" s="18">
        <f>IF(ISTEXT('ENTERED ON'!R149), 1, 0)</f>
        <v>0</v>
      </c>
      <c r="G150" s="18">
        <f>IFERROR(IF(ISTEXT('ENTERED ON'!P150), 0, 'ENTERED ON'!P150*1.1), 0)</f>
        <v>0</v>
      </c>
      <c r="H150" s="28">
        <f>IF(ISTEXT(G150), 0, Table1[[#This Row],[Amount]] / 'COMPANY PROD'!$V$33)</f>
        <v>0</v>
      </c>
      <c r="I150" s="28">
        <f>Table1[[#This Row],[NIGHTS]]/'COMPANY PROD'!$V$41</f>
        <v>0</v>
      </c>
      <c r="J150" s="16">
        <f>IFERROR(Table1[[#This Row],[Amount]]/Table1[[#This Row],[NIGHTS]],0)</f>
        <v>0</v>
      </c>
      <c r="K150" s="21">
        <f>IF(ISTEXT('ENTERED ON'!C150), 0, IFERROR('ENTERED ON'!C150, 0))</f>
        <v>0</v>
      </c>
      <c r="L150" s="21">
        <f>IF(ISTEXT('ENTERED ON'!D150), 0, IFERROR('ENTERED ON'!D150, 0))</f>
        <v>0</v>
      </c>
      <c r="M150" s="1">
        <f>Table1[[#This Row],[Check out ]]-Table1[[#This Row],[Check in ]]</f>
        <v>0</v>
      </c>
      <c r="N150" s="1"/>
      <c r="O150" s="1">
        <f t="shared" si="22"/>
        <v>0</v>
      </c>
      <c r="P150" s="1">
        <f t="shared" si="23"/>
        <v>0</v>
      </c>
      <c r="Q150" s="1">
        <f t="shared" si="24"/>
        <v>0</v>
      </c>
      <c r="R150" s="1">
        <f t="shared" si="25"/>
        <v>0</v>
      </c>
      <c r="S150" s="1">
        <f t="shared" si="26"/>
        <v>0</v>
      </c>
      <c r="T150" s="1">
        <f t="shared" si="27"/>
        <v>0</v>
      </c>
      <c r="U150" s="1">
        <f t="shared" si="28"/>
        <v>0</v>
      </c>
      <c r="V150" s="1">
        <f t="shared" si="29"/>
        <v>0</v>
      </c>
      <c r="W150" s="1">
        <f t="shared" si="30"/>
        <v>0</v>
      </c>
      <c r="X150" s="1">
        <f t="shared" si="31"/>
        <v>0</v>
      </c>
      <c r="Y150" s="15">
        <f t="shared" si="32"/>
        <v>0</v>
      </c>
    </row>
    <row r="151" spans="1:25" ht="22.5" customHeight="1" x14ac:dyDescent="0.25">
      <c r="A151" s="18" t="str">
        <f>IF(OR(ISNUMBER('ENTERED ON'!M151), 'ENTERED ON'!M151=""), "M&amp;C / RESV/ OTHERS", 'ENTERED ON'!M151)</f>
        <v>M&amp;C / RESV/ OTHERS</v>
      </c>
      <c r="B151" s="18">
        <f>IF(ISTEXT(Table1[[#This Row],[ROOM TYPE]]), 1, 0)</f>
        <v>0</v>
      </c>
      <c r="C151" s="18">
        <f>IF(ISNUMBER('ENTERED ON'!L151), 0, 'ENTERED ON'!L151)</f>
        <v>0</v>
      </c>
      <c r="D151" s="18">
        <f>'ENTERED ON'!G151</f>
        <v>0</v>
      </c>
      <c r="E151" s="18">
        <f>IF(ISTEXT('ENTERED ON'!Q151), 1, 0)</f>
        <v>0</v>
      </c>
      <c r="F151" s="18">
        <f>IF(ISTEXT('ENTERED ON'!R150), 1, 0)</f>
        <v>0</v>
      </c>
      <c r="G151" s="18">
        <f>IFERROR(IF(ISTEXT('ENTERED ON'!P151), 0, 'ENTERED ON'!P151*1.1), 0)</f>
        <v>0</v>
      </c>
      <c r="H151" s="28">
        <f>IF(ISTEXT(G151), 0, Table1[[#This Row],[Amount]] / 'COMPANY PROD'!$V$33)</f>
        <v>0</v>
      </c>
      <c r="I151" s="28">
        <f>Table1[[#This Row],[NIGHTS]]/'COMPANY PROD'!$V$41</f>
        <v>0</v>
      </c>
      <c r="J151" s="16">
        <f>IFERROR(Table1[[#This Row],[Amount]]/Table1[[#This Row],[NIGHTS]],0)</f>
        <v>0</v>
      </c>
      <c r="K151" s="21">
        <f>IF(ISTEXT('ENTERED ON'!C151), 0, IFERROR('ENTERED ON'!C151, 0))</f>
        <v>0</v>
      </c>
      <c r="L151" s="21">
        <f>IF(ISTEXT('ENTERED ON'!D151), 0, IFERROR('ENTERED ON'!D151, 0))</f>
        <v>0</v>
      </c>
      <c r="M151" s="1">
        <f>Table1[[#This Row],[Check out ]]-Table1[[#This Row],[Check in ]]</f>
        <v>0</v>
      </c>
      <c r="N151" s="1"/>
      <c r="O151" s="1">
        <f t="shared" ref="O151:O200" si="33">MAX(0, MIN(L151-1, DATE(YEAR(K151), 3, 1)-1) - MAX(K151, DATE(YEAR(K151), 2, 1)) + 1)</f>
        <v>0</v>
      </c>
      <c r="P151" s="1">
        <f t="shared" ref="P151:P200" si="34">MAX(0, MIN(L151-1, DATE(YEAR(K151), 4, 1)-1) - MAX(K151, DATE(YEAR(K151), 3, 1)) + 1)</f>
        <v>0</v>
      </c>
      <c r="Q151" s="1">
        <f t="shared" ref="Q151:Q200" si="35">MAX(0,MIN(L151-1,DATE(YEAR(K151),5,1)-1)-MAX(K151,DATE(YEAR(K151),4,1))+1)</f>
        <v>0</v>
      </c>
      <c r="R151" s="1">
        <f t="shared" ref="R151:R200" si="36">MAX(0, MIN(L151-1, DATE(YEAR(K151), 6, 1)-1) - MAX(K151, DATE(YEAR(K151), 5, 1)) + 1)</f>
        <v>0</v>
      </c>
      <c r="S151" s="1">
        <f t="shared" ref="S151:S200" si="37">MAX(0, MIN(L151-1, DATE(YEAR(K151), 7, 1)-1) - MAX(K151, DATE(YEAR(K151), 6, 1)) + 1)</f>
        <v>0</v>
      </c>
      <c r="T151" s="1">
        <f t="shared" ref="T151:T200" si="38">MAX(0, MIN(L151-1, DATE(YEAR(K151), 8, 1)-1) - MAX(K151, DATE(YEAR(K151), 7, 1)) + 1)</f>
        <v>0</v>
      </c>
      <c r="U151" s="1">
        <f t="shared" ref="U151:U200" si="39">MAX(0, MIN(L151-1, DATE(YEAR(K151), 9, 1)-1) - MAX(K151, DATE(YEAR(K151), 8, 1)) + 1)</f>
        <v>0</v>
      </c>
      <c r="V151" s="1">
        <f t="shared" ref="V151:V200" si="40">MAX(0, MIN(L151-1, DATE(YEAR(K151), 10, 1)-1) - MAX(K151, DATE(YEAR(K151), 9, 1)) + 1)</f>
        <v>0</v>
      </c>
      <c r="W151" s="1">
        <f t="shared" ref="W151:W200" si="41">MAX(0, MIN(L151-1, DATE(YEAR(K151), 11, 1)-1) - MAX(K151, DATE(YEAR(K151), 10, 1)) + 1)</f>
        <v>0</v>
      </c>
      <c r="X151" s="1">
        <f t="shared" ref="X151:X200" si="42">MAX(0, MIN(L151-1, DATE(YEAR(K151), 12, 1)-1) - MAX(K151, DATE(YEAR(K151), 11, 1)) + 1)</f>
        <v>0</v>
      </c>
      <c r="Y151" s="15">
        <f t="shared" ref="Y151:Y200" si="43">MAX(0, MIN(L151-1, DATE(YEAR(K151)+1, 1, 1)-1) - MAX(K151, DATE(YEAR(K151), 12, 1)) + 1)</f>
        <v>0</v>
      </c>
    </row>
    <row r="152" spans="1:25" x14ac:dyDescent="0.25">
      <c r="A152" s="18" t="str">
        <f>IF(OR(ISNUMBER('ENTERED ON'!M152), 'ENTERED ON'!M152=""), "M&amp;C / RESV/ OTHERS", 'ENTERED ON'!M152)</f>
        <v>M&amp;C / RESV/ OTHERS</v>
      </c>
      <c r="B152" s="18">
        <f>IF(ISTEXT(Table1[[#This Row],[ROOM TYPE]]), 1, 0)</f>
        <v>0</v>
      </c>
      <c r="C152" s="18">
        <f>IF(ISNUMBER('ENTERED ON'!L152), 0, 'ENTERED ON'!L152)</f>
        <v>0</v>
      </c>
      <c r="D152" s="18">
        <f>'ENTERED ON'!G152</f>
        <v>0</v>
      </c>
      <c r="E152" s="18">
        <f>IF(ISTEXT('ENTERED ON'!Q152), 1, 0)</f>
        <v>0</v>
      </c>
      <c r="F152" s="18">
        <f>IF(ISTEXT('ENTERED ON'!R151), 1, 0)</f>
        <v>0</v>
      </c>
      <c r="G152" s="18">
        <f>IFERROR(IF(ISTEXT('ENTERED ON'!P152), 0, 'ENTERED ON'!P152*1.1), 0)</f>
        <v>0</v>
      </c>
      <c r="H152" s="28">
        <f>IF(ISTEXT(G152), 0, Table1[[#This Row],[Amount]] / 'COMPANY PROD'!$V$33)</f>
        <v>0</v>
      </c>
      <c r="I152" s="28">
        <f>Table1[[#This Row],[NIGHTS]]/'COMPANY PROD'!$V$41</f>
        <v>0</v>
      </c>
      <c r="J152" s="16">
        <f>IFERROR(Table1[[#This Row],[Amount]]/Table1[[#This Row],[NIGHTS]],0)</f>
        <v>0</v>
      </c>
      <c r="K152" s="21">
        <f>IF(ISTEXT('ENTERED ON'!C152), 0, IFERROR('ENTERED ON'!C152, 0))</f>
        <v>0</v>
      </c>
      <c r="L152" s="21">
        <f>IF(ISTEXT('ENTERED ON'!D152), 0, IFERROR('ENTERED ON'!D152, 0))</f>
        <v>0</v>
      </c>
      <c r="M152" s="1">
        <f>Table1[[#This Row],[Check out ]]-Table1[[#This Row],[Check in ]]</f>
        <v>0</v>
      </c>
      <c r="N152" s="1"/>
      <c r="O152" s="1">
        <f t="shared" si="33"/>
        <v>0</v>
      </c>
      <c r="P152" s="1">
        <f t="shared" si="34"/>
        <v>0</v>
      </c>
      <c r="Q152" s="1">
        <f t="shared" si="35"/>
        <v>0</v>
      </c>
      <c r="R152" s="1">
        <f t="shared" si="36"/>
        <v>0</v>
      </c>
      <c r="S152" s="1">
        <f t="shared" si="37"/>
        <v>0</v>
      </c>
      <c r="T152" s="1">
        <f t="shared" si="38"/>
        <v>0</v>
      </c>
      <c r="U152" s="1">
        <f t="shared" si="39"/>
        <v>0</v>
      </c>
      <c r="V152" s="1">
        <f t="shared" si="40"/>
        <v>0</v>
      </c>
      <c r="W152" s="1">
        <f t="shared" si="41"/>
        <v>0</v>
      </c>
      <c r="X152" s="1">
        <f t="shared" si="42"/>
        <v>0</v>
      </c>
      <c r="Y152" s="15">
        <f t="shared" si="43"/>
        <v>0</v>
      </c>
    </row>
    <row r="153" spans="1:25" x14ac:dyDescent="0.25">
      <c r="A153" s="18" t="str">
        <f>IF(OR(ISNUMBER('ENTERED ON'!M153), 'ENTERED ON'!M153=""), "M&amp;C / RESV/ OTHERS", 'ENTERED ON'!M153)</f>
        <v>M&amp;C / RESV/ OTHERS</v>
      </c>
      <c r="B153" s="18">
        <f>IF(ISTEXT(Table1[[#This Row],[ROOM TYPE]]), 1, 0)</f>
        <v>0</v>
      </c>
      <c r="C153" s="18">
        <f>IF(ISNUMBER('ENTERED ON'!L153), 0, 'ENTERED ON'!L153)</f>
        <v>0</v>
      </c>
      <c r="D153" s="18">
        <f>'ENTERED ON'!G153</f>
        <v>0</v>
      </c>
      <c r="E153" s="18">
        <f>IF(ISTEXT('ENTERED ON'!Q153), 1, 0)</f>
        <v>0</v>
      </c>
      <c r="F153" s="18">
        <f>IF(ISTEXT('ENTERED ON'!R152), 1, 0)</f>
        <v>0</v>
      </c>
      <c r="G153" s="18">
        <f>IFERROR(IF(ISTEXT('ENTERED ON'!P153), 0, 'ENTERED ON'!P153*1.1), 0)</f>
        <v>0</v>
      </c>
      <c r="H153" s="28">
        <f>IF(ISTEXT(G153), 0, Table1[[#This Row],[Amount]] / 'COMPANY PROD'!$V$33)</f>
        <v>0</v>
      </c>
      <c r="I153" s="28">
        <f>Table1[[#This Row],[NIGHTS]]/'COMPANY PROD'!$V$41</f>
        <v>0</v>
      </c>
      <c r="J153" s="16">
        <f>IFERROR(Table1[[#This Row],[Amount]]/Table1[[#This Row],[NIGHTS]],0)</f>
        <v>0</v>
      </c>
      <c r="K153" s="21">
        <f>IF(ISTEXT('ENTERED ON'!C153), 0, IFERROR('ENTERED ON'!C153, 0))</f>
        <v>0</v>
      </c>
      <c r="L153" s="21">
        <f>IF(ISTEXT('ENTERED ON'!D153), 0, IFERROR('ENTERED ON'!D153, 0))</f>
        <v>0</v>
      </c>
      <c r="M153" s="1">
        <f>Table1[[#This Row],[Check out ]]-Table1[[#This Row],[Check in ]]</f>
        <v>0</v>
      </c>
      <c r="N153" s="1"/>
      <c r="O153" s="1">
        <f t="shared" si="33"/>
        <v>0</v>
      </c>
      <c r="P153" s="1">
        <f t="shared" si="34"/>
        <v>0</v>
      </c>
      <c r="Q153" s="1">
        <f t="shared" si="35"/>
        <v>0</v>
      </c>
      <c r="R153" s="1">
        <f t="shared" si="36"/>
        <v>0</v>
      </c>
      <c r="S153" s="1">
        <f t="shared" si="37"/>
        <v>0</v>
      </c>
      <c r="T153" s="1">
        <f t="shared" si="38"/>
        <v>0</v>
      </c>
      <c r="U153" s="1">
        <f t="shared" si="39"/>
        <v>0</v>
      </c>
      <c r="V153" s="1">
        <f t="shared" si="40"/>
        <v>0</v>
      </c>
      <c r="W153" s="1">
        <f t="shared" si="41"/>
        <v>0</v>
      </c>
      <c r="X153" s="1">
        <f t="shared" si="42"/>
        <v>0</v>
      </c>
      <c r="Y153" s="15">
        <f t="shared" si="43"/>
        <v>0</v>
      </c>
    </row>
    <row r="154" spans="1:25" x14ac:dyDescent="0.25">
      <c r="A154" s="18" t="str">
        <f>IF(OR(ISNUMBER('ENTERED ON'!M154), 'ENTERED ON'!M154=""), "M&amp;C / RESV/ OTHERS", 'ENTERED ON'!M154)</f>
        <v>M&amp;C / RESV/ OTHERS</v>
      </c>
      <c r="B154" s="18">
        <f>IF(ISTEXT(Table1[[#This Row],[ROOM TYPE]]), 1, 0)</f>
        <v>0</v>
      </c>
      <c r="C154" s="18">
        <f>IF(ISNUMBER('ENTERED ON'!L154), 0, 'ENTERED ON'!L154)</f>
        <v>0</v>
      </c>
      <c r="D154" s="18">
        <f>'ENTERED ON'!G154</f>
        <v>0</v>
      </c>
      <c r="E154" s="18">
        <f>IF(ISTEXT('ENTERED ON'!Q154), 1, 0)</f>
        <v>0</v>
      </c>
      <c r="F154" s="18">
        <f>IF(ISTEXT('ENTERED ON'!R153), 1, 0)</f>
        <v>0</v>
      </c>
      <c r="G154" s="18">
        <f>IFERROR(IF(ISTEXT('ENTERED ON'!P154), 0, 'ENTERED ON'!P154*1.1), 0)</f>
        <v>0</v>
      </c>
      <c r="H154" s="28">
        <f>IF(ISTEXT(G154), 0, Table1[[#This Row],[Amount]] / 'COMPANY PROD'!$V$33)</f>
        <v>0</v>
      </c>
      <c r="I154" s="28">
        <f>Table1[[#This Row],[NIGHTS]]/'COMPANY PROD'!$V$41</f>
        <v>0</v>
      </c>
      <c r="J154" s="16">
        <f>IFERROR(Table1[[#This Row],[Amount]]/Table1[[#This Row],[NIGHTS]],0)</f>
        <v>0</v>
      </c>
      <c r="K154" s="21">
        <f>IF(ISTEXT('ENTERED ON'!C154), 0, IFERROR('ENTERED ON'!C154, 0))</f>
        <v>0</v>
      </c>
      <c r="L154" s="21">
        <f>IF(ISTEXT('ENTERED ON'!D154), 0, IFERROR('ENTERED ON'!D154, 0))</f>
        <v>0</v>
      </c>
      <c r="M154" s="1">
        <f>Table1[[#This Row],[Check out ]]-Table1[[#This Row],[Check in ]]</f>
        <v>0</v>
      </c>
      <c r="N154" s="1"/>
      <c r="O154" s="1">
        <f t="shared" si="33"/>
        <v>0</v>
      </c>
      <c r="P154" s="1">
        <f t="shared" si="34"/>
        <v>0</v>
      </c>
      <c r="Q154" s="1">
        <f t="shared" si="35"/>
        <v>0</v>
      </c>
      <c r="R154" s="1">
        <f t="shared" si="36"/>
        <v>0</v>
      </c>
      <c r="S154" s="1">
        <f t="shared" si="37"/>
        <v>0</v>
      </c>
      <c r="T154" s="1">
        <f t="shared" si="38"/>
        <v>0</v>
      </c>
      <c r="U154" s="1">
        <f t="shared" si="39"/>
        <v>0</v>
      </c>
      <c r="V154" s="1">
        <f t="shared" si="40"/>
        <v>0</v>
      </c>
      <c r="W154" s="1">
        <f t="shared" si="41"/>
        <v>0</v>
      </c>
      <c r="X154" s="1">
        <f t="shared" si="42"/>
        <v>0</v>
      </c>
      <c r="Y154" s="15">
        <f t="shared" si="43"/>
        <v>0</v>
      </c>
    </row>
    <row r="155" spans="1:25" x14ac:dyDescent="0.25">
      <c r="A155" s="18" t="str">
        <f>IF(OR(ISNUMBER('ENTERED ON'!M155), 'ENTERED ON'!M155=""), "M&amp;C / RESV/ OTHERS", 'ENTERED ON'!M155)</f>
        <v>M&amp;C / RESV/ OTHERS</v>
      </c>
      <c r="B155" s="18">
        <f>IF(ISTEXT(Table1[[#This Row],[ROOM TYPE]]), 1, 0)</f>
        <v>0</v>
      </c>
      <c r="C155" s="18">
        <f>IF(ISNUMBER('ENTERED ON'!L155), 0, 'ENTERED ON'!L155)</f>
        <v>0</v>
      </c>
      <c r="D155" s="18">
        <f>'ENTERED ON'!G155</f>
        <v>0</v>
      </c>
      <c r="E155" s="18">
        <f>IF(ISTEXT('ENTERED ON'!Q155), 1, 0)</f>
        <v>0</v>
      </c>
      <c r="F155" s="18">
        <f>IF(ISTEXT('ENTERED ON'!R154), 1, 0)</f>
        <v>0</v>
      </c>
      <c r="G155" s="18">
        <f>IFERROR(IF(ISTEXT('ENTERED ON'!P155), 0, 'ENTERED ON'!P155*1.1), 0)</f>
        <v>0</v>
      </c>
      <c r="H155" s="28">
        <f>IF(ISTEXT(G155), 0, Table1[[#This Row],[Amount]] / 'COMPANY PROD'!$V$33)</f>
        <v>0</v>
      </c>
      <c r="I155" s="28">
        <f>Table1[[#This Row],[NIGHTS]]/'COMPANY PROD'!$V$41</f>
        <v>0</v>
      </c>
      <c r="J155" s="16">
        <f>IFERROR(Table1[[#This Row],[Amount]]/Table1[[#This Row],[NIGHTS]],0)</f>
        <v>0</v>
      </c>
      <c r="K155" s="21">
        <f>IF(ISTEXT('ENTERED ON'!C155), 0, IFERROR('ENTERED ON'!C155, 0))</f>
        <v>0</v>
      </c>
      <c r="L155" s="21">
        <f>IF(ISTEXT('ENTERED ON'!D155), 0, IFERROR('ENTERED ON'!D155, 0))</f>
        <v>0</v>
      </c>
      <c r="M155" s="1">
        <f>Table1[[#This Row],[Check out ]]-Table1[[#This Row],[Check in ]]</f>
        <v>0</v>
      </c>
      <c r="N155" s="1"/>
      <c r="O155" s="1">
        <f t="shared" si="33"/>
        <v>0</v>
      </c>
      <c r="P155" s="1">
        <f t="shared" si="34"/>
        <v>0</v>
      </c>
      <c r="Q155" s="1">
        <f t="shared" si="35"/>
        <v>0</v>
      </c>
      <c r="R155" s="1">
        <f t="shared" si="36"/>
        <v>0</v>
      </c>
      <c r="S155" s="1">
        <f t="shared" si="37"/>
        <v>0</v>
      </c>
      <c r="T155" s="1">
        <f t="shared" si="38"/>
        <v>0</v>
      </c>
      <c r="U155" s="1">
        <f t="shared" si="39"/>
        <v>0</v>
      </c>
      <c r="V155" s="1">
        <f t="shared" si="40"/>
        <v>0</v>
      </c>
      <c r="W155" s="1">
        <f t="shared" si="41"/>
        <v>0</v>
      </c>
      <c r="X155" s="1">
        <f t="shared" si="42"/>
        <v>0</v>
      </c>
      <c r="Y155" s="15">
        <f t="shared" si="43"/>
        <v>0</v>
      </c>
    </row>
    <row r="156" spans="1:25" x14ac:dyDescent="0.25">
      <c r="A156" s="18" t="str">
        <f>IF(OR(ISNUMBER('ENTERED ON'!M156), 'ENTERED ON'!M156=""), "M&amp;C / RESV/ OTHERS", 'ENTERED ON'!M156)</f>
        <v>M&amp;C / RESV/ OTHERS</v>
      </c>
      <c r="B156" s="18">
        <f>IF(ISTEXT(Table1[[#This Row],[ROOM TYPE]]), 1, 0)</f>
        <v>0</v>
      </c>
      <c r="C156" s="18">
        <f>IF(ISNUMBER('ENTERED ON'!L156), 0, 'ENTERED ON'!L156)</f>
        <v>0</v>
      </c>
      <c r="D156" s="18">
        <f>'ENTERED ON'!G156</f>
        <v>0</v>
      </c>
      <c r="E156" s="18">
        <f>IF(ISTEXT('ENTERED ON'!Q156), 1, 0)</f>
        <v>0</v>
      </c>
      <c r="F156" s="18">
        <f>IF(ISTEXT('ENTERED ON'!R155), 1, 0)</f>
        <v>0</v>
      </c>
      <c r="G156" s="18">
        <f>IFERROR(IF(ISTEXT('ENTERED ON'!P156), 0, 'ENTERED ON'!P156*1.1), 0)</f>
        <v>0</v>
      </c>
      <c r="H156" s="28">
        <f>IF(ISTEXT(G156), 0, Table1[[#This Row],[Amount]] / 'COMPANY PROD'!$V$33)</f>
        <v>0</v>
      </c>
      <c r="I156" s="28">
        <f>Table1[[#This Row],[NIGHTS]]/'COMPANY PROD'!$V$41</f>
        <v>0</v>
      </c>
      <c r="J156" s="16">
        <f>IFERROR(Table1[[#This Row],[Amount]]/Table1[[#This Row],[NIGHTS]],0)</f>
        <v>0</v>
      </c>
      <c r="K156" s="21">
        <f>IF(ISTEXT('ENTERED ON'!C156), 0, IFERROR('ENTERED ON'!C156, 0))</f>
        <v>0</v>
      </c>
      <c r="L156" s="21">
        <f>IF(ISTEXT('ENTERED ON'!D156), 0, IFERROR('ENTERED ON'!D156, 0))</f>
        <v>0</v>
      </c>
      <c r="M156" s="1">
        <f>Table1[[#This Row],[Check out ]]-Table1[[#This Row],[Check in ]]</f>
        <v>0</v>
      </c>
      <c r="N156" s="1"/>
      <c r="O156" s="1">
        <f t="shared" si="33"/>
        <v>0</v>
      </c>
      <c r="P156" s="1">
        <f t="shared" si="34"/>
        <v>0</v>
      </c>
      <c r="Q156" s="1">
        <f t="shared" si="35"/>
        <v>0</v>
      </c>
      <c r="R156" s="1">
        <f t="shared" si="36"/>
        <v>0</v>
      </c>
      <c r="S156" s="1">
        <f t="shared" si="37"/>
        <v>0</v>
      </c>
      <c r="T156" s="1">
        <f t="shared" si="38"/>
        <v>0</v>
      </c>
      <c r="U156" s="1">
        <f t="shared" si="39"/>
        <v>0</v>
      </c>
      <c r="V156" s="1">
        <f t="shared" si="40"/>
        <v>0</v>
      </c>
      <c r="W156" s="1">
        <f t="shared" si="41"/>
        <v>0</v>
      </c>
      <c r="X156" s="1">
        <f t="shared" si="42"/>
        <v>0</v>
      </c>
      <c r="Y156" s="15">
        <f t="shared" si="43"/>
        <v>0</v>
      </c>
    </row>
    <row r="157" spans="1:25" x14ac:dyDescent="0.25">
      <c r="A157" s="18" t="str">
        <f>IF(OR(ISNUMBER('ENTERED ON'!M157), 'ENTERED ON'!M157=""), "M&amp;C / RESV/ OTHERS", 'ENTERED ON'!M157)</f>
        <v>M&amp;C / RESV/ OTHERS</v>
      </c>
      <c r="B157" s="18">
        <f>IF(ISTEXT(Table1[[#This Row],[ROOM TYPE]]), 1, 0)</f>
        <v>0</v>
      </c>
      <c r="C157" s="18">
        <f>IF(ISNUMBER('ENTERED ON'!L157), 0, 'ENTERED ON'!L157)</f>
        <v>0</v>
      </c>
      <c r="D157" s="18">
        <f>'ENTERED ON'!G157</f>
        <v>0</v>
      </c>
      <c r="E157" s="18">
        <f>IF(ISTEXT('ENTERED ON'!Q157), 1, 0)</f>
        <v>0</v>
      </c>
      <c r="F157" s="18">
        <f>IF(ISTEXT('ENTERED ON'!R156), 1, 0)</f>
        <v>0</v>
      </c>
      <c r="G157" s="18">
        <f>IFERROR(IF(ISTEXT('ENTERED ON'!P157), 0, 'ENTERED ON'!P157*1.1), 0)</f>
        <v>0</v>
      </c>
      <c r="H157" s="28">
        <f>IF(ISTEXT(G157), 0, Table1[[#This Row],[Amount]] / 'COMPANY PROD'!$V$33)</f>
        <v>0</v>
      </c>
      <c r="I157" s="28">
        <f>Table1[[#This Row],[NIGHTS]]/'COMPANY PROD'!$V$41</f>
        <v>0</v>
      </c>
      <c r="J157" s="16">
        <f>IFERROR(Table1[[#This Row],[Amount]]/Table1[[#This Row],[NIGHTS]],0)</f>
        <v>0</v>
      </c>
      <c r="K157" s="21">
        <f>IF(ISTEXT('ENTERED ON'!C157), 0, IFERROR('ENTERED ON'!C157, 0))</f>
        <v>0</v>
      </c>
      <c r="L157" s="21">
        <f>IF(ISTEXT('ENTERED ON'!D157), 0, IFERROR('ENTERED ON'!D157, 0))</f>
        <v>0</v>
      </c>
      <c r="M157" s="1">
        <f>Table1[[#This Row],[Check out ]]-Table1[[#This Row],[Check in ]]</f>
        <v>0</v>
      </c>
      <c r="N157" s="1"/>
      <c r="O157" s="1">
        <f t="shared" si="33"/>
        <v>0</v>
      </c>
      <c r="P157" s="1">
        <f t="shared" si="34"/>
        <v>0</v>
      </c>
      <c r="Q157" s="1">
        <f t="shared" si="35"/>
        <v>0</v>
      </c>
      <c r="R157" s="1">
        <f t="shared" si="36"/>
        <v>0</v>
      </c>
      <c r="S157" s="1">
        <f t="shared" si="37"/>
        <v>0</v>
      </c>
      <c r="T157" s="1">
        <f t="shared" si="38"/>
        <v>0</v>
      </c>
      <c r="U157" s="1">
        <f t="shared" si="39"/>
        <v>0</v>
      </c>
      <c r="V157" s="1">
        <f t="shared" si="40"/>
        <v>0</v>
      </c>
      <c r="W157" s="1">
        <f t="shared" si="41"/>
        <v>0</v>
      </c>
      <c r="X157" s="1">
        <f t="shared" si="42"/>
        <v>0</v>
      </c>
      <c r="Y157" s="15">
        <f t="shared" si="43"/>
        <v>0</v>
      </c>
    </row>
    <row r="158" spans="1:25" x14ac:dyDescent="0.25">
      <c r="A158" s="18" t="str">
        <f>IF(OR(ISNUMBER('ENTERED ON'!M158), 'ENTERED ON'!M158=""), "M&amp;C / RESV/ OTHERS", 'ENTERED ON'!M158)</f>
        <v>M&amp;C / RESV/ OTHERS</v>
      </c>
      <c r="B158" s="18">
        <f>IF(ISTEXT(Table1[[#This Row],[ROOM TYPE]]), 1, 0)</f>
        <v>0</v>
      </c>
      <c r="C158" s="18">
        <f>IF(ISNUMBER('ENTERED ON'!L158), 0, 'ENTERED ON'!L158)</f>
        <v>0</v>
      </c>
      <c r="D158" s="18">
        <f>'ENTERED ON'!G158</f>
        <v>0</v>
      </c>
      <c r="E158" s="18">
        <f>IF(ISTEXT('ENTERED ON'!Q158), 1, 0)</f>
        <v>0</v>
      </c>
      <c r="F158" s="18">
        <f>IF(ISTEXT('ENTERED ON'!R157), 1, 0)</f>
        <v>0</v>
      </c>
      <c r="G158" s="18">
        <f>IFERROR(IF(ISTEXT('ENTERED ON'!P158), 0, 'ENTERED ON'!P158*1.1), 0)</f>
        <v>0</v>
      </c>
      <c r="H158" s="28">
        <f>IF(ISTEXT(G158), 0, Table1[[#This Row],[Amount]] / 'COMPANY PROD'!$V$33)</f>
        <v>0</v>
      </c>
      <c r="I158" s="28">
        <f>Table1[[#This Row],[NIGHTS]]/'COMPANY PROD'!$V$41</f>
        <v>0</v>
      </c>
      <c r="J158" s="16">
        <f>IFERROR(Table1[[#This Row],[Amount]]/Table1[[#This Row],[NIGHTS]],0)</f>
        <v>0</v>
      </c>
      <c r="K158" s="21">
        <f>IF(ISTEXT('ENTERED ON'!C158), 0, IFERROR('ENTERED ON'!C158, 0))</f>
        <v>0</v>
      </c>
      <c r="L158" s="21">
        <f>IF(ISTEXT('ENTERED ON'!D158), 0, IFERROR('ENTERED ON'!D158, 0))</f>
        <v>0</v>
      </c>
      <c r="M158" s="1">
        <f>Table1[[#This Row],[Check out ]]-Table1[[#This Row],[Check in ]]</f>
        <v>0</v>
      </c>
      <c r="N158" s="1"/>
      <c r="O158" s="1">
        <f t="shared" si="33"/>
        <v>0</v>
      </c>
      <c r="P158" s="1">
        <f t="shared" si="34"/>
        <v>0</v>
      </c>
      <c r="Q158" s="1">
        <f t="shared" si="35"/>
        <v>0</v>
      </c>
      <c r="R158" s="1">
        <f t="shared" si="36"/>
        <v>0</v>
      </c>
      <c r="S158" s="1">
        <f t="shared" si="37"/>
        <v>0</v>
      </c>
      <c r="T158" s="1">
        <f t="shared" si="38"/>
        <v>0</v>
      </c>
      <c r="U158" s="1">
        <f t="shared" si="39"/>
        <v>0</v>
      </c>
      <c r="V158" s="1">
        <f t="shared" si="40"/>
        <v>0</v>
      </c>
      <c r="W158" s="1">
        <f t="shared" si="41"/>
        <v>0</v>
      </c>
      <c r="X158" s="1">
        <f t="shared" si="42"/>
        <v>0</v>
      </c>
      <c r="Y158" s="15">
        <f t="shared" si="43"/>
        <v>0</v>
      </c>
    </row>
    <row r="159" spans="1:25" x14ac:dyDescent="0.25">
      <c r="A159" s="18" t="str">
        <f>IF(OR(ISNUMBER('ENTERED ON'!M159), 'ENTERED ON'!M159=""), "M&amp;C / RESV/ OTHERS", 'ENTERED ON'!M159)</f>
        <v>M&amp;C / RESV/ OTHERS</v>
      </c>
      <c r="B159" s="18">
        <f>IF(ISTEXT(Table1[[#This Row],[ROOM TYPE]]), 1, 0)</f>
        <v>0</v>
      </c>
      <c r="C159" s="18">
        <f>IF(ISNUMBER('ENTERED ON'!L159), 0, 'ENTERED ON'!L159)</f>
        <v>0</v>
      </c>
      <c r="D159" s="18">
        <f>'ENTERED ON'!G159</f>
        <v>0</v>
      </c>
      <c r="E159" s="18">
        <f>IF(ISTEXT('ENTERED ON'!Q159), 1, 0)</f>
        <v>0</v>
      </c>
      <c r="F159" s="18">
        <f>IF(ISTEXT('ENTERED ON'!R158), 1, 0)</f>
        <v>0</v>
      </c>
      <c r="G159" s="18">
        <f>IFERROR(IF(ISTEXT('ENTERED ON'!P159), 0, 'ENTERED ON'!P159*1.1), 0)</f>
        <v>0</v>
      </c>
      <c r="H159" s="28">
        <f>IF(ISTEXT(G159), 0, Table1[[#This Row],[Amount]] / 'COMPANY PROD'!$V$33)</f>
        <v>0</v>
      </c>
      <c r="I159" s="28">
        <f>Table1[[#This Row],[NIGHTS]]/'COMPANY PROD'!$V$41</f>
        <v>0</v>
      </c>
      <c r="J159" s="16">
        <f>IFERROR(Table1[[#This Row],[Amount]]/Table1[[#This Row],[NIGHTS]],0)</f>
        <v>0</v>
      </c>
      <c r="K159" s="21">
        <f>IF(ISTEXT('ENTERED ON'!C159), 0, IFERROR('ENTERED ON'!C159, 0))</f>
        <v>0</v>
      </c>
      <c r="L159" s="21">
        <f>IF(ISTEXT('ENTERED ON'!D159), 0, IFERROR('ENTERED ON'!D159, 0))</f>
        <v>0</v>
      </c>
      <c r="M159" s="1">
        <f>Table1[[#This Row],[Check out ]]-Table1[[#This Row],[Check in ]]</f>
        <v>0</v>
      </c>
      <c r="N159" s="1"/>
      <c r="O159" s="1">
        <f t="shared" si="33"/>
        <v>0</v>
      </c>
      <c r="P159" s="1">
        <f t="shared" si="34"/>
        <v>0</v>
      </c>
      <c r="Q159" s="1">
        <f t="shared" si="35"/>
        <v>0</v>
      </c>
      <c r="R159" s="1">
        <f t="shared" si="36"/>
        <v>0</v>
      </c>
      <c r="S159" s="1">
        <f t="shared" si="37"/>
        <v>0</v>
      </c>
      <c r="T159" s="1">
        <f t="shared" si="38"/>
        <v>0</v>
      </c>
      <c r="U159" s="1">
        <f t="shared" si="39"/>
        <v>0</v>
      </c>
      <c r="V159" s="1">
        <f t="shared" si="40"/>
        <v>0</v>
      </c>
      <c r="W159" s="1">
        <f t="shared" si="41"/>
        <v>0</v>
      </c>
      <c r="X159" s="1">
        <f t="shared" si="42"/>
        <v>0</v>
      </c>
      <c r="Y159" s="15">
        <f t="shared" si="43"/>
        <v>0</v>
      </c>
    </row>
    <row r="160" spans="1:25" x14ac:dyDescent="0.25">
      <c r="A160" s="18" t="str">
        <f>IF(OR(ISNUMBER('ENTERED ON'!M160), 'ENTERED ON'!M160=""), "M&amp;C / RESV/ OTHERS", 'ENTERED ON'!M160)</f>
        <v>M&amp;C / RESV/ OTHERS</v>
      </c>
      <c r="B160" s="18">
        <f>IF(ISTEXT(Table1[[#This Row],[ROOM TYPE]]), 1, 0)</f>
        <v>0</v>
      </c>
      <c r="C160" s="18">
        <f>IF(ISNUMBER('ENTERED ON'!L160), 0, 'ENTERED ON'!L160)</f>
        <v>0</v>
      </c>
      <c r="D160" s="18">
        <f>'ENTERED ON'!G160</f>
        <v>0</v>
      </c>
      <c r="E160" s="18">
        <f>IF(ISTEXT('ENTERED ON'!Q160), 1, 0)</f>
        <v>0</v>
      </c>
      <c r="F160" s="18">
        <f>IF(ISTEXT('ENTERED ON'!R159), 1, 0)</f>
        <v>0</v>
      </c>
      <c r="G160" s="18">
        <f>IFERROR(IF(ISTEXT('ENTERED ON'!P160), 0, 'ENTERED ON'!P160*1.1), 0)</f>
        <v>0</v>
      </c>
      <c r="H160" s="28">
        <f>IF(ISTEXT(G160), 0, Table1[[#This Row],[Amount]] / 'COMPANY PROD'!$V$33)</f>
        <v>0</v>
      </c>
      <c r="I160" s="28">
        <f>Table1[[#This Row],[NIGHTS]]/'COMPANY PROD'!$V$41</f>
        <v>0</v>
      </c>
      <c r="J160" s="16">
        <f>IFERROR(Table1[[#This Row],[Amount]]/Table1[[#This Row],[NIGHTS]],0)</f>
        <v>0</v>
      </c>
      <c r="K160" s="21">
        <f>IF(ISTEXT('ENTERED ON'!C160), 0, IFERROR('ENTERED ON'!C160, 0))</f>
        <v>0</v>
      </c>
      <c r="L160" s="21">
        <f>IF(ISTEXT('ENTERED ON'!D160), 0, IFERROR('ENTERED ON'!D160, 0))</f>
        <v>0</v>
      </c>
      <c r="M160" s="1">
        <f>Table1[[#This Row],[Check out ]]-Table1[[#This Row],[Check in ]]</f>
        <v>0</v>
      </c>
      <c r="N160" s="1"/>
      <c r="O160" s="1">
        <f t="shared" si="33"/>
        <v>0</v>
      </c>
      <c r="P160" s="1">
        <f t="shared" si="34"/>
        <v>0</v>
      </c>
      <c r="Q160" s="1">
        <f t="shared" si="35"/>
        <v>0</v>
      </c>
      <c r="R160" s="1">
        <f t="shared" si="36"/>
        <v>0</v>
      </c>
      <c r="S160" s="1">
        <f t="shared" si="37"/>
        <v>0</v>
      </c>
      <c r="T160" s="1">
        <f t="shared" si="38"/>
        <v>0</v>
      </c>
      <c r="U160" s="1">
        <f t="shared" si="39"/>
        <v>0</v>
      </c>
      <c r="V160" s="1">
        <f t="shared" si="40"/>
        <v>0</v>
      </c>
      <c r="W160" s="1">
        <f t="shared" si="41"/>
        <v>0</v>
      </c>
      <c r="X160" s="1">
        <f t="shared" si="42"/>
        <v>0</v>
      </c>
      <c r="Y160" s="15">
        <f t="shared" si="43"/>
        <v>0</v>
      </c>
    </row>
    <row r="161" spans="1:25" x14ac:dyDescent="0.25">
      <c r="A161" s="18" t="str">
        <f>IF(OR(ISNUMBER('ENTERED ON'!M161), 'ENTERED ON'!M161=""), "M&amp;C / RESV/ OTHERS", 'ENTERED ON'!M161)</f>
        <v>M&amp;C / RESV/ OTHERS</v>
      </c>
      <c r="B161" s="18">
        <f>IF(ISTEXT(Table1[[#This Row],[ROOM TYPE]]), 1, 0)</f>
        <v>0</v>
      </c>
      <c r="C161" s="18">
        <f>IF(ISNUMBER('ENTERED ON'!L161), 0, 'ENTERED ON'!L161)</f>
        <v>0</v>
      </c>
      <c r="D161" s="18">
        <f>'ENTERED ON'!G161</f>
        <v>0</v>
      </c>
      <c r="E161" s="18">
        <f>IF(ISTEXT('ENTERED ON'!Q161), 1, 0)</f>
        <v>0</v>
      </c>
      <c r="F161" s="18">
        <f>IF(ISTEXT('ENTERED ON'!R160), 1, 0)</f>
        <v>0</v>
      </c>
      <c r="G161" s="18">
        <f>IFERROR(IF(ISTEXT('ENTERED ON'!P161), 0, 'ENTERED ON'!P161*1.1), 0)</f>
        <v>0</v>
      </c>
      <c r="H161" s="28">
        <f>IF(ISTEXT(G161), 0, Table1[[#This Row],[Amount]] / 'COMPANY PROD'!$V$33)</f>
        <v>0</v>
      </c>
      <c r="I161" s="28">
        <f>Table1[[#This Row],[NIGHTS]]/'COMPANY PROD'!$V$41</f>
        <v>0</v>
      </c>
      <c r="J161" s="16">
        <f>IFERROR(Table1[[#This Row],[Amount]]/Table1[[#This Row],[NIGHTS]],0)</f>
        <v>0</v>
      </c>
      <c r="K161" s="21">
        <f>IF(ISTEXT('ENTERED ON'!C161), 0, IFERROR('ENTERED ON'!C161, 0))</f>
        <v>0</v>
      </c>
      <c r="L161" s="21">
        <f>IF(ISTEXT('ENTERED ON'!D161), 0, IFERROR('ENTERED ON'!D161, 0))</f>
        <v>0</v>
      </c>
      <c r="M161" s="1">
        <f>Table1[[#This Row],[Check out ]]-Table1[[#This Row],[Check in ]]</f>
        <v>0</v>
      </c>
      <c r="N161" s="1"/>
      <c r="O161" s="1">
        <f t="shared" si="33"/>
        <v>0</v>
      </c>
      <c r="P161" s="1">
        <f t="shared" si="34"/>
        <v>0</v>
      </c>
      <c r="Q161" s="1">
        <f t="shared" si="35"/>
        <v>0</v>
      </c>
      <c r="R161" s="1">
        <f t="shared" si="36"/>
        <v>0</v>
      </c>
      <c r="S161" s="1">
        <f t="shared" si="37"/>
        <v>0</v>
      </c>
      <c r="T161" s="1">
        <f t="shared" si="38"/>
        <v>0</v>
      </c>
      <c r="U161" s="1">
        <f t="shared" si="39"/>
        <v>0</v>
      </c>
      <c r="V161" s="1">
        <f t="shared" si="40"/>
        <v>0</v>
      </c>
      <c r="W161" s="1">
        <f t="shared" si="41"/>
        <v>0</v>
      </c>
      <c r="X161" s="1">
        <f t="shared" si="42"/>
        <v>0</v>
      </c>
      <c r="Y161" s="15">
        <f t="shared" si="43"/>
        <v>0</v>
      </c>
    </row>
    <row r="162" spans="1:25" x14ac:dyDescent="0.25">
      <c r="A162" s="18" t="str">
        <f>IF(OR(ISNUMBER('ENTERED ON'!M162), 'ENTERED ON'!M162=""), "M&amp;C / RESV/ OTHERS", 'ENTERED ON'!M162)</f>
        <v>M&amp;C / RESV/ OTHERS</v>
      </c>
      <c r="B162" s="18">
        <f>IF(ISTEXT(Table1[[#This Row],[ROOM TYPE]]), 1, 0)</f>
        <v>0</v>
      </c>
      <c r="C162" s="18">
        <f>IF(ISNUMBER('ENTERED ON'!L162), 0, 'ENTERED ON'!L162)</f>
        <v>0</v>
      </c>
      <c r="D162" s="18">
        <f>'ENTERED ON'!G162</f>
        <v>0</v>
      </c>
      <c r="E162" s="18">
        <f>IF(ISTEXT('ENTERED ON'!Q162), 1, 0)</f>
        <v>0</v>
      </c>
      <c r="F162" s="18">
        <f>IF(ISTEXT('ENTERED ON'!R161), 1, 0)</f>
        <v>0</v>
      </c>
      <c r="G162" s="18">
        <f>IFERROR(IF(ISTEXT('ENTERED ON'!P162), 0, 'ENTERED ON'!P162*1.1), 0)</f>
        <v>0</v>
      </c>
      <c r="H162" s="28">
        <f>IF(ISTEXT(G162), 0, Table1[[#This Row],[Amount]] / 'COMPANY PROD'!$V$33)</f>
        <v>0</v>
      </c>
      <c r="I162" s="28">
        <f>Table1[[#This Row],[NIGHTS]]/'COMPANY PROD'!$V$41</f>
        <v>0</v>
      </c>
      <c r="J162" s="16">
        <f>IFERROR(Table1[[#This Row],[Amount]]/Table1[[#This Row],[NIGHTS]],0)</f>
        <v>0</v>
      </c>
      <c r="K162" s="21">
        <f>IF(ISTEXT('ENTERED ON'!C162), 0, IFERROR('ENTERED ON'!C162, 0))</f>
        <v>0</v>
      </c>
      <c r="L162" s="21">
        <f>IF(ISTEXT('ENTERED ON'!D162), 0, IFERROR('ENTERED ON'!D162, 0))</f>
        <v>0</v>
      </c>
      <c r="M162" s="1">
        <f>Table1[[#This Row],[Check out ]]-Table1[[#This Row],[Check in ]]</f>
        <v>0</v>
      </c>
      <c r="N162" s="1"/>
      <c r="O162" s="1">
        <f t="shared" si="33"/>
        <v>0</v>
      </c>
      <c r="P162" s="1">
        <f t="shared" si="34"/>
        <v>0</v>
      </c>
      <c r="Q162" s="1">
        <f t="shared" si="35"/>
        <v>0</v>
      </c>
      <c r="R162" s="1">
        <f t="shared" si="36"/>
        <v>0</v>
      </c>
      <c r="S162" s="1">
        <f t="shared" si="37"/>
        <v>0</v>
      </c>
      <c r="T162" s="1">
        <f t="shared" si="38"/>
        <v>0</v>
      </c>
      <c r="U162" s="1">
        <f t="shared" si="39"/>
        <v>0</v>
      </c>
      <c r="V162" s="1">
        <f t="shared" si="40"/>
        <v>0</v>
      </c>
      <c r="W162" s="1">
        <f t="shared" si="41"/>
        <v>0</v>
      </c>
      <c r="X162" s="1">
        <f t="shared" si="42"/>
        <v>0</v>
      </c>
      <c r="Y162" s="15">
        <f t="shared" si="43"/>
        <v>0</v>
      </c>
    </row>
    <row r="163" spans="1:25" x14ac:dyDescent="0.25">
      <c r="A163" s="18" t="str">
        <f>IF(OR(ISNUMBER('ENTERED ON'!M163), 'ENTERED ON'!M163=""), "M&amp;C / RESV/ OTHERS", 'ENTERED ON'!M163)</f>
        <v>M&amp;C / RESV/ OTHERS</v>
      </c>
      <c r="B163" s="18">
        <f>IF(ISTEXT(Table1[[#This Row],[ROOM TYPE]]), 1, 0)</f>
        <v>0</v>
      </c>
      <c r="C163" s="18">
        <f>IF(ISNUMBER('ENTERED ON'!L163), 0, 'ENTERED ON'!L163)</f>
        <v>0</v>
      </c>
      <c r="D163" s="18">
        <f>'ENTERED ON'!G163</f>
        <v>0</v>
      </c>
      <c r="E163" s="18">
        <f>IF(ISTEXT('ENTERED ON'!Q163), 1, 0)</f>
        <v>0</v>
      </c>
      <c r="F163" s="18">
        <f>IF(ISTEXT('ENTERED ON'!R162), 1, 0)</f>
        <v>0</v>
      </c>
      <c r="G163" s="18">
        <f>IFERROR(IF(ISTEXT('ENTERED ON'!P163), 0, 'ENTERED ON'!P163*1.1), 0)</f>
        <v>0</v>
      </c>
      <c r="H163" s="28">
        <f>IF(ISTEXT(G163), 0, Table1[[#This Row],[Amount]] / 'COMPANY PROD'!$V$33)</f>
        <v>0</v>
      </c>
      <c r="I163" s="28">
        <f>Table1[[#This Row],[NIGHTS]]/'COMPANY PROD'!$V$41</f>
        <v>0</v>
      </c>
      <c r="J163" s="16">
        <f>IFERROR(Table1[[#This Row],[Amount]]/Table1[[#This Row],[NIGHTS]],0)</f>
        <v>0</v>
      </c>
      <c r="K163" s="21">
        <f>IF(ISTEXT('ENTERED ON'!C163), 0, IFERROR('ENTERED ON'!C163, 0))</f>
        <v>0</v>
      </c>
      <c r="L163" s="21">
        <f>IF(ISTEXT('ENTERED ON'!D163), 0, IFERROR('ENTERED ON'!D163, 0))</f>
        <v>0</v>
      </c>
      <c r="M163" s="1">
        <f>Table1[[#This Row],[Check out ]]-Table1[[#This Row],[Check in ]]</f>
        <v>0</v>
      </c>
      <c r="N163" s="1"/>
      <c r="O163" s="1">
        <f t="shared" si="33"/>
        <v>0</v>
      </c>
      <c r="P163" s="1">
        <f t="shared" si="34"/>
        <v>0</v>
      </c>
      <c r="Q163" s="1">
        <f t="shared" si="35"/>
        <v>0</v>
      </c>
      <c r="R163" s="1">
        <f t="shared" si="36"/>
        <v>0</v>
      </c>
      <c r="S163" s="1">
        <f t="shared" si="37"/>
        <v>0</v>
      </c>
      <c r="T163" s="1">
        <f t="shared" si="38"/>
        <v>0</v>
      </c>
      <c r="U163" s="1">
        <f t="shared" si="39"/>
        <v>0</v>
      </c>
      <c r="V163" s="1">
        <f t="shared" si="40"/>
        <v>0</v>
      </c>
      <c r="W163" s="1">
        <f t="shared" si="41"/>
        <v>0</v>
      </c>
      <c r="X163" s="1">
        <f t="shared" si="42"/>
        <v>0</v>
      </c>
      <c r="Y163" s="15">
        <f t="shared" si="43"/>
        <v>0</v>
      </c>
    </row>
    <row r="164" spans="1:25" x14ac:dyDescent="0.25">
      <c r="A164" s="18" t="str">
        <f>IF(OR(ISNUMBER('ENTERED ON'!M164), 'ENTERED ON'!M164=""), "M&amp;C / RESV/ OTHERS", 'ENTERED ON'!M164)</f>
        <v>M&amp;C / RESV/ OTHERS</v>
      </c>
      <c r="B164" s="18">
        <f>IF(ISTEXT(Table1[[#This Row],[ROOM TYPE]]), 1, 0)</f>
        <v>0</v>
      </c>
      <c r="C164" s="18">
        <f>IF(ISNUMBER('ENTERED ON'!L164), 0, 'ENTERED ON'!L164)</f>
        <v>0</v>
      </c>
      <c r="D164" s="18">
        <f>'ENTERED ON'!G164</f>
        <v>0</v>
      </c>
      <c r="E164" s="18">
        <f>IF(ISTEXT('ENTERED ON'!Q164), 1, 0)</f>
        <v>0</v>
      </c>
      <c r="F164" s="18">
        <f>IF(ISTEXT('ENTERED ON'!R163), 1, 0)</f>
        <v>0</v>
      </c>
      <c r="G164" s="18">
        <f>IFERROR(IF(ISTEXT('ENTERED ON'!P164), 0, 'ENTERED ON'!P164*1.1), 0)</f>
        <v>0</v>
      </c>
      <c r="H164" s="28">
        <f>IF(ISTEXT(G164), 0, Table1[[#This Row],[Amount]] / 'COMPANY PROD'!$V$33)</f>
        <v>0</v>
      </c>
      <c r="I164" s="28">
        <f>Table1[[#This Row],[NIGHTS]]/'COMPANY PROD'!$V$41</f>
        <v>0</v>
      </c>
      <c r="J164" s="16">
        <f>IFERROR(Table1[[#This Row],[Amount]]/Table1[[#This Row],[NIGHTS]],0)</f>
        <v>0</v>
      </c>
      <c r="K164" s="21">
        <f>IF(ISTEXT('ENTERED ON'!C164), 0, IFERROR('ENTERED ON'!C164, 0))</f>
        <v>0</v>
      </c>
      <c r="L164" s="21">
        <f>IF(ISTEXT('ENTERED ON'!D164), 0, IFERROR('ENTERED ON'!D164, 0))</f>
        <v>0</v>
      </c>
      <c r="M164" s="1">
        <f>Table1[[#This Row],[Check out ]]-Table1[[#This Row],[Check in ]]</f>
        <v>0</v>
      </c>
      <c r="N164" s="1"/>
      <c r="O164" s="1">
        <f t="shared" si="33"/>
        <v>0</v>
      </c>
      <c r="P164" s="1">
        <f t="shared" si="34"/>
        <v>0</v>
      </c>
      <c r="Q164" s="1">
        <f t="shared" si="35"/>
        <v>0</v>
      </c>
      <c r="R164" s="1">
        <f t="shared" si="36"/>
        <v>0</v>
      </c>
      <c r="S164" s="1">
        <f t="shared" si="37"/>
        <v>0</v>
      </c>
      <c r="T164" s="1">
        <f t="shared" si="38"/>
        <v>0</v>
      </c>
      <c r="U164" s="1">
        <f t="shared" si="39"/>
        <v>0</v>
      </c>
      <c r="V164" s="1">
        <f t="shared" si="40"/>
        <v>0</v>
      </c>
      <c r="W164" s="1">
        <f t="shared" si="41"/>
        <v>0</v>
      </c>
      <c r="X164" s="1">
        <f t="shared" si="42"/>
        <v>0</v>
      </c>
      <c r="Y164" s="15">
        <f t="shared" si="43"/>
        <v>0</v>
      </c>
    </row>
    <row r="165" spans="1:25" x14ac:dyDescent="0.25">
      <c r="A165" s="18" t="str">
        <f>IF(OR(ISNUMBER('ENTERED ON'!M165), 'ENTERED ON'!M165=""), "M&amp;C / RESV/ OTHERS", 'ENTERED ON'!M165)</f>
        <v>M&amp;C / RESV/ OTHERS</v>
      </c>
      <c r="B165" s="18">
        <f>IF(ISTEXT(Table1[[#This Row],[ROOM TYPE]]), 1, 0)</f>
        <v>0</v>
      </c>
      <c r="C165" s="18">
        <f>IF(ISNUMBER('ENTERED ON'!L165), 0, 'ENTERED ON'!L165)</f>
        <v>0</v>
      </c>
      <c r="D165" s="18">
        <f>'ENTERED ON'!G165</f>
        <v>0</v>
      </c>
      <c r="E165" s="18">
        <f>IF(ISTEXT('ENTERED ON'!Q165), 1, 0)</f>
        <v>0</v>
      </c>
      <c r="F165" s="18">
        <f>IF(ISTEXT('ENTERED ON'!R164), 1, 0)</f>
        <v>0</v>
      </c>
      <c r="G165" s="18">
        <f>IFERROR(IF(ISTEXT('ENTERED ON'!P165), 0, 'ENTERED ON'!P165*1.1), 0)</f>
        <v>0</v>
      </c>
      <c r="H165" s="28">
        <f>IF(ISTEXT(G165), 0, Table1[[#This Row],[Amount]] / 'COMPANY PROD'!$V$33)</f>
        <v>0</v>
      </c>
      <c r="I165" s="28">
        <f>Table1[[#This Row],[NIGHTS]]/'COMPANY PROD'!$V$41</f>
        <v>0</v>
      </c>
      <c r="J165" s="16">
        <f>IFERROR(Table1[[#This Row],[Amount]]/Table1[[#This Row],[NIGHTS]],0)</f>
        <v>0</v>
      </c>
      <c r="K165" s="21">
        <f>IF(ISTEXT('ENTERED ON'!C165), 0, IFERROR('ENTERED ON'!C165, 0))</f>
        <v>0</v>
      </c>
      <c r="L165" s="21">
        <f>IF(ISTEXT('ENTERED ON'!D165), 0, IFERROR('ENTERED ON'!D165, 0))</f>
        <v>0</v>
      </c>
      <c r="M165" s="1">
        <f>Table1[[#This Row],[Check out ]]-Table1[[#This Row],[Check in ]]</f>
        <v>0</v>
      </c>
      <c r="N165" s="1"/>
      <c r="O165" s="1">
        <f t="shared" si="33"/>
        <v>0</v>
      </c>
      <c r="P165" s="1">
        <f t="shared" si="34"/>
        <v>0</v>
      </c>
      <c r="Q165" s="1">
        <f t="shared" si="35"/>
        <v>0</v>
      </c>
      <c r="R165" s="1">
        <f t="shared" si="36"/>
        <v>0</v>
      </c>
      <c r="S165" s="1">
        <f t="shared" si="37"/>
        <v>0</v>
      </c>
      <c r="T165" s="1">
        <f t="shared" si="38"/>
        <v>0</v>
      </c>
      <c r="U165" s="1">
        <f t="shared" si="39"/>
        <v>0</v>
      </c>
      <c r="V165" s="1">
        <f t="shared" si="40"/>
        <v>0</v>
      </c>
      <c r="W165" s="1">
        <f t="shared" si="41"/>
        <v>0</v>
      </c>
      <c r="X165" s="1">
        <f t="shared" si="42"/>
        <v>0</v>
      </c>
      <c r="Y165" s="15">
        <f t="shared" si="43"/>
        <v>0</v>
      </c>
    </row>
    <row r="166" spans="1:25" x14ac:dyDescent="0.25">
      <c r="A166" s="18" t="str">
        <f>IF(OR(ISNUMBER('ENTERED ON'!M166), 'ENTERED ON'!M166=""), "M&amp;C / RESV/ OTHERS", 'ENTERED ON'!M166)</f>
        <v>M&amp;C / RESV/ OTHERS</v>
      </c>
      <c r="B166" s="18">
        <f>IF(ISTEXT(Table1[[#This Row],[ROOM TYPE]]), 1, 0)</f>
        <v>0</v>
      </c>
      <c r="C166" s="18">
        <f>IF(ISNUMBER('ENTERED ON'!L166), 0, 'ENTERED ON'!L166)</f>
        <v>0</v>
      </c>
      <c r="D166" s="18">
        <f>'ENTERED ON'!G166</f>
        <v>0</v>
      </c>
      <c r="E166" s="18">
        <f>IF(ISTEXT('ENTERED ON'!Q166), 1, 0)</f>
        <v>0</v>
      </c>
      <c r="F166" s="18">
        <f>IF(ISTEXT('ENTERED ON'!R165), 1, 0)</f>
        <v>0</v>
      </c>
      <c r="G166" s="18">
        <f>IFERROR(IF(ISTEXT('ENTERED ON'!P166), 0, 'ENTERED ON'!P166*1.1), 0)</f>
        <v>0</v>
      </c>
      <c r="H166" s="28">
        <f>IF(ISTEXT(G166), 0, Table1[[#This Row],[Amount]] / 'COMPANY PROD'!$V$33)</f>
        <v>0</v>
      </c>
      <c r="I166" s="28">
        <f>Table1[[#This Row],[NIGHTS]]/'COMPANY PROD'!$V$41</f>
        <v>0</v>
      </c>
      <c r="J166" s="16">
        <f>IFERROR(Table1[[#This Row],[Amount]]/Table1[[#This Row],[NIGHTS]],0)</f>
        <v>0</v>
      </c>
      <c r="K166" s="21">
        <f>IF(ISTEXT('ENTERED ON'!C166), 0, IFERROR('ENTERED ON'!C166, 0))</f>
        <v>0</v>
      </c>
      <c r="L166" s="21">
        <f>IF(ISTEXT('ENTERED ON'!D166), 0, IFERROR('ENTERED ON'!D166, 0))</f>
        <v>0</v>
      </c>
      <c r="M166" s="1">
        <f>Table1[[#This Row],[Check out ]]-Table1[[#This Row],[Check in ]]</f>
        <v>0</v>
      </c>
      <c r="N166" s="1"/>
      <c r="O166" s="1">
        <f t="shared" si="33"/>
        <v>0</v>
      </c>
      <c r="P166" s="1">
        <f t="shared" si="34"/>
        <v>0</v>
      </c>
      <c r="Q166" s="1">
        <f t="shared" si="35"/>
        <v>0</v>
      </c>
      <c r="R166" s="1">
        <f t="shared" si="36"/>
        <v>0</v>
      </c>
      <c r="S166" s="1">
        <f t="shared" si="37"/>
        <v>0</v>
      </c>
      <c r="T166" s="1">
        <f t="shared" si="38"/>
        <v>0</v>
      </c>
      <c r="U166" s="1">
        <f t="shared" si="39"/>
        <v>0</v>
      </c>
      <c r="V166" s="1">
        <f t="shared" si="40"/>
        <v>0</v>
      </c>
      <c r="W166" s="1">
        <f t="shared" si="41"/>
        <v>0</v>
      </c>
      <c r="X166" s="1">
        <f t="shared" si="42"/>
        <v>0</v>
      </c>
      <c r="Y166" s="15">
        <f t="shared" si="43"/>
        <v>0</v>
      </c>
    </row>
    <row r="167" spans="1:25" x14ac:dyDescent="0.25">
      <c r="A167" s="18" t="str">
        <f>IF(OR(ISNUMBER('ENTERED ON'!M167), 'ENTERED ON'!M167=""), "M&amp;C / RESV/ OTHERS", 'ENTERED ON'!M167)</f>
        <v>M&amp;C / RESV/ OTHERS</v>
      </c>
      <c r="B167" s="18">
        <f>IF(ISTEXT(Table1[[#This Row],[ROOM TYPE]]), 1, 0)</f>
        <v>0</v>
      </c>
      <c r="C167" s="18">
        <f>IF(ISNUMBER('ENTERED ON'!L167), 0, 'ENTERED ON'!L167)</f>
        <v>0</v>
      </c>
      <c r="D167" s="18">
        <f>'ENTERED ON'!G167</f>
        <v>0</v>
      </c>
      <c r="E167" s="18">
        <f>IF(ISTEXT('ENTERED ON'!Q167), 1, 0)</f>
        <v>0</v>
      </c>
      <c r="F167" s="18">
        <f>IF(ISTEXT('ENTERED ON'!R166), 1, 0)</f>
        <v>0</v>
      </c>
      <c r="G167" s="18">
        <f>IFERROR(IF(ISTEXT('ENTERED ON'!P167), 0, 'ENTERED ON'!P167*1.1), 0)</f>
        <v>0</v>
      </c>
      <c r="H167" s="28">
        <f>IF(ISTEXT(G167), 0, Table1[[#This Row],[Amount]] / 'COMPANY PROD'!$V$33)</f>
        <v>0</v>
      </c>
      <c r="I167" s="28">
        <f>Table1[[#This Row],[NIGHTS]]/'COMPANY PROD'!$V$41</f>
        <v>0</v>
      </c>
      <c r="J167" s="16">
        <f>IFERROR(Table1[[#This Row],[Amount]]/Table1[[#This Row],[NIGHTS]],0)</f>
        <v>0</v>
      </c>
      <c r="K167" s="21">
        <f>IF(ISTEXT('ENTERED ON'!C167), 0, IFERROR('ENTERED ON'!C167, 0))</f>
        <v>0</v>
      </c>
      <c r="L167" s="21">
        <f>IF(ISTEXT('ENTERED ON'!D167), 0, IFERROR('ENTERED ON'!D167, 0))</f>
        <v>0</v>
      </c>
      <c r="M167" s="1">
        <f>Table1[[#This Row],[Check out ]]-Table1[[#This Row],[Check in ]]</f>
        <v>0</v>
      </c>
      <c r="N167" s="1"/>
      <c r="O167" s="1">
        <f t="shared" si="33"/>
        <v>0</v>
      </c>
      <c r="P167" s="1">
        <f t="shared" si="34"/>
        <v>0</v>
      </c>
      <c r="Q167" s="1">
        <f t="shared" si="35"/>
        <v>0</v>
      </c>
      <c r="R167" s="1">
        <f t="shared" si="36"/>
        <v>0</v>
      </c>
      <c r="S167" s="1">
        <f t="shared" si="37"/>
        <v>0</v>
      </c>
      <c r="T167" s="1">
        <f t="shared" si="38"/>
        <v>0</v>
      </c>
      <c r="U167" s="1">
        <f t="shared" si="39"/>
        <v>0</v>
      </c>
      <c r="V167" s="1">
        <f t="shared" si="40"/>
        <v>0</v>
      </c>
      <c r="W167" s="1">
        <f t="shared" si="41"/>
        <v>0</v>
      </c>
      <c r="X167" s="1">
        <f t="shared" si="42"/>
        <v>0</v>
      </c>
      <c r="Y167" s="15">
        <f t="shared" si="43"/>
        <v>0</v>
      </c>
    </row>
    <row r="168" spans="1:25" x14ac:dyDescent="0.25">
      <c r="A168" s="18" t="str">
        <f>IF(OR(ISNUMBER('ENTERED ON'!M168), 'ENTERED ON'!M168=""), "M&amp;C / RESV/ OTHERS", 'ENTERED ON'!M168)</f>
        <v>M&amp;C / RESV/ OTHERS</v>
      </c>
      <c r="B168" s="18">
        <f>IF(ISTEXT(Table1[[#This Row],[ROOM TYPE]]), 1, 0)</f>
        <v>0</v>
      </c>
      <c r="C168" s="18">
        <f>IF(ISNUMBER('ENTERED ON'!L168), 0, 'ENTERED ON'!L168)</f>
        <v>0</v>
      </c>
      <c r="D168" s="18">
        <f>'ENTERED ON'!G168</f>
        <v>0</v>
      </c>
      <c r="E168" s="18">
        <f>IF(ISTEXT('ENTERED ON'!Q168), 1, 0)</f>
        <v>0</v>
      </c>
      <c r="F168" s="18">
        <f>IF(ISTEXT('ENTERED ON'!R167), 1, 0)</f>
        <v>0</v>
      </c>
      <c r="G168" s="18">
        <f>IFERROR(IF(ISTEXT('ENTERED ON'!P168), 0, 'ENTERED ON'!P168*1.1), 0)</f>
        <v>0</v>
      </c>
      <c r="H168" s="28">
        <f>IF(ISTEXT(G168), 0, Table1[[#This Row],[Amount]] / 'COMPANY PROD'!$V$33)</f>
        <v>0</v>
      </c>
      <c r="I168" s="28">
        <f>Table1[[#This Row],[NIGHTS]]/'COMPANY PROD'!$V$41</f>
        <v>0</v>
      </c>
      <c r="J168" s="16">
        <f>IFERROR(Table1[[#This Row],[Amount]]/Table1[[#This Row],[NIGHTS]],0)</f>
        <v>0</v>
      </c>
      <c r="K168" s="21">
        <f>IF(ISTEXT('ENTERED ON'!C168), 0, IFERROR('ENTERED ON'!C168, 0))</f>
        <v>0</v>
      </c>
      <c r="L168" s="21">
        <f>IF(ISTEXT('ENTERED ON'!D168), 0, IFERROR('ENTERED ON'!D168, 0))</f>
        <v>0</v>
      </c>
      <c r="M168" s="1">
        <f>Table1[[#This Row],[Check out ]]-Table1[[#This Row],[Check in ]]</f>
        <v>0</v>
      </c>
      <c r="N168" s="1"/>
      <c r="O168" s="1">
        <f t="shared" si="33"/>
        <v>0</v>
      </c>
      <c r="P168" s="1">
        <f t="shared" si="34"/>
        <v>0</v>
      </c>
      <c r="Q168" s="1">
        <f t="shared" si="35"/>
        <v>0</v>
      </c>
      <c r="R168" s="1">
        <f t="shared" si="36"/>
        <v>0</v>
      </c>
      <c r="S168" s="1">
        <f t="shared" si="37"/>
        <v>0</v>
      </c>
      <c r="T168" s="1">
        <f t="shared" si="38"/>
        <v>0</v>
      </c>
      <c r="U168" s="1">
        <f t="shared" si="39"/>
        <v>0</v>
      </c>
      <c r="V168" s="1">
        <f t="shared" si="40"/>
        <v>0</v>
      </c>
      <c r="W168" s="1">
        <f t="shared" si="41"/>
        <v>0</v>
      </c>
      <c r="X168" s="1">
        <f t="shared" si="42"/>
        <v>0</v>
      </c>
      <c r="Y168" s="15">
        <f t="shared" si="43"/>
        <v>0</v>
      </c>
    </row>
    <row r="169" spans="1:25" x14ac:dyDescent="0.25">
      <c r="A169" s="18" t="str">
        <f>IF(OR(ISNUMBER('ENTERED ON'!M169), 'ENTERED ON'!M169=""), "M&amp;C / RESV/ OTHERS", 'ENTERED ON'!M169)</f>
        <v>M&amp;C / RESV/ OTHERS</v>
      </c>
      <c r="B169" s="18">
        <f>IF(ISTEXT(Table1[[#This Row],[ROOM TYPE]]), 1, 0)</f>
        <v>0</v>
      </c>
      <c r="C169" s="18">
        <f>IF(ISNUMBER('ENTERED ON'!L169), 0, 'ENTERED ON'!L169)</f>
        <v>0</v>
      </c>
      <c r="D169" s="18">
        <f>'ENTERED ON'!G169</f>
        <v>0</v>
      </c>
      <c r="E169" s="18">
        <f>IF(ISTEXT('ENTERED ON'!Q169), 1, 0)</f>
        <v>0</v>
      </c>
      <c r="F169" s="18">
        <f>IF(ISTEXT('ENTERED ON'!R168), 1, 0)</f>
        <v>0</v>
      </c>
      <c r="G169" s="18">
        <f>IFERROR(IF(ISTEXT('ENTERED ON'!P169), 0, 'ENTERED ON'!P169*1.1), 0)</f>
        <v>0</v>
      </c>
      <c r="H169" s="28">
        <f>IF(ISTEXT(G169), 0, Table1[[#This Row],[Amount]] / 'COMPANY PROD'!$V$33)</f>
        <v>0</v>
      </c>
      <c r="I169" s="28">
        <f>Table1[[#This Row],[NIGHTS]]/'COMPANY PROD'!$V$41</f>
        <v>0</v>
      </c>
      <c r="J169" s="16">
        <f>IFERROR(Table1[[#This Row],[Amount]]/Table1[[#This Row],[NIGHTS]],0)</f>
        <v>0</v>
      </c>
      <c r="K169" s="21">
        <f>IF(ISTEXT('ENTERED ON'!C169), 0, IFERROR('ENTERED ON'!C169, 0))</f>
        <v>0</v>
      </c>
      <c r="L169" s="21">
        <f>IF(ISTEXT('ENTERED ON'!D169), 0, IFERROR('ENTERED ON'!D169, 0))</f>
        <v>0</v>
      </c>
      <c r="M169" s="1">
        <f>Table1[[#This Row],[Check out ]]-Table1[[#This Row],[Check in ]]</f>
        <v>0</v>
      </c>
      <c r="N169" s="1"/>
      <c r="O169" s="1">
        <f t="shared" si="33"/>
        <v>0</v>
      </c>
      <c r="P169" s="1">
        <f t="shared" si="34"/>
        <v>0</v>
      </c>
      <c r="Q169" s="1">
        <f t="shared" si="35"/>
        <v>0</v>
      </c>
      <c r="R169" s="1">
        <f t="shared" si="36"/>
        <v>0</v>
      </c>
      <c r="S169" s="1">
        <f t="shared" si="37"/>
        <v>0</v>
      </c>
      <c r="T169" s="1">
        <f t="shared" si="38"/>
        <v>0</v>
      </c>
      <c r="U169" s="1">
        <f t="shared" si="39"/>
        <v>0</v>
      </c>
      <c r="V169" s="1">
        <f t="shared" si="40"/>
        <v>0</v>
      </c>
      <c r="W169" s="1">
        <f t="shared" si="41"/>
        <v>0</v>
      </c>
      <c r="X169" s="1">
        <f t="shared" si="42"/>
        <v>0</v>
      </c>
      <c r="Y169" s="15">
        <f t="shared" si="43"/>
        <v>0</v>
      </c>
    </row>
    <row r="170" spans="1:25" x14ac:dyDescent="0.25">
      <c r="A170" s="18" t="str">
        <f>IF(OR(ISNUMBER('ENTERED ON'!M170), 'ENTERED ON'!M170=""), "M&amp;C / RESV/ OTHERS", 'ENTERED ON'!M170)</f>
        <v>M&amp;C / RESV/ OTHERS</v>
      </c>
      <c r="B170" s="18">
        <f>IF(ISTEXT(Table1[[#This Row],[ROOM TYPE]]), 1, 0)</f>
        <v>0</v>
      </c>
      <c r="C170" s="18">
        <f>IF(ISNUMBER('ENTERED ON'!L170), 0, 'ENTERED ON'!L170)</f>
        <v>0</v>
      </c>
      <c r="D170" s="18">
        <f>'ENTERED ON'!G170</f>
        <v>0</v>
      </c>
      <c r="E170" s="18">
        <f>IF(ISTEXT('ENTERED ON'!Q170), 1, 0)</f>
        <v>0</v>
      </c>
      <c r="F170" s="18">
        <f>IF(ISTEXT('ENTERED ON'!R169), 1, 0)</f>
        <v>0</v>
      </c>
      <c r="G170" s="18">
        <f>IFERROR(IF(ISTEXT('ENTERED ON'!P170), 0, 'ENTERED ON'!P170*1.1), 0)</f>
        <v>0</v>
      </c>
      <c r="H170" s="28">
        <f>IF(ISTEXT(G170), 0, Table1[[#This Row],[Amount]] / 'COMPANY PROD'!$V$33)</f>
        <v>0</v>
      </c>
      <c r="I170" s="28">
        <f>Table1[[#This Row],[NIGHTS]]/'COMPANY PROD'!$V$41</f>
        <v>0</v>
      </c>
      <c r="J170" s="16">
        <f>IFERROR(Table1[[#This Row],[Amount]]/Table1[[#This Row],[NIGHTS]],0)</f>
        <v>0</v>
      </c>
      <c r="K170" s="21">
        <f>IF(ISTEXT('ENTERED ON'!C170), 0, IFERROR('ENTERED ON'!C170, 0))</f>
        <v>0</v>
      </c>
      <c r="L170" s="21">
        <f>IF(ISTEXT('ENTERED ON'!D170), 0, IFERROR('ENTERED ON'!D170, 0))</f>
        <v>0</v>
      </c>
      <c r="M170" s="1">
        <f>Table1[[#This Row],[Check out ]]-Table1[[#This Row],[Check in ]]</f>
        <v>0</v>
      </c>
      <c r="N170" s="1"/>
      <c r="O170" s="1">
        <f t="shared" si="33"/>
        <v>0</v>
      </c>
      <c r="P170" s="1">
        <f t="shared" si="34"/>
        <v>0</v>
      </c>
      <c r="Q170" s="1">
        <f t="shared" si="35"/>
        <v>0</v>
      </c>
      <c r="R170" s="1">
        <f t="shared" si="36"/>
        <v>0</v>
      </c>
      <c r="S170" s="1">
        <f t="shared" si="37"/>
        <v>0</v>
      </c>
      <c r="T170" s="1">
        <f t="shared" si="38"/>
        <v>0</v>
      </c>
      <c r="U170" s="1">
        <f t="shared" si="39"/>
        <v>0</v>
      </c>
      <c r="V170" s="1">
        <f t="shared" si="40"/>
        <v>0</v>
      </c>
      <c r="W170" s="1">
        <f t="shared" si="41"/>
        <v>0</v>
      </c>
      <c r="X170" s="1">
        <f t="shared" si="42"/>
        <v>0</v>
      </c>
      <c r="Y170" s="15">
        <f t="shared" si="43"/>
        <v>0</v>
      </c>
    </row>
    <row r="171" spans="1:25" x14ac:dyDescent="0.25">
      <c r="A171" s="18" t="str">
        <f>IF(OR(ISNUMBER('ENTERED ON'!M171), 'ENTERED ON'!M171=""), "M&amp;C / RESV/ OTHERS", 'ENTERED ON'!M171)</f>
        <v>M&amp;C / RESV/ OTHERS</v>
      </c>
      <c r="B171" s="18">
        <f>IF(ISTEXT(Table1[[#This Row],[ROOM TYPE]]), 1, 0)</f>
        <v>0</v>
      </c>
      <c r="C171" s="18">
        <f>IF(ISNUMBER('ENTERED ON'!L171), 0, 'ENTERED ON'!L171)</f>
        <v>0</v>
      </c>
      <c r="D171" s="18">
        <f>'ENTERED ON'!G171</f>
        <v>0</v>
      </c>
      <c r="E171" s="18">
        <f>IF(ISTEXT('ENTERED ON'!Q171), 1, 0)</f>
        <v>0</v>
      </c>
      <c r="F171" s="18">
        <f>IF(ISTEXT('ENTERED ON'!R170), 1, 0)</f>
        <v>0</v>
      </c>
      <c r="G171" s="18">
        <f>IFERROR(IF(ISTEXT('ENTERED ON'!P171), 0, 'ENTERED ON'!P171*1.1), 0)</f>
        <v>0</v>
      </c>
      <c r="H171" s="28">
        <f>IF(ISTEXT(G171), 0, Table1[[#This Row],[Amount]] / 'COMPANY PROD'!$V$33)</f>
        <v>0</v>
      </c>
      <c r="I171" s="28">
        <f>Table1[[#This Row],[NIGHTS]]/'COMPANY PROD'!$V$41</f>
        <v>0</v>
      </c>
      <c r="J171" s="16">
        <f>IFERROR(Table1[[#This Row],[Amount]]/Table1[[#This Row],[NIGHTS]],0)</f>
        <v>0</v>
      </c>
      <c r="K171" s="21">
        <f>IF(ISTEXT('ENTERED ON'!C171), 0, IFERROR('ENTERED ON'!C171, 0))</f>
        <v>0</v>
      </c>
      <c r="L171" s="21">
        <f>IF(ISTEXT('ENTERED ON'!D171), 0, IFERROR('ENTERED ON'!D171, 0))</f>
        <v>0</v>
      </c>
      <c r="M171" s="1">
        <f>Table1[[#This Row],[Check out ]]-Table1[[#This Row],[Check in ]]</f>
        <v>0</v>
      </c>
      <c r="N171" s="1"/>
      <c r="O171" s="1">
        <f t="shared" si="33"/>
        <v>0</v>
      </c>
      <c r="P171" s="1">
        <f t="shared" si="34"/>
        <v>0</v>
      </c>
      <c r="Q171" s="1">
        <f t="shared" si="35"/>
        <v>0</v>
      </c>
      <c r="R171" s="1">
        <f t="shared" si="36"/>
        <v>0</v>
      </c>
      <c r="S171" s="1">
        <f t="shared" si="37"/>
        <v>0</v>
      </c>
      <c r="T171" s="1">
        <f t="shared" si="38"/>
        <v>0</v>
      </c>
      <c r="U171" s="1">
        <f t="shared" si="39"/>
        <v>0</v>
      </c>
      <c r="V171" s="1">
        <f t="shared" si="40"/>
        <v>0</v>
      </c>
      <c r="W171" s="1">
        <f t="shared" si="41"/>
        <v>0</v>
      </c>
      <c r="X171" s="1">
        <f t="shared" si="42"/>
        <v>0</v>
      </c>
      <c r="Y171" s="15">
        <f t="shared" si="43"/>
        <v>0</v>
      </c>
    </row>
    <row r="172" spans="1:25" x14ac:dyDescent="0.25">
      <c r="A172" s="18" t="str">
        <f>IF(OR(ISNUMBER('ENTERED ON'!M172), 'ENTERED ON'!M172=""), "M&amp;C / RESV/ OTHERS", 'ENTERED ON'!M172)</f>
        <v>M&amp;C / RESV/ OTHERS</v>
      </c>
      <c r="B172" s="18">
        <f>IF(ISTEXT(Table1[[#This Row],[ROOM TYPE]]), 1, 0)</f>
        <v>0</v>
      </c>
      <c r="C172" s="18">
        <f>IF(ISNUMBER('ENTERED ON'!L172), 0, 'ENTERED ON'!L172)</f>
        <v>0</v>
      </c>
      <c r="D172" s="18">
        <f>'ENTERED ON'!G172</f>
        <v>0</v>
      </c>
      <c r="E172" s="18">
        <f>IF(ISTEXT('ENTERED ON'!Q172), 1, 0)</f>
        <v>0</v>
      </c>
      <c r="F172" s="18">
        <f>IF(ISTEXT('ENTERED ON'!R171), 1, 0)</f>
        <v>0</v>
      </c>
      <c r="G172" s="18">
        <f>IFERROR(IF(ISTEXT('ENTERED ON'!P172), 0, 'ENTERED ON'!P172*1.1), 0)</f>
        <v>0</v>
      </c>
      <c r="H172" s="28">
        <f>IF(ISTEXT(G172), 0, Table1[[#This Row],[Amount]] / 'COMPANY PROD'!$V$33)</f>
        <v>0</v>
      </c>
      <c r="I172" s="28">
        <f>Table1[[#This Row],[NIGHTS]]/'COMPANY PROD'!$V$41</f>
        <v>0</v>
      </c>
      <c r="J172" s="16">
        <f>IFERROR(Table1[[#This Row],[Amount]]/Table1[[#This Row],[NIGHTS]],0)</f>
        <v>0</v>
      </c>
      <c r="K172" s="21">
        <f>IF(ISTEXT('ENTERED ON'!C172), 0, IFERROR('ENTERED ON'!C172, 0))</f>
        <v>0</v>
      </c>
      <c r="L172" s="21">
        <f>IF(ISTEXT('ENTERED ON'!D172), 0, IFERROR('ENTERED ON'!D172, 0))</f>
        <v>0</v>
      </c>
      <c r="M172" s="1">
        <f>Table1[[#This Row],[Check out ]]-Table1[[#This Row],[Check in ]]</f>
        <v>0</v>
      </c>
      <c r="N172" s="1"/>
      <c r="O172" s="1">
        <f t="shared" si="33"/>
        <v>0</v>
      </c>
      <c r="P172" s="1">
        <f t="shared" si="34"/>
        <v>0</v>
      </c>
      <c r="Q172" s="1">
        <f t="shared" si="35"/>
        <v>0</v>
      </c>
      <c r="R172" s="1">
        <f t="shared" si="36"/>
        <v>0</v>
      </c>
      <c r="S172" s="1">
        <f t="shared" si="37"/>
        <v>0</v>
      </c>
      <c r="T172" s="1">
        <f t="shared" si="38"/>
        <v>0</v>
      </c>
      <c r="U172" s="1">
        <f t="shared" si="39"/>
        <v>0</v>
      </c>
      <c r="V172" s="1">
        <f t="shared" si="40"/>
        <v>0</v>
      </c>
      <c r="W172" s="1">
        <f t="shared" si="41"/>
        <v>0</v>
      </c>
      <c r="X172" s="1">
        <f t="shared" si="42"/>
        <v>0</v>
      </c>
      <c r="Y172" s="15">
        <f t="shared" si="43"/>
        <v>0</v>
      </c>
    </row>
    <row r="173" spans="1:25" x14ac:dyDescent="0.25">
      <c r="A173" s="18" t="str">
        <f>IF(OR(ISNUMBER('ENTERED ON'!M173), 'ENTERED ON'!M173=""), "M&amp;C / RESV/ OTHERS", 'ENTERED ON'!M173)</f>
        <v>M&amp;C / RESV/ OTHERS</v>
      </c>
      <c r="B173" s="18">
        <f>IF(ISTEXT(Table1[[#This Row],[ROOM TYPE]]), 1, 0)</f>
        <v>0</v>
      </c>
      <c r="C173" s="18">
        <f>IF(ISNUMBER('ENTERED ON'!L173), 0, 'ENTERED ON'!L173)</f>
        <v>0</v>
      </c>
      <c r="D173" s="18">
        <f>'ENTERED ON'!G173</f>
        <v>0</v>
      </c>
      <c r="E173" s="18">
        <f>IF(ISTEXT('ENTERED ON'!Q173), 1, 0)</f>
        <v>0</v>
      </c>
      <c r="F173" s="18">
        <f>IF(ISTEXT('ENTERED ON'!R172), 1, 0)</f>
        <v>0</v>
      </c>
      <c r="G173" s="18">
        <f>IFERROR(IF(ISTEXT('ENTERED ON'!P173), 0, 'ENTERED ON'!P173*1.1), 0)</f>
        <v>0</v>
      </c>
      <c r="H173" s="28">
        <f>IF(ISTEXT(G173), 0, Table1[[#This Row],[Amount]] / 'COMPANY PROD'!$V$33)</f>
        <v>0</v>
      </c>
      <c r="I173" s="28">
        <f>Table1[[#This Row],[NIGHTS]]/'COMPANY PROD'!$V$41</f>
        <v>0</v>
      </c>
      <c r="J173" s="16">
        <f>IFERROR(Table1[[#This Row],[Amount]]/Table1[[#This Row],[NIGHTS]],0)</f>
        <v>0</v>
      </c>
      <c r="K173" s="21">
        <f>IF(ISTEXT('ENTERED ON'!C173), 0, IFERROR('ENTERED ON'!C173, 0))</f>
        <v>0</v>
      </c>
      <c r="L173" s="21">
        <f>IF(ISTEXT('ENTERED ON'!D173), 0, IFERROR('ENTERED ON'!D173, 0))</f>
        <v>0</v>
      </c>
      <c r="M173" s="1">
        <f>Table1[[#This Row],[Check out ]]-Table1[[#This Row],[Check in ]]</f>
        <v>0</v>
      </c>
      <c r="N173" s="1"/>
      <c r="O173" s="1">
        <f t="shared" si="33"/>
        <v>0</v>
      </c>
      <c r="P173" s="1">
        <f t="shared" si="34"/>
        <v>0</v>
      </c>
      <c r="Q173" s="1">
        <f t="shared" si="35"/>
        <v>0</v>
      </c>
      <c r="R173" s="1">
        <f t="shared" si="36"/>
        <v>0</v>
      </c>
      <c r="S173" s="1">
        <f t="shared" si="37"/>
        <v>0</v>
      </c>
      <c r="T173" s="1">
        <f t="shared" si="38"/>
        <v>0</v>
      </c>
      <c r="U173" s="1">
        <f t="shared" si="39"/>
        <v>0</v>
      </c>
      <c r="V173" s="1">
        <f t="shared" si="40"/>
        <v>0</v>
      </c>
      <c r="W173" s="1">
        <f t="shared" si="41"/>
        <v>0</v>
      </c>
      <c r="X173" s="1">
        <f t="shared" si="42"/>
        <v>0</v>
      </c>
      <c r="Y173" s="15">
        <f t="shared" si="43"/>
        <v>0</v>
      </c>
    </row>
    <row r="174" spans="1:25" x14ac:dyDescent="0.25">
      <c r="A174" s="18" t="str">
        <f>IF(OR(ISNUMBER('ENTERED ON'!M174), 'ENTERED ON'!M174=""), "M&amp;C / RESV/ OTHERS", 'ENTERED ON'!M174)</f>
        <v>M&amp;C / RESV/ OTHERS</v>
      </c>
      <c r="B174" s="18">
        <f>IF(ISTEXT(Table1[[#This Row],[ROOM TYPE]]), 1, 0)</f>
        <v>0</v>
      </c>
      <c r="C174" s="18">
        <f>IF(ISNUMBER('ENTERED ON'!L174), 0, 'ENTERED ON'!L174)</f>
        <v>0</v>
      </c>
      <c r="D174" s="18">
        <f>'ENTERED ON'!G174</f>
        <v>0</v>
      </c>
      <c r="E174" s="18">
        <f>IF(ISTEXT('ENTERED ON'!Q174), 1, 0)</f>
        <v>0</v>
      </c>
      <c r="F174" s="18">
        <f>IF(ISTEXT('ENTERED ON'!R173), 1, 0)</f>
        <v>0</v>
      </c>
      <c r="G174" s="18">
        <f>IFERROR(IF(ISTEXT('ENTERED ON'!P174), 0, 'ENTERED ON'!P174*1.1), 0)</f>
        <v>0</v>
      </c>
      <c r="H174" s="28">
        <f>IF(ISTEXT(G174), 0, Table1[[#This Row],[Amount]] / 'COMPANY PROD'!$V$33)</f>
        <v>0</v>
      </c>
      <c r="I174" s="28">
        <f>Table1[[#This Row],[NIGHTS]]/'COMPANY PROD'!$V$41</f>
        <v>0</v>
      </c>
      <c r="J174" s="16">
        <f>IFERROR(Table1[[#This Row],[Amount]]/Table1[[#This Row],[NIGHTS]],0)</f>
        <v>0</v>
      </c>
      <c r="K174" s="21">
        <f>IF(ISTEXT('ENTERED ON'!C174), 0, IFERROR('ENTERED ON'!C174, 0))</f>
        <v>0</v>
      </c>
      <c r="L174" s="21">
        <f>IF(ISTEXT('ENTERED ON'!D174), 0, IFERROR('ENTERED ON'!D174, 0))</f>
        <v>0</v>
      </c>
      <c r="M174" s="1">
        <f>Table1[[#This Row],[Check out ]]-Table1[[#This Row],[Check in ]]</f>
        <v>0</v>
      </c>
      <c r="N174" s="1"/>
      <c r="O174" s="1">
        <f t="shared" si="33"/>
        <v>0</v>
      </c>
      <c r="P174" s="1">
        <f t="shared" si="34"/>
        <v>0</v>
      </c>
      <c r="Q174" s="1">
        <f t="shared" si="35"/>
        <v>0</v>
      </c>
      <c r="R174" s="1">
        <f t="shared" si="36"/>
        <v>0</v>
      </c>
      <c r="S174" s="1">
        <f t="shared" si="37"/>
        <v>0</v>
      </c>
      <c r="T174" s="1">
        <f t="shared" si="38"/>
        <v>0</v>
      </c>
      <c r="U174" s="1">
        <f t="shared" si="39"/>
        <v>0</v>
      </c>
      <c r="V174" s="1">
        <f t="shared" si="40"/>
        <v>0</v>
      </c>
      <c r="W174" s="1">
        <f t="shared" si="41"/>
        <v>0</v>
      </c>
      <c r="X174" s="1">
        <f t="shared" si="42"/>
        <v>0</v>
      </c>
      <c r="Y174" s="15">
        <f t="shared" si="43"/>
        <v>0</v>
      </c>
    </row>
    <row r="175" spans="1:25" x14ac:dyDescent="0.25">
      <c r="A175" s="18" t="str">
        <f>IF(OR(ISNUMBER('ENTERED ON'!M175), 'ENTERED ON'!M175=""), "M&amp;C / RESV/ OTHERS", 'ENTERED ON'!M175)</f>
        <v>M&amp;C / RESV/ OTHERS</v>
      </c>
      <c r="B175" s="18">
        <f>IF(ISTEXT(Table1[[#This Row],[ROOM TYPE]]), 1, 0)</f>
        <v>0</v>
      </c>
      <c r="C175" s="18">
        <f>IF(ISNUMBER('ENTERED ON'!L175), 0, 'ENTERED ON'!L175)</f>
        <v>0</v>
      </c>
      <c r="D175" s="18">
        <f>'ENTERED ON'!G175</f>
        <v>0</v>
      </c>
      <c r="E175" s="18">
        <f>IF(ISTEXT('ENTERED ON'!Q175), 1, 0)</f>
        <v>0</v>
      </c>
      <c r="F175" s="18">
        <f>IF(ISTEXT('ENTERED ON'!R174), 1, 0)</f>
        <v>0</v>
      </c>
      <c r="G175" s="18">
        <f>IFERROR(IF(ISTEXT('ENTERED ON'!P175), 0, 'ENTERED ON'!P175*1.1), 0)</f>
        <v>0</v>
      </c>
      <c r="H175" s="28">
        <f>IF(ISTEXT(G175), 0, Table1[[#This Row],[Amount]] / 'COMPANY PROD'!$V$33)</f>
        <v>0</v>
      </c>
      <c r="I175" s="28">
        <f>Table1[[#This Row],[NIGHTS]]/'COMPANY PROD'!$V$41</f>
        <v>0</v>
      </c>
      <c r="J175" s="16">
        <f>IFERROR(Table1[[#This Row],[Amount]]/Table1[[#This Row],[NIGHTS]],0)</f>
        <v>0</v>
      </c>
      <c r="K175" s="21">
        <f>IF(ISTEXT('ENTERED ON'!C175), 0, IFERROR('ENTERED ON'!C175, 0))</f>
        <v>0</v>
      </c>
      <c r="L175" s="21">
        <f>IF(ISTEXT('ENTERED ON'!D175), 0, IFERROR('ENTERED ON'!D175, 0))</f>
        <v>0</v>
      </c>
      <c r="M175" s="1">
        <f>Table1[[#This Row],[Check out ]]-Table1[[#This Row],[Check in ]]</f>
        <v>0</v>
      </c>
      <c r="N175" s="1"/>
      <c r="O175" s="1">
        <f t="shared" si="33"/>
        <v>0</v>
      </c>
      <c r="P175" s="1">
        <f t="shared" si="34"/>
        <v>0</v>
      </c>
      <c r="Q175" s="1">
        <f t="shared" si="35"/>
        <v>0</v>
      </c>
      <c r="R175" s="1">
        <f t="shared" si="36"/>
        <v>0</v>
      </c>
      <c r="S175" s="1">
        <f t="shared" si="37"/>
        <v>0</v>
      </c>
      <c r="T175" s="1">
        <f t="shared" si="38"/>
        <v>0</v>
      </c>
      <c r="U175" s="1">
        <f t="shared" si="39"/>
        <v>0</v>
      </c>
      <c r="V175" s="1">
        <f t="shared" si="40"/>
        <v>0</v>
      </c>
      <c r="W175" s="1">
        <f t="shared" si="41"/>
        <v>0</v>
      </c>
      <c r="X175" s="1">
        <f t="shared" si="42"/>
        <v>0</v>
      </c>
      <c r="Y175" s="15">
        <f t="shared" si="43"/>
        <v>0</v>
      </c>
    </row>
    <row r="176" spans="1:25" x14ac:dyDescent="0.25">
      <c r="A176" s="18" t="str">
        <f>IF(OR(ISNUMBER('ENTERED ON'!M176), 'ENTERED ON'!M176=""), "M&amp;C / RESV/ OTHERS", 'ENTERED ON'!M176)</f>
        <v>M&amp;C / RESV/ OTHERS</v>
      </c>
      <c r="B176" s="18">
        <f>IF(ISTEXT(Table1[[#This Row],[ROOM TYPE]]), 1, 0)</f>
        <v>0</v>
      </c>
      <c r="C176" s="18">
        <f>IF(ISNUMBER('ENTERED ON'!L176), 0, 'ENTERED ON'!L176)</f>
        <v>0</v>
      </c>
      <c r="D176" s="18">
        <f>'ENTERED ON'!G176</f>
        <v>0</v>
      </c>
      <c r="E176" s="18">
        <f>IF(ISTEXT('ENTERED ON'!Q176), 1, 0)</f>
        <v>0</v>
      </c>
      <c r="F176" s="18">
        <f>IF(ISTEXT('ENTERED ON'!R175), 1, 0)</f>
        <v>0</v>
      </c>
      <c r="G176" s="18">
        <f>IFERROR(IF(ISTEXT('ENTERED ON'!P176), 0, 'ENTERED ON'!P176*1.1), 0)</f>
        <v>0</v>
      </c>
      <c r="H176" s="28">
        <f>IF(ISTEXT(G176), 0, Table1[[#This Row],[Amount]] / 'COMPANY PROD'!$V$33)</f>
        <v>0</v>
      </c>
      <c r="I176" s="28">
        <f>Table1[[#This Row],[NIGHTS]]/'COMPANY PROD'!$V$41</f>
        <v>0</v>
      </c>
      <c r="J176" s="16">
        <f>IFERROR(Table1[[#This Row],[Amount]]/Table1[[#This Row],[NIGHTS]],0)</f>
        <v>0</v>
      </c>
      <c r="K176" s="21">
        <f>IF(ISTEXT('ENTERED ON'!C176), 0, IFERROR('ENTERED ON'!C176, 0))</f>
        <v>0</v>
      </c>
      <c r="L176" s="21">
        <f>IF(ISTEXT('ENTERED ON'!D176), 0, IFERROR('ENTERED ON'!D176, 0))</f>
        <v>0</v>
      </c>
      <c r="M176" s="1">
        <f>Table1[[#This Row],[Check out ]]-Table1[[#This Row],[Check in ]]</f>
        <v>0</v>
      </c>
      <c r="N176" s="1"/>
      <c r="O176" s="1">
        <f t="shared" si="33"/>
        <v>0</v>
      </c>
      <c r="P176" s="1">
        <f t="shared" si="34"/>
        <v>0</v>
      </c>
      <c r="Q176" s="1">
        <f t="shared" si="35"/>
        <v>0</v>
      </c>
      <c r="R176" s="1">
        <f t="shared" si="36"/>
        <v>0</v>
      </c>
      <c r="S176" s="1">
        <f t="shared" si="37"/>
        <v>0</v>
      </c>
      <c r="T176" s="1">
        <f t="shared" si="38"/>
        <v>0</v>
      </c>
      <c r="U176" s="1">
        <f t="shared" si="39"/>
        <v>0</v>
      </c>
      <c r="V176" s="1">
        <f t="shared" si="40"/>
        <v>0</v>
      </c>
      <c r="W176" s="1">
        <f t="shared" si="41"/>
        <v>0</v>
      </c>
      <c r="X176" s="1">
        <f t="shared" si="42"/>
        <v>0</v>
      </c>
      <c r="Y176" s="15">
        <f t="shared" si="43"/>
        <v>0</v>
      </c>
    </row>
    <row r="177" spans="1:25" x14ac:dyDescent="0.25">
      <c r="A177" s="18" t="str">
        <f>IF(OR(ISNUMBER('ENTERED ON'!M177), 'ENTERED ON'!M177=""), "M&amp;C / RESV/ OTHERS", 'ENTERED ON'!M177)</f>
        <v>M&amp;C / RESV/ OTHERS</v>
      </c>
      <c r="B177" s="18">
        <f>IF(ISTEXT(Table1[[#This Row],[ROOM TYPE]]), 1, 0)</f>
        <v>0</v>
      </c>
      <c r="C177" s="18">
        <f>IF(ISNUMBER('ENTERED ON'!L177), 0, 'ENTERED ON'!L177)</f>
        <v>0</v>
      </c>
      <c r="D177" s="18">
        <f>'ENTERED ON'!G177</f>
        <v>0</v>
      </c>
      <c r="E177" s="18">
        <f>IF(ISTEXT('ENTERED ON'!Q177), 1, 0)</f>
        <v>0</v>
      </c>
      <c r="F177" s="18">
        <f>IF(ISTEXT('ENTERED ON'!R176), 1, 0)</f>
        <v>0</v>
      </c>
      <c r="G177" s="18">
        <f>IFERROR(IF(ISTEXT('ENTERED ON'!P177), 0, 'ENTERED ON'!P177*1.1), 0)</f>
        <v>0</v>
      </c>
      <c r="H177" s="28">
        <f>IF(ISTEXT(G177), 0, Table1[[#This Row],[Amount]] / 'COMPANY PROD'!$V$33)</f>
        <v>0</v>
      </c>
      <c r="I177" s="28">
        <f>Table1[[#This Row],[NIGHTS]]/'COMPANY PROD'!$V$41</f>
        <v>0</v>
      </c>
      <c r="J177" s="16">
        <f>IFERROR(Table1[[#This Row],[Amount]]/Table1[[#This Row],[NIGHTS]],0)</f>
        <v>0</v>
      </c>
      <c r="K177" s="21">
        <f>IF(ISTEXT('ENTERED ON'!C177), 0, IFERROR('ENTERED ON'!C177, 0))</f>
        <v>0</v>
      </c>
      <c r="L177" s="21">
        <f>IF(ISTEXT('ENTERED ON'!D177), 0, IFERROR('ENTERED ON'!D177, 0))</f>
        <v>0</v>
      </c>
      <c r="M177" s="1">
        <f>Table1[[#This Row],[Check out ]]-Table1[[#This Row],[Check in ]]</f>
        <v>0</v>
      </c>
      <c r="N177" s="1"/>
      <c r="O177" s="1">
        <f t="shared" si="33"/>
        <v>0</v>
      </c>
      <c r="P177" s="1">
        <f t="shared" si="34"/>
        <v>0</v>
      </c>
      <c r="Q177" s="1">
        <f t="shared" si="35"/>
        <v>0</v>
      </c>
      <c r="R177" s="1">
        <f t="shared" si="36"/>
        <v>0</v>
      </c>
      <c r="S177" s="1">
        <f t="shared" si="37"/>
        <v>0</v>
      </c>
      <c r="T177" s="1">
        <f t="shared" si="38"/>
        <v>0</v>
      </c>
      <c r="U177" s="1">
        <f t="shared" si="39"/>
        <v>0</v>
      </c>
      <c r="V177" s="1">
        <f t="shared" si="40"/>
        <v>0</v>
      </c>
      <c r="W177" s="1">
        <f t="shared" si="41"/>
        <v>0</v>
      </c>
      <c r="X177" s="1">
        <f t="shared" si="42"/>
        <v>0</v>
      </c>
      <c r="Y177" s="15">
        <f t="shared" si="43"/>
        <v>0</v>
      </c>
    </row>
    <row r="178" spans="1:25" x14ac:dyDescent="0.25">
      <c r="A178" s="18" t="str">
        <f>IF(OR(ISNUMBER('ENTERED ON'!M178), 'ENTERED ON'!M178=""), "M&amp;C / RESV/ OTHERS", 'ENTERED ON'!M178)</f>
        <v>M&amp;C / RESV/ OTHERS</v>
      </c>
      <c r="B178" s="18">
        <f>IF(ISTEXT(Table1[[#This Row],[ROOM TYPE]]), 1, 0)</f>
        <v>0</v>
      </c>
      <c r="C178" s="18">
        <f>IF(ISNUMBER('ENTERED ON'!L178), 0, 'ENTERED ON'!L178)</f>
        <v>0</v>
      </c>
      <c r="D178" s="18">
        <f>'ENTERED ON'!G178</f>
        <v>0</v>
      </c>
      <c r="E178" s="18">
        <f>IF(ISTEXT('ENTERED ON'!Q178), 1, 0)</f>
        <v>0</v>
      </c>
      <c r="F178" s="18">
        <f>IF(ISTEXT('ENTERED ON'!R177), 1, 0)</f>
        <v>0</v>
      </c>
      <c r="G178" s="18">
        <f>IFERROR(IF(ISTEXT('ENTERED ON'!P178), 0, 'ENTERED ON'!P178*1.1), 0)</f>
        <v>0</v>
      </c>
      <c r="H178" s="28">
        <f>IF(ISTEXT(G178), 0, Table1[[#This Row],[Amount]] / 'COMPANY PROD'!$V$33)</f>
        <v>0</v>
      </c>
      <c r="I178" s="28">
        <f>Table1[[#This Row],[NIGHTS]]/'COMPANY PROD'!$V$41</f>
        <v>0</v>
      </c>
      <c r="J178" s="16">
        <f>IFERROR(Table1[[#This Row],[Amount]]/Table1[[#This Row],[NIGHTS]],0)</f>
        <v>0</v>
      </c>
      <c r="K178" s="21">
        <f>IF(ISTEXT('ENTERED ON'!C178), 0, IFERROR('ENTERED ON'!C178, 0))</f>
        <v>0</v>
      </c>
      <c r="L178" s="21">
        <f>IF(ISTEXT('ENTERED ON'!D178), 0, IFERROR('ENTERED ON'!D178, 0))</f>
        <v>0</v>
      </c>
      <c r="M178" s="1">
        <f>Table1[[#This Row],[Check out ]]-Table1[[#This Row],[Check in ]]</f>
        <v>0</v>
      </c>
      <c r="N178" s="1"/>
      <c r="O178" s="1">
        <f t="shared" si="33"/>
        <v>0</v>
      </c>
      <c r="P178" s="1">
        <f t="shared" si="34"/>
        <v>0</v>
      </c>
      <c r="Q178" s="1">
        <f t="shared" si="35"/>
        <v>0</v>
      </c>
      <c r="R178" s="1">
        <f t="shared" si="36"/>
        <v>0</v>
      </c>
      <c r="S178" s="1">
        <f t="shared" si="37"/>
        <v>0</v>
      </c>
      <c r="T178" s="1">
        <f t="shared" si="38"/>
        <v>0</v>
      </c>
      <c r="U178" s="1">
        <f t="shared" si="39"/>
        <v>0</v>
      </c>
      <c r="V178" s="1">
        <f t="shared" si="40"/>
        <v>0</v>
      </c>
      <c r="W178" s="1">
        <f t="shared" si="41"/>
        <v>0</v>
      </c>
      <c r="X178" s="1">
        <f t="shared" si="42"/>
        <v>0</v>
      </c>
      <c r="Y178" s="15">
        <f t="shared" si="43"/>
        <v>0</v>
      </c>
    </row>
    <row r="179" spans="1:25" x14ac:dyDescent="0.25">
      <c r="A179" s="18" t="str">
        <f>IF(OR(ISNUMBER('ENTERED ON'!M179), 'ENTERED ON'!M179=""), "M&amp;C / RESV/ OTHERS", 'ENTERED ON'!M179)</f>
        <v>M&amp;C / RESV/ OTHERS</v>
      </c>
      <c r="B179" s="18">
        <f>IF(ISTEXT(Table1[[#This Row],[ROOM TYPE]]), 1, 0)</f>
        <v>0</v>
      </c>
      <c r="C179" s="18">
        <f>IF(ISNUMBER('ENTERED ON'!L179), 0, 'ENTERED ON'!L179)</f>
        <v>0</v>
      </c>
      <c r="D179" s="18">
        <f>'ENTERED ON'!G179</f>
        <v>0</v>
      </c>
      <c r="E179" s="18">
        <f>IF(ISTEXT('ENTERED ON'!Q179), 1, 0)</f>
        <v>0</v>
      </c>
      <c r="F179" s="18">
        <f>IF(ISTEXT('ENTERED ON'!R178), 1, 0)</f>
        <v>0</v>
      </c>
      <c r="G179" s="18">
        <f>IFERROR(IF(ISTEXT('ENTERED ON'!P179), 0, 'ENTERED ON'!P179*1.1), 0)</f>
        <v>0</v>
      </c>
      <c r="H179" s="28">
        <f>IF(ISTEXT(G179), 0, Table1[[#This Row],[Amount]] / 'COMPANY PROD'!$V$33)</f>
        <v>0</v>
      </c>
      <c r="I179" s="28">
        <f>Table1[[#This Row],[NIGHTS]]/'COMPANY PROD'!$V$41</f>
        <v>0</v>
      </c>
      <c r="J179" s="16">
        <f>IFERROR(Table1[[#This Row],[Amount]]/Table1[[#This Row],[NIGHTS]],0)</f>
        <v>0</v>
      </c>
      <c r="K179" s="21">
        <f>IF(ISTEXT('ENTERED ON'!C179), 0, IFERROR('ENTERED ON'!C179, 0))</f>
        <v>0</v>
      </c>
      <c r="L179" s="21">
        <f>IF(ISTEXT('ENTERED ON'!D179), 0, IFERROR('ENTERED ON'!D179, 0))</f>
        <v>0</v>
      </c>
      <c r="M179" s="1">
        <f>Table1[[#This Row],[Check out ]]-Table1[[#This Row],[Check in ]]</f>
        <v>0</v>
      </c>
      <c r="N179" s="1"/>
      <c r="O179" s="1">
        <f t="shared" si="33"/>
        <v>0</v>
      </c>
      <c r="P179" s="1">
        <f t="shared" si="34"/>
        <v>0</v>
      </c>
      <c r="Q179" s="1">
        <f t="shared" si="35"/>
        <v>0</v>
      </c>
      <c r="R179" s="1">
        <f t="shared" si="36"/>
        <v>0</v>
      </c>
      <c r="S179" s="1">
        <f t="shared" si="37"/>
        <v>0</v>
      </c>
      <c r="T179" s="1">
        <f t="shared" si="38"/>
        <v>0</v>
      </c>
      <c r="U179" s="1">
        <f t="shared" si="39"/>
        <v>0</v>
      </c>
      <c r="V179" s="1">
        <f t="shared" si="40"/>
        <v>0</v>
      </c>
      <c r="W179" s="1">
        <f t="shared" si="41"/>
        <v>0</v>
      </c>
      <c r="X179" s="1">
        <f t="shared" si="42"/>
        <v>0</v>
      </c>
      <c r="Y179" s="15">
        <f t="shared" si="43"/>
        <v>0</v>
      </c>
    </row>
    <row r="180" spans="1:25" x14ac:dyDescent="0.25">
      <c r="A180" s="18" t="str">
        <f>IF(OR(ISNUMBER('ENTERED ON'!M180), 'ENTERED ON'!M180=""), "M&amp;C / RESV/ OTHERS", 'ENTERED ON'!M180)</f>
        <v>M&amp;C / RESV/ OTHERS</v>
      </c>
      <c r="B180" s="18">
        <f>IF(ISTEXT(Table1[[#This Row],[ROOM TYPE]]), 1, 0)</f>
        <v>0</v>
      </c>
      <c r="C180" s="18">
        <f>IF(ISNUMBER('ENTERED ON'!L180), 0, 'ENTERED ON'!L180)</f>
        <v>0</v>
      </c>
      <c r="D180" s="18">
        <f>'ENTERED ON'!G180</f>
        <v>0</v>
      </c>
      <c r="E180" s="18">
        <f>IF(ISTEXT('ENTERED ON'!Q180), 1, 0)</f>
        <v>0</v>
      </c>
      <c r="F180" s="18">
        <f>IF(ISTEXT('ENTERED ON'!R179), 1, 0)</f>
        <v>0</v>
      </c>
      <c r="G180" s="18">
        <f>IFERROR(IF(ISTEXT('ENTERED ON'!P180), 0, 'ENTERED ON'!P180*1.1), 0)</f>
        <v>0</v>
      </c>
      <c r="H180" s="28">
        <f>IF(ISTEXT(G180), 0, Table1[[#This Row],[Amount]] / 'COMPANY PROD'!$V$33)</f>
        <v>0</v>
      </c>
      <c r="I180" s="28">
        <f>Table1[[#This Row],[NIGHTS]]/'COMPANY PROD'!$V$41</f>
        <v>0</v>
      </c>
      <c r="J180" s="16">
        <f>IFERROR(Table1[[#This Row],[Amount]]/Table1[[#This Row],[NIGHTS]],0)</f>
        <v>0</v>
      </c>
      <c r="K180" s="21">
        <f>IF(ISTEXT('ENTERED ON'!C180), 0, IFERROR('ENTERED ON'!C180, 0))</f>
        <v>0</v>
      </c>
      <c r="L180" s="21">
        <f>IF(ISTEXT('ENTERED ON'!D180), 0, IFERROR('ENTERED ON'!D180, 0))</f>
        <v>0</v>
      </c>
      <c r="M180" s="1">
        <f>Table1[[#This Row],[Check out ]]-Table1[[#This Row],[Check in ]]</f>
        <v>0</v>
      </c>
      <c r="N180" s="1"/>
      <c r="O180" s="1">
        <f t="shared" si="33"/>
        <v>0</v>
      </c>
      <c r="P180" s="1">
        <f t="shared" si="34"/>
        <v>0</v>
      </c>
      <c r="Q180" s="1">
        <f t="shared" si="35"/>
        <v>0</v>
      </c>
      <c r="R180" s="1">
        <f t="shared" si="36"/>
        <v>0</v>
      </c>
      <c r="S180" s="1">
        <f t="shared" si="37"/>
        <v>0</v>
      </c>
      <c r="T180" s="1">
        <f t="shared" si="38"/>
        <v>0</v>
      </c>
      <c r="U180" s="1">
        <f t="shared" si="39"/>
        <v>0</v>
      </c>
      <c r="V180" s="1">
        <f t="shared" si="40"/>
        <v>0</v>
      </c>
      <c r="W180" s="1">
        <f t="shared" si="41"/>
        <v>0</v>
      </c>
      <c r="X180" s="1">
        <f t="shared" si="42"/>
        <v>0</v>
      </c>
      <c r="Y180" s="15">
        <f t="shared" si="43"/>
        <v>0</v>
      </c>
    </row>
    <row r="181" spans="1:25" x14ac:dyDescent="0.25">
      <c r="A181" s="18" t="str">
        <f>IF(OR(ISNUMBER('ENTERED ON'!M181), 'ENTERED ON'!M181=""), "M&amp;C / RESV/ OTHERS", 'ENTERED ON'!M181)</f>
        <v>M&amp;C / RESV/ OTHERS</v>
      </c>
      <c r="B181" s="18">
        <f>IF(ISTEXT(Table1[[#This Row],[ROOM TYPE]]), 1, 0)</f>
        <v>0</v>
      </c>
      <c r="C181" s="18">
        <f>IF(ISNUMBER('ENTERED ON'!L181), 0, 'ENTERED ON'!L181)</f>
        <v>0</v>
      </c>
      <c r="D181" s="18">
        <f>'ENTERED ON'!G181</f>
        <v>0</v>
      </c>
      <c r="E181" s="18">
        <f>IF(ISTEXT('ENTERED ON'!Q181), 1, 0)</f>
        <v>0</v>
      </c>
      <c r="F181" s="18">
        <f>IF(ISTEXT('ENTERED ON'!R180), 1, 0)</f>
        <v>0</v>
      </c>
      <c r="G181" s="18">
        <f>IFERROR(IF(ISTEXT('ENTERED ON'!P181), 0, 'ENTERED ON'!P181*1.1), 0)</f>
        <v>0</v>
      </c>
      <c r="H181" s="28">
        <f>IF(ISTEXT(G181), 0, Table1[[#This Row],[Amount]] / 'COMPANY PROD'!$V$33)</f>
        <v>0</v>
      </c>
      <c r="I181" s="28">
        <f>Table1[[#This Row],[NIGHTS]]/'COMPANY PROD'!$V$41</f>
        <v>0</v>
      </c>
      <c r="J181" s="16">
        <f>IFERROR(Table1[[#This Row],[Amount]]/Table1[[#This Row],[NIGHTS]],0)</f>
        <v>0</v>
      </c>
      <c r="K181" s="21">
        <f>IF(ISTEXT('ENTERED ON'!C181), 0, IFERROR('ENTERED ON'!C181, 0))</f>
        <v>0</v>
      </c>
      <c r="L181" s="21">
        <f>IF(ISTEXT('ENTERED ON'!D181), 0, IFERROR('ENTERED ON'!D181, 0))</f>
        <v>0</v>
      </c>
      <c r="M181" s="1">
        <f>Table1[[#This Row],[Check out ]]-Table1[[#This Row],[Check in ]]</f>
        <v>0</v>
      </c>
      <c r="N181" s="1"/>
      <c r="O181" s="1">
        <f t="shared" si="33"/>
        <v>0</v>
      </c>
      <c r="P181" s="1">
        <f t="shared" si="34"/>
        <v>0</v>
      </c>
      <c r="Q181" s="1">
        <f t="shared" si="35"/>
        <v>0</v>
      </c>
      <c r="R181" s="1">
        <f t="shared" si="36"/>
        <v>0</v>
      </c>
      <c r="S181" s="1">
        <f t="shared" si="37"/>
        <v>0</v>
      </c>
      <c r="T181" s="1">
        <f t="shared" si="38"/>
        <v>0</v>
      </c>
      <c r="U181" s="1">
        <f t="shared" si="39"/>
        <v>0</v>
      </c>
      <c r="V181" s="1">
        <f t="shared" si="40"/>
        <v>0</v>
      </c>
      <c r="W181" s="1">
        <f t="shared" si="41"/>
        <v>0</v>
      </c>
      <c r="X181" s="1">
        <f t="shared" si="42"/>
        <v>0</v>
      </c>
      <c r="Y181" s="15">
        <f t="shared" si="43"/>
        <v>0</v>
      </c>
    </row>
    <row r="182" spans="1:25" x14ac:dyDescent="0.25">
      <c r="A182" s="18" t="str">
        <f>IF(OR(ISNUMBER('ENTERED ON'!M182), 'ENTERED ON'!M182=""), "M&amp;C / RESV/ OTHERS", 'ENTERED ON'!M182)</f>
        <v>M&amp;C / RESV/ OTHERS</v>
      </c>
      <c r="B182" s="18">
        <f>IF(ISTEXT(Table1[[#This Row],[ROOM TYPE]]), 1, 0)</f>
        <v>0</v>
      </c>
      <c r="C182" s="18">
        <f>IF(ISNUMBER('ENTERED ON'!L182), 0, 'ENTERED ON'!L182)</f>
        <v>0</v>
      </c>
      <c r="D182" s="18">
        <f>'ENTERED ON'!G182</f>
        <v>0</v>
      </c>
      <c r="E182" s="18">
        <f>IF(ISTEXT('ENTERED ON'!Q182), 1, 0)</f>
        <v>0</v>
      </c>
      <c r="F182" s="18">
        <f>IF(ISTEXT('ENTERED ON'!R181), 1, 0)</f>
        <v>0</v>
      </c>
      <c r="G182" s="18">
        <f>IFERROR(IF(ISTEXT('ENTERED ON'!P182), 0, 'ENTERED ON'!P182*1.1), 0)</f>
        <v>0</v>
      </c>
      <c r="H182" s="28">
        <f>IF(ISTEXT(G182), 0, Table1[[#This Row],[Amount]] / 'COMPANY PROD'!$V$33)</f>
        <v>0</v>
      </c>
      <c r="I182" s="28">
        <f>Table1[[#This Row],[NIGHTS]]/'COMPANY PROD'!$V$41</f>
        <v>0</v>
      </c>
      <c r="J182" s="16">
        <f>IFERROR(Table1[[#This Row],[Amount]]/Table1[[#This Row],[NIGHTS]],0)</f>
        <v>0</v>
      </c>
      <c r="K182" s="21">
        <f>IF(ISTEXT('ENTERED ON'!C182), 0, IFERROR('ENTERED ON'!C182, 0))</f>
        <v>0</v>
      </c>
      <c r="L182" s="21">
        <f>IF(ISTEXT('ENTERED ON'!D182), 0, IFERROR('ENTERED ON'!D182, 0))</f>
        <v>0</v>
      </c>
      <c r="M182" s="1">
        <f>Table1[[#This Row],[Check out ]]-Table1[[#This Row],[Check in ]]</f>
        <v>0</v>
      </c>
      <c r="N182" s="1"/>
      <c r="O182" s="1">
        <f t="shared" si="33"/>
        <v>0</v>
      </c>
      <c r="P182" s="1">
        <f t="shared" si="34"/>
        <v>0</v>
      </c>
      <c r="Q182" s="1">
        <f t="shared" si="35"/>
        <v>0</v>
      </c>
      <c r="R182" s="1">
        <f t="shared" si="36"/>
        <v>0</v>
      </c>
      <c r="S182" s="1">
        <f t="shared" si="37"/>
        <v>0</v>
      </c>
      <c r="T182" s="1">
        <f t="shared" si="38"/>
        <v>0</v>
      </c>
      <c r="U182" s="1">
        <f t="shared" si="39"/>
        <v>0</v>
      </c>
      <c r="V182" s="1">
        <f t="shared" si="40"/>
        <v>0</v>
      </c>
      <c r="W182" s="1">
        <f t="shared" si="41"/>
        <v>0</v>
      </c>
      <c r="X182" s="1">
        <f t="shared" si="42"/>
        <v>0</v>
      </c>
      <c r="Y182" s="15">
        <f t="shared" si="43"/>
        <v>0</v>
      </c>
    </row>
    <row r="183" spans="1:25" x14ac:dyDescent="0.25">
      <c r="A183" s="18" t="str">
        <f>IF(OR(ISNUMBER('ENTERED ON'!M183), 'ENTERED ON'!M183=""), "M&amp;C / RESV/ OTHERS", 'ENTERED ON'!M183)</f>
        <v>M&amp;C / RESV/ OTHERS</v>
      </c>
      <c r="B183" s="18">
        <f>IF(ISTEXT(Table1[[#This Row],[ROOM TYPE]]), 1, 0)</f>
        <v>0</v>
      </c>
      <c r="C183" s="18">
        <f>IF(ISNUMBER('ENTERED ON'!L183), 0, 'ENTERED ON'!L183)</f>
        <v>0</v>
      </c>
      <c r="D183" s="18">
        <f>'ENTERED ON'!G183</f>
        <v>0</v>
      </c>
      <c r="E183" s="18">
        <f>IF(ISTEXT('ENTERED ON'!Q183), 1, 0)</f>
        <v>0</v>
      </c>
      <c r="F183" s="18">
        <f>IF(ISTEXT('ENTERED ON'!R182), 1, 0)</f>
        <v>0</v>
      </c>
      <c r="G183" s="18">
        <f>IFERROR(IF(ISTEXT('ENTERED ON'!P183), 0, 'ENTERED ON'!P183*1.1), 0)</f>
        <v>0</v>
      </c>
      <c r="H183" s="28">
        <f>IF(ISTEXT(G183), 0, Table1[[#This Row],[Amount]] / 'COMPANY PROD'!$V$33)</f>
        <v>0</v>
      </c>
      <c r="I183" s="28">
        <f>Table1[[#This Row],[NIGHTS]]/'COMPANY PROD'!$V$41</f>
        <v>0</v>
      </c>
      <c r="J183" s="16">
        <f>IFERROR(Table1[[#This Row],[Amount]]/Table1[[#This Row],[NIGHTS]],0)</f>
        <v>0</v>
      </c>
      <c r="K183" s="21">
        <f>IF(ISTEXT('ENTERED ON'!C183), 0, IFERROR('ENTERED ON'!C183, 0))</f>
        <v>0</v>
      </c>
      <c r="L183" s="21">
        <f>IF(ISTEXT('ENTERED ON'!D183), 0, IFERROR('ENTERED ON'!D183, 0))</f>
        <v>0</v>
      </c>
      <c r="M183" s="1">
        <f>Table1[[#This Row],[Check out ]]-Table1[[#This Row],[Check in ]]</f>
        <v>0</v>
      </c>
      <c r="N183" s="1"/>
      <c r="O183" s="1">
        <f t="shared" si="33"/>
        <v>0</v>
      </c>
      <c r="P183" s="1">
        <f t="shared" si="34"/>
        <v>0</v>
      </c>
      <c r="Q183" s="1">
        <f t="shared" si="35"/>
        <v>0</v>
      </c>
      <c r="R183" s="1">
        <f t="shared" si="36"/>
        <v>0</v>
      </c>
      <c r="S183" s="1">
        <f t="shared" si="37"/>
        <v>0</v>
      </c>
      <c r="T183" s="1">
        <f t="shared" si="38"/>
        <v>0</v>
      </c>
      <c r="U183" s="1">
        <f t="shared" si="39"/>
        <v>0</v>
      </c>
      <c r="V183" s="1">
        <f t="shared" si="40"/>
        <v>0</v>
      </c>
      <c r="W183" s="1">
        <f t="shared" si="41"/>
        <v>0</v>
      </c>
      <c r="X183" s="1">
        <f t="shared" si="42"/>
        <v>0</v>
      </c>
      <c r="Y183" s="15">
        <f t="shared" si="43"/>
        <v>0</v>
      </c>
    </row>
    <row r="184" spans="1:25" x14ac:dyDescent="0.25">
      <c r="A184" s="18" t="str">
        <f>IF(OR(ISNUMBER('ENTERED ON'!M184), 'ENTERED ON'!M184=""), "M&amp;C / RESV/ OTHERS", 'ENTERED ON'!M184)</f>
        <v>M&amp;C / RESV/ OTHERS</v>
      </c>
      <c r="B184" s="18">
        <f>IF(ISTEXT(Table1[[#This Row],[ROOM TYPE]]), 1, 0)</f>
        <v>0</v>
      </c>
      <c r="C184" s="18">
        <f>IF(ISNUMBER('ENTERED ON'!L184), 0, 'ENTERED ON'!L184)</f>
        <v>0</v>
      </c>
      <c r="D184" s="18">
        <f>'ENTERED ON'!G184</f>
        <v>0</v>
      </c>
      <c r="E184" s="18">
        <f>IF(ISTEXT('ENTERED ON'!Q184), 1, 0)</f>
        <v>0</v>
      </c>
      <c r="F184" s="18">
        <f>IF(ISTEXT('ENTERED ON'!R183), 1, 0)</f>
        <v>0</v>
      </c>
      <c r="G184" s="18">
        <f>IFERROR(IF(ISTEXT('ENTERED ON'!P184), 0, 'ENTERED ON'!P184*1.1), 0)</f>
        <v>0</v>
      </c>
      <c r="H184" s="28">
        <f>IF(ISTEXT(G184), 0, Table1[[#This Row],[Amount]] / 'COMPANY PROD'!$V$33)</f>
        <v>0</v>
      </c>
      <c r="I184" s="28">
        <f>Table1[[#This Row],[NIGHTS]]/'COMPANY PROD'!$V$41</f>
        <v>0</v>
      </c>
      <c r="J184" s="16">
        <f>IFERROR(Table1[[#This Row],[Amount]]/Table1[[#This Row],[NIGHTS]],0)</f>
        <v>0</v>
      </c>
      <c r="K184" s="21">
        <f>IF(ISTEXT('ENTERED ON'!C184), 0, IFERROR('ENTERED ON'!C184, 0))</f>
        <v>0</v>
      </c>
      <c r="L184" s="21">
        <f>IF(ISTEXT('ENTERED ON'!D184), 0, IFERROR('ENTERED ON'!D184, 0))</f>
        <v>0</v>
      </c>
      <c r="M184" s="1">
        <f>Table1[[#This Row],[Check out ]]-Table1[[#This Row],[Check in ]]</f>
        <v>0</v>
      </c>
      <c r="N184" s="1"/>
      <c r="O184" s="1">
        <f t="shared" si="33"/>
        <v>0</v>
      </c>
      <c r="P184" s="1">
        <f t="shared" si="34"/>
        <v>0</v>
      </c>
      <c r="Q184" s="1">
        <f t="shared" si="35"/>
        <v>0</v>
      </c>
      <c r="R184" s="1">
        <f t="shared" si="36"/>
        <v>0</v>
      </c>
      <c r="S184" s="1">
        <f t="shared" si="37"/>
        <v>0</v>
      </c>
      <c r="T184" s="1">
        <f t="shared" si="38"/>
        <v>0</v>
      </c>
      <c r="U184" s="1">
        <f t="shared" si="39"/>
        <v>0</v>
      </c>
      <c r="V184" s="1">
        <f t="shared" si="40"/>
        <v>0</v>
      </c>
      <c r="W184" s="1">
        <f t="shared" si="41"/>
        <v>0</v>
      </c>
      <c r="X184" s="1">
        <f t="shared" si="42"/>
        <v>0</v>
      </c>
      <c r="Y184" s="15">
        <f t="shared" si="43"/>
        <v>0</v>
      </c>
    </row>
    <row r="185" spans="1:25" x14ac:dyDescent="0.25">
      <c r="A185" s="18" t="str">
        <f>IF(OR(ISNUMBER('ENTERED ON'!M185), 'ENTERED ON'!M185=""), "M&amp;C / RESV/ OTHERS", 'ENTERED ON'!M185)</f>
        <v>M&amp;C / RESV/ OTHERS</v>
      </c>
      <c r="B185" s="18">
        <f>IF(ISTEXT(Table1[[#This Row],[ROOM TYPE]]), 1, 0)</f>
        <v>0</v>
      </c>
      <c r="C185" s="18">
        <f>IF(ISNUMBER('ENTERED ON'!L185), 0, 'ENTERED ON'!L185)</f>
        <v>0</v>
      </c>
      <c r="D185" s="18">
        <f>'ENTERED ON'!G185</f>
        <v>0</v>
      </c>
      <c r="E185" s="18">
        <f>IF(ISTEXT('ENTERED ON'!Q185), 1, 0)</f>
        <v>0</v>
      </c>
      <c r="F185" s="18">
        <f>IF(ISTEXT('ENTERED ON'!R184), 1, 0)</f>
        <v>0</v>
      </c>
      <c r="G185" s="18">
        <f>IFERROR(IF(ISTEXT('ENTERED ON'!P185), 0, 'ENTERED ON'!P185*1.1), 0)</f>
        <v>0</v>
      </c>
      <c r="H185" s="28">
        <f>IF(ISTEXT(G185), 0, Table1[[#This Row],[Amount]] / 'COMPANY PROD'!$V$33)</f>
        <v>0</v>
      </c>
      <c r="I185" s="28">
        <f>Table1[[#This Row],[NIGHTS]]/'COMPANY PROD'!$V$41</f>
        <v>0</v>
      </c>
      <c r="J185" s="16">
        <f>IFERROR(Table1[[#This Row],[Amount]]/Table1[[#This Row],[NIGHTS]],0)</f>
        <v>0</v>
      </c>
      <c r="K185" s="21">
        <f>IF(ISTEXT('ENTERED ON'!C185), 0, IFERROR('ENTERED ON'!C185, 0))</f>
        <v>0</v>
      </c>
      <c r="L185" s="21">
        <f>IF(ISTEXT('ENTERED ON'!D185), 0, IFERROR('ENTERED ON'!D185, 0))</f>
        <v>0</v>
      </c>
      <c r="M185" s="1">
        <f>Table1[[#This Row],[Check out ]]-Table1[[#This Row],[Check in ]]</f>
        <v>0</v>
      </c>
      <c r="N185" s="1"/>
      <c r="O185" s="1">
        <f t="shared" si="33"/>
        <v>0</v>
      </c>
      <c r="P185" s="1">
        <f t="shared" si="34"/>
        <v>0</v>
      </c>
      <c r="Q185" s="1">
        <f t="shared" si="35"/>
        <v>0</v>
      </c>
      <c r="R185" s="1">
        <f t="shared" si="36"/>
        <v>0</v>
      </c>
      <c r="S185" s="1">
        <f t="shared" si="37"/>
        <v>0</v>
      </c>
      <c r="T185" s="1">
        <f t="shared" si="38"/>
        <v>0</v>
      </c>
      <c r="U185" s="1">
        <f t="shared" si="39"/>
        <v>0</v>
      </c>
      <c r="V185" s="1">
        <f t="shared" si="40"/>
        <v>0</v>
      </c>
      <c r="W185" s="1">
        <f t="shared" si="41"/>
        <v>0</v>
      </c>
      <c r="X185" s="1">
        <f t="shared" si="42"/>
        <v>0</v>
      </c>
      <c r="Y185" s="15">
        <f t="shared" si="43"/>
        <v>0</v>
      </c>
    </row>
    <row r="186" spans="1:25" x14ac:dyDescent="0.25">
      <c r="A186" s="18" t="str">
        <f>IF(OR(ISNUMBER('ENTERED ON'!M186), 'ENTERED ON'!M186=""), "M&amp;C / RESV/ OTHERS", 'ENTERED ON'!M186)</f>
        <v>M&amp;C / RESV/ OTHERS</v>
      </c>
      <c r="B186" s="18">
        <f>IF(ISTEXT(Table1[[#This Row],[ROOM TYPE]]), 1, 0)</f>
        <v>0</v>
      </c>
      <c r="C186" s="18">
        <f>IF(ISNUMBER('ENTERED ON'!L186), 0, 'ENTERED ON'!L186)</f>
        <v>0</v>
      </c>
      <c r="D186" s="18">
        <f>'ENTERED ON'!G186</f>
        <v>0</v>
      </c>
      <c r="E186" s="18">
        <f>IF(ISTEXT('ENTERED ON'!Q186), 1, 0)</f>
        <v>0</v>
      </c>
      <c r="F186" s="18">
        <f>IF(ISTEXT('ENTERED ON'!R185), 1, 0)</f>
        <v>0</v>
      </c>
      <c r="G186" s="18">
        <f>IFERROR(IF(ISTEXT('ENTERED ON'!P186), 0, 'ENTERED ON'!P186*1.1), 0)</f>
        <v>0</v>
      </c>
      <c r="H186" s="28">
        <f>IF(ISTEXT(G186), 0, Table1[[#This Row],[Amount]] / 'COMPANY PROD'!$V$33)</f>
        <v>0</v>
      </c>
      <c r="I186" s="28">
        <f>Table1[[#This Row],[NIGHTS]]/'COMPANY PROD'!$V$41</f>
        <v>0</v>
      </c>
      <c r="J186" s="16">
        <f>IFERROR(Table1[[#This Row],[Amount]]/Table1[[#This Row],[NIGHTS]],0)</f>
        <v>0</v>
      </c>
      <c r="K186" s="21">
        <f>IF(ISTEXT('ENTERED ON'!C186), 0, IFERROR('ENTERED ON'!C186, 0))</f>
        <v>0</v>
      </c>
      <c r="L186" s="21">
        <f>IF(ISTEXT('ENTERED ON'!D186), 0, IFERROR('ENTERED ON'!D186, 0))</f>
        <v>0</v>
      </c>
      <c r="M186" s="1">
        <f>Table1[[#This Row],[Check out ]]-Table1[[#This Row],[Check in ]]</f>
        <v>0</v>
      </c>
      <c r="N186" s="1"/>
      <c r="O186" s="1">
        <f t="shared" si="33"/>
        <v>0</v>
      </c>
      <c r="P186" s="1">
        <f t="shared" si="34"/>
        <v>0</v>
      </c>
      <c r="Q186" s="1">
        <f t="shared" si="35"/>
        <v>0</v>
      </c>
      <c r="R186" s="1">
        <f t="shared" si="36"/>
        <v>0</v>
      </c>
      <c r="S186" s="1">
        <f t="shared" si="37"/>
        <v>0</v>
      </c>
      <c r="T186" s="1">
        <f t="shared" si="38"/>
        <v>0</v>
      </c>
      <c r="U186" s="1">
        <f t="shared" si="39"/>
        <v>0</v>
      </c>
      <c r="V186" s="1">
        <f t="shared" si="40"/>
        <v>0</v>
      </c>
      <c r="W186" s="1">
        <f t="shared" si="41"/>
        <v>0</v>
      </c>
      <c r="X186" s="1">
        <f t="shared" si="42"/>
        <v>0</v>
      </c>
      <c r="Y186" s="15">
        <f t="shared" si="43"/>
        <v>0</v>
      </c>
    </row>
    <row r="187" spans="1:25" x14ac:dyDescent="0.25">
      <c r="A187" s="18" t="str">
        <f>IF(OR(ISNUMBER('ENTERED ON'!M187), 'ENTERED ON'!M187=""), "M&amp;C / RESV/ OTHERS", 'ENTERED ON'!M187)</f>
        <v>M&amp;C / RESV/ OTHERS</v>
      </c>
      <c r="B187" s="18">
        <f>IF(ISTEXT(Table1[[#This Row],[ROOM TYPE]]), 1, 0)</f>
        <v>0</v>
      </c>
      <c r="C187" s="18">
        <f>IF(ISNUMBER('ENTERED ON'!L187), 0, 'ENTERED ON'!L187)</f>
        <v>0</v>
      </c>
      <c r="D187" s="18">
        <f>'ENTERED ON'!G187</f>
        <v>0</v>
      </c>
      <c r="E187" s="18">
        <f>IF(ISTEXT('ENTERED ON'!Q187), 1, 0)</f>
        <v>0</v>
      </c>
      <c r="F187" s="18">
        <f>IF(ISTEXT('ENTERED ON'!R186), 1, 0)</f>
        <v>0</v>
      </c>
      <c r="G187" s="18">
        <f>IFERROR(IF(ISTEXT('ENTERED ON'!P187), 0, 'ENTERED ON'!P187*1.1), 0)</f>
        <v>0</v>
      </c>
      <c r="H187" s="28">
        <f>IF(ISTEXT(G187), 0, Table1[[#This Row],[Amount]] / 'COMPANY PROD'!$V$33)</f>
        <v>0</v>
      </c>
      <c r="I187" s="28">
        <f>Table1[[#This Row],[NIGHTS]]/'COMPANY PROD'!$V$41</f>
        <v>0</v>
      </c>
      <c r="J187" s="16">
        <f>IFERROR(Table1[[#This Row],[Amount]]/Table1[[#This Row],[NIGHTS]],0)</f>
        <v>0</v>
      </c>
      <c r="K187" s="21">
        <f>IF(ISTEXT('ENTERED ON'!C187), 0, IFERROR('ENTERED ON'!C187, 0))</f>
        <v>0</v>
      </c>
      <c r="L187" s="21">
        <f>IF(ISTEXT('ENTERED ON'!D187), 0, IFERROR('ENTERED ON'!D187, 0))</f>
        <v>0</v>
      </c>
      <c r="M187" s="1">
        <f>Table1[[#This Row],[Check out ]]-Table1[[#This Row],[Check in ]]</f>
        <v>0</v>
      </c>
      <c r="N187" s="1"/>
      <c r="O187" s="1">
        <f t="shared" si="33"/>
        <v>0</v>
      </c>
      <c r="P187" s="1">
        <f t="shared" si="34"/>
        <v>0</v>
      </c>
      <c r="Q187" s="1">
        <f t="shared" si="35"/>
        <v>0</v>
      </c>
      <c r="R187" s="1">
        <f t="shared" si="36"/>
        <v>0</v>
      </c>
      <c r="S187" s="1">
        <f t="shared" si="37"/>
        <v>0</v>
      </c>
      <c r="T187" s="1">
        <f t="shared" si="38"/>
        <v>0</v>
      </c>
      <c r="U187" s="1">
        <f t="shared" si="39"/>
        <v>0</v>
      </c>
      <c r="V187" s="1">
        <f t="shared" si="40"/>
        <v>0</v>
      </c>
      <c r="W187" s="1">
        <f t="shared" si="41"/>
        <v>0</v>
      </c>
      <c r="X187" s="1">
        <f t="shared" si="42"/>
        <v>0</v>
      </c>
      <c r="Y187" s="15">
        <f t="shared" si="43"/>
        <v>0</v>
      </c>
    </row>
    <row r="188" spans="1:25" x14ac:dyDescent="0.25">
      <c r="A188" s="18" t="str">
        <f>IF(OR(ISNUMBER('ENTERED ON'!M188), 'ENTERED ON'!M188=""), "M&amp;C / RESV/ OTHERS", 'ENTERED ON'!M188)</f>
        <v>M&amp;C / RESV/ OTHERS</v>
      </c>
      <c r="B188" s="18">
        <f>IF(ISTEXT(Table1[[#This Row],[ROOM TYPE]]), 1, 0)</f>
        <v>0</v>
      </c>
      <c r="C188" s="18">
        <f>IF(ISNUMBER('ENTERED ON'!L188), 0, 'ENTERED ON'!L188)</f>
        <v>0</v>
      </c>
      <c r="D188" s="18">
        <f>'ENTERED ON'!G188</f>
        <v>0</v>
      </c>
      <c r="E188" s="18">
        <f>IF(ISTEXT('ENTERED ON'!Q188), 1, 0)</f>
        <v>0</v>
      </c>
      <c r="F188" s="18">
        <f>IF(ISTEXT('ENTERED ON'!R187), 1, 0)</f>
        <v>0</v>
      </c>
      <c r="G188" s="18">
        <f>IFERROR(IF(ISTEXT('ENTERED ON'!P188), 0, 'ENTERED ON'!P188*1.1), 0)</f>
        <v>0</v>
      </c>
      <c r="H188" s="28">
        <f>IF(ISTEXT(G188), 0, Table1[[#This Row],[Amount]] / 'COMPANY PROD'!$V$33)</f>
        <v>0</v>
      </c>
      <c r="I188" s="28">
        <f>Table1[[#This Row],[NIGHTS]]/'COMPANY PROD'!$V$41</f>
        <v>0</v>
      </c>
      <c r="J188" s="16">
        <f>IFERROR(Table1[[#This Row],[Amount]]/Table1[[#This Row],[NIGHTS]],0)</f>
        <v>0</v>
      </c>
      <c r="K188" s="21">
        <f>IF(ISTEXT('ENTERED ON'!C188), 0, IFERROR('ENTERED ON'!C188, 0))</f>
        <v>0</v>
      </c>
      <c r="L188" s="21">
        <f>IF(ISTEXT('ENTERED ON'!D188), 0, IFERROR('ENTERED ON'!D188, 0))</f>
        <v>0</v>
      </c>
      <c r="M188" s="1">
        <f>Table1[[#This Row],[Check out ]]-Table1[[#This Row],[Check in ]]</f>
        <v>0</v>
      </c>
      <c r="N188" s="1"/>
      <c r="O188" s="1">
        <f t="shared" si="33"/>
        <v>0</v>
      </c>
      <c r="P188" s="1">
        <f t="shared" si="34"/>
        <v>0</v>
      </c>
      <c r="Q188" s="1">
        <f t="shared" si="35"/>
        <v>0</v>
      </c>
      <c r="R188" s="1">
        <f t="shared" si="36"/>
        <v>0</v>
      </c>
      <c r="S188" s="1">
        <f t="shared" si="37"/>
        <v>0</v>
      </c>
      <c r="T188" s="1">
        <f t="shared" si="38"/>
        <v>0</v>
      </c>
      <c r="U188" s="1">
        <f t="shared" si="39"/>
        <v>0</v>
      </c>
      <c r="V188" s="1">
        <f t="shared" si="40"/>
        <v>0</v>
      </c>
      <c r="W188" s="1">
        <f t="shared" si="41"/>
        <v>0</v>
      </c>
      <c r="X188" s="1">
        <f t="shared" si="42"/>
        <v>0</v>
      </c>
      <c r="Y188" s="15">
        <f t="shared" si="43"/>
        <v>0</v>
      </c>
    </row>
    <row r="189" spans="1:25" x14ac:dyDescent="0.25">
      <c r="A189" s="18" t="str">
        <f>IF(OR(ISNUMBER('ENTERED ON'!M189), 'ENTERED ON'!M189=""), "M&amp;C / RESV/ OTHERS", 'ENTERED ON'!M189)</f>
        <v>M&amp;C / RESV/ OTHERS</v>
      </c>
      <c r="B189" s="18">
        <f>IF(ISTEXT(Table1[[#This Row],[ROOM TYPE]]), 1, 0)</f>
        <v>0</v>
      </c>
      <c r="C189" s="18">
        <f>IF(ISNUMBER('ENTERED ON'!L189), 0, 'ENTERED ON'!L189)</f>
        <v>0</v>
      </c>
      <c r="D189" s="18">
        <f>'ENTERED ON'!G189</f>
        <v>0</v>
      </c>
      <c r="E189" s="18">
        <f>IF(ISTEXT('ENTERED ON'!Q189), 1, 0)</f>
        <v>0</v>
      </c>
      <c r="F189" s="18">
        <f>IF(ISTEXT('ENTERED ON'!R188), 1, 0)</f>
        <v>0</v>
      </c>
      <c r="G189" s="18">
        <f>IFERROR(IF(ISTEXT('ENTERED ON'!P189), 0, 'ENTERED ON'!P189*1.1), 0)</f>
        <v>0</v>
      </c>
      <c r="H189" s="28">
        <f>IF(ISTEXT(G189), 0, Table1[[#This Row],[Amount]] / 'COMPANY PROD'!$V$33)</f>
        <v>0</v>
      </c>
      <c r="I189" s="28">
        <f>Table1[[#This Row],[NIGHTS]]/'COMPANY PROD'!$V$41</f>
        <v>0</v>
      </c>
      <c r="J189" s="16">
        <f>IFERROR(Table1[[#This Row],[Amount]]/Table1[[#This Row],[NIGHTS]],0)</f>
        <v>0</v>
      </c>
      <c r="K189" s="21">
        <f>IF(ISTEXT('ENTERED ON'!C189), 0, IFERROR('ENTERED ON'!C189, 0))</f>
        <v>0</v>
      </c>
      <c r="L189" s="21">
        <f>IF(ISTEXT('ENTERED ON'!D189), 0, IFERROR('ENTERED ON'!D189, 0))</f>
        <v>0</v>
      </c>
      <c r="M189" s="1">
        <f>Table1[[#This Row],[Check out ]]-Table1[[#This Row],[Check in ]]</f>
        <v>0</v>
      </c>
      <c r="N189" s="1"/>
      <c r="O189" s="1">
        <f t="shared" si="33"/>
        <v>0</v>
      </c>
      <c r="P189" s="1">
        <f t="shared" si="34"/>
        <v>0</v>
      </c>
      <c r="Q189" s="1">
        <f t="shared" si="35"/>
        <v>0</v>
      </c>
      <c r="R189" s="1">
        <f t="shared" si="36"/>
        <v>0</v>
      </c>
      <c r="S189" s="1">
        <f t="shared" si="37"/>
        <v>0</v>
      </c>
      <c r="T189" s="1">
        <f t="shared" si="38"/>
        <v>0</v>
      </c>
      <c r="U189" s="1">
        <f t="shared" si="39"/>
        <v>0</v>
      </c>
      <c r="V189" s="1">
        <f t="shared" si="40"/>
        <v>0</v>
      </c>
      <c r="W189" s="1">
        <f t="shared" si="41"/>
        <v>0</v>
      </c>
      <c r="X189" s="1">
        <f t="shared" si="42"/>
        <v>0</v>
      </c>
      <c r="Y189" s="15">
        <f t="shared" si="43"/>
        <v>0</v>
      </c>
    </row>
    <row r="190" spans="1:25" x14ac:dyDescent="0.25">
      <c r="A190" s="18" t="str">
        <f>IF(OR(ISNUMBER('ENTERED ON'!M190), 'ENTERED ON'!M190=""), "M&amp;C / RESV/ OTHERS", 'ENTERED ON'!M190)</f>
        <v>M&amp;C / RESV/ OTHERS</v>
      </c>
      <c r="B190" s="18">
        <f>IF(ISTEXT(Table1[[#This Row],[ROOM TYPE]]), 1, 0)</f>
        <v>0</v>
      </c>
      <c r="C190" s="18">
        <f>IF(ISNUMBER('ENTERED ON'!L190), 0, 'ENTERED ON'!L190)</f>
        <v>0</v>
      </c>
      <c r="D190" s="18">
        <f>'ENTERED ON'!G190</f>
        <v>0</v>
      </c>
      <c r="E190" s="18">
        <f>IF(ISTEXT('ENTERED ON'!Q190), 1, 0)</f>
        <v>0</v>
      </c>
      <c r="F190" s="18">
        <f>IF(ISTEXT('ENTERED ON'!R189), 1, 0)</f>
        <v>0</v>
      </c>
      <c r="G190" s="18">
        <f>IFERROR(IF(ISTEXT('ENTERED ON'!P190), 0, 'ENTERED ON'!P190*1.1), 0)</f>
        <v>0</v>
      </c>
      <c r="H190" s="28">
        <f>IF(ISTEXT(G190), 0, Table1[[#This Row],[Amount]] / 'COMPANY PROD'!$V$33)</f>
        <v>0</v>
      </c>
      <c r="I190" s="28">
        <f>Table1[[#This Row],[NIGHTS]]/'COMPANY PROD'!$V$41</f>
        <v>0</v>
      </c>
      <c r="J190" s="16">
        <f>IFERROR(Table1[[#This Row],[Amount]]/Table1[[#This Row],[NIGHTS]],0)</f>
        <v>0</v>
      </c>
      <c r="K190" s="21">
        <f>IF(ISTEXT('ENTERED ON'!C190), 0, IFERROR('ENTERED ON'!C190, 0))</f>
        <v>0</v>
      </c>
      <c r="L190" s="21">
        <f>IF(ISTEXT('ENTERED ON'!D190), 0, IFERROR('ENTERED ON'!D190, 0))</f>
        <v>0</v>
      </c>
      <c r="M190" s="1">
        <f>Table1[[#This Row],[Check out ]]-Table1[[#This Row],[Check in ]]</f>
        <v>0</v>
      </c>
      <c r="N190" s="1"/>
      <c r="O190" s="1">
        <f t="shared" si="33"/>
        <v>0</v>
      </c>
      <c r="P190" s="1">
        <f t="shared" si="34"/>
        <v>0</v>
      </c>
      <c r="Q190" s="1">
        <f t="shared" si="35"/>
        <v>0</v>
      </c>
      <c r="R190" s="1">
        <f t="shared" si="36"/>
        <v>0</v>
      </c>
      <c r="S190" s="1">
        <f t="shared" si="37"/>
        <v>0</v>
      </c>
      <c r="T190" s="1">
        <f t="shared" si="38"/>
        <v>0</v>
      </c>
      <c r="U190" s="1">
        <f t="shared" si="39"/>
        <v>0</v>
      </c>
      <c r="V190" s="1">
        <f t="shared" si="40"/>
        <v>0</v>
      </c>
      <c r="W190" s="1">
        <f t="shared" si="41"/>
        <v>0</v>
      </c>
      <c r="X190" s="1">
        <f t="shared" si="42"/>
        <v>0</v>
      </c>
      <c r="Y190" s="15">
        <f t="shared" si="43"/>
        <v>0</v>
      </c>
    </row>
    <row r="191" spans="1:25" x14ac:dyDescent="0.25">
      <c r="A191" s="18" t="str">
        <f>IF(OR(ISNUMBER('ENTERED ON'!M191), 'ENTERED ON'!M191=""), "M&amp;C / RESV/ OTHERS", 'ENTERED ON'!M191)</f>
        <v>M&amp;C / RESV/ OTHERS</v>
      </c>
      <c r="B191" s="18">
        <f>IF(ISTEXT(Table1[[#This Row],[ROOM TYPE]]), 1, 0)</f>
        <v>0</v>
      </c>
      <c r="C191" s="18">
        <f>IF(ISNUMBER('ENTERED ON'!L191), 0, 'ENTERED ON'!L191)</f>
        <v>0</v>
      </c>
      <c r="D191" s="18">
        <f>'ENTERED ON'!G191</f>
        <v>0</v>
      </c>
      <c r="E191" s="18">
        <f>IF(ISTEXT('ENTERED ON'!Q191), 1, 0)</f>
        <v>0</v>
      </c>
      <c r="F191" s="18">
        <f>IF(ISTEXT('ENTERED ON'!R190), 1, 0)</f>
        <v>0</v>
      </c>
      <c r="G191" s="18">
        <f>IFERROR(IF(ISTEXT('ENTERED ON'!P191), 0, 'ENTERED ON'!P191*1.1), 0)</f>
        <v>0</v>
      </c>
      <c r="H191" s="28">
        <f>IF(ISTEXT(G191), 0, Table1[[#This Row],[Amount]] / 'COMPANY PROD'!$V$33)</f>
        <v>0</v>
      </c>
      <c r="I191" s="28">
        <f>Table1[[#This Row],[NIGHTS]]/'COMPANY PROD'!$V$41</f>
        <v>0</v>
      </c>
      <c r="J191" s="16">
        <f>IFERROR(Table1[[#This Row],[Amount]]/Table1[[#This Row],[NIGHTS]],0)</f>
        <v>0</v>
      </c>
      <c r="K191" s="21">
        <f>IF(ISTEXT('ENTERED ON'!C191), 0, IFERROR('ENTERED ON'!C191, 0))</f>
        <v>0</v>
      </c>
      <c r="L191" s="21">
        <f>IF(ISTEXT('ENTERED ON'!D191), 0, IFERROR('ENTERED ON'!D191, 0))</f>
        <v>0</v>
      </c>
      <c r="M191" s="1">
        <f>Table1[[#This Row],[Check out ]]-Table1[[#This Row],[Check in ]]</f>
        <v>0</v>
      </c>
      <c r="N191" s="1"/>
      <c r="O191" s="1">
        <f t="shared" si="33"/>
        <v>0</v>
      </c>
      <c r="P191" s="1">
        <f t="shared" si="34"/>
        <v>0</v>
      </c>
      <c r="Q191" s="1">
        <f t="shared" si="35"/>
        <v>0</v>
      </c>
      <c r="R191" s="1">
        <f t="shared" si="36"/>
        <v>0</v>
      </c>
      <c r="S191" s="1">
        <f t="shared" si="37"/>
        <v>0</v>
      </c>
      <c r="T191" s="1">
        <f t="shared" si="38"/>
        <v>0</v>
      </c>
      <c r="U191" s="1">
        <f t="shared" si="39"/>
        <v>0</v>
      </c>
      <c r="V191" s="1">
        <f t="shared" si="40"/>
        <v>0</v>
      </c>
      <c r="W191" s="1">
        <f t="shared" si="41"/>
        <v>0</v>
      </c>
      <c r="X191" s="1">
        <f t="shared" si="42"/>
        <v>0</v>
      </c>
      <c r="Y191" s="15">
        <f t="shared" si="43"/>
        <v>0</v>
      </c>
    </row>
    <row r="192" spans="1:25" x14ac:dyDescent="0.25">
      <c r="A192" s="18" t="str">
        <f>IF(OR(ISNUMBER('ENTERED ON'!M192), 'ENTERED ON'!M192=""), "M&amp;C / RESV/ OTHERS", 'ENTERED ON'!M192)</f>
        <v>M&amp;C / RESV/ OTHERS</v>
      </c>
      <c r="B192" s="18">
        <f>IF(ISTEXT(Table1[[#This Row],[ROOM TYPE]]), 1, 0)</f>
        <v>0</v>
      </c>
      <c r="C192" s="18">
        <f>IF(ISNUMBER('ENTERED ON'!L192), 0, 'ENTERED ON'!L192)</f>
        <v>0</v>
      </c>
      <c r="D192" s="18">
        <f>'ENTERED ON'!G192</f>
        <v>0</v>
      </c>
      <c r="E192" s="18">
        <f>IF(ISTEXT('ENTERED ON'!Q192), 1, 0)</f>
        <v>0</v>
      </c>
      <c r="F192" s="18">
        <f>IF(ISTEXT('ENTERED ON'!R191), 1, 0)</f>
        <v>0</v>
      </c>
      <c r="G192" s="18">
        <f>IFERROR(IF(ISTEXT('ENTERED ON'!P192), 0, 'ENTERED ON'!P192*1.1), 0)</f>
        <v>0</v>
      </c>
      <c r="H192" s="28">
        <f>IF(ISTEXT(G192), 0, Table1[[#This Row],[Amount]] / 'COMPANY PROD'!$V$33)</f>
        <v>0</v>
      </c>
      <c r="I192" s="28">
        <f>Table1[[#This Row],[NIGHTS]]/'COMPANY PROD'!$V$41</f>
        <v>0</v>
      </c>
      <c r="J192" s="16">
        <f>IFERROR(Table1[[#This Row],[Amount]]/Table1[[#This Row],[NIGHTS]],0)</f>
        <v>0</v>
      </c>
      <c r="K192" s="21">
        <f>IF(ISTEXT('ENTERED ON'!C192), 0, IFERROR('ENTERED ON'!C192, 0))</f>
        <v>0</v>
      </c>
      <c r="L192" s="21">
        <f>IF(ISTEXT('ENTERED ON'!D192), 0, IFERROR('ENTERED ON'!D192, 0))</f>
        <v>0</v>
      </c>
      <c r="M192" s="1">
        <f>Table1[[#This Row],[Check out ]]-Table1[[#This Row],[Check in ]]</f>
        <v>0</v>
      </c>
      <c r="N192" s="1"/>
      <c r="O192" s="1">
        <f t="shared" si="33"/>
        <v>0</v>
      </c>
      <c r="P192" s="1">
        <f t="shared" si="34"/>
        <v>0</v>
      </c>
      <c r="Q192" s="1">
        <f t="shared" si="35"/>
        <v>0</v>
      </c>
      <c r="R192" s="1">
        <f t="shared" si="36"/>
        <v>0</v>
      </c>
      <c r="S192" s="1">
        <f t="shared" si="37"/>
        <v>0</v>
      </c>
      <c r="T192" s="1">
        <f t="shared" si="38"/>
        <v>0</v>
      </c>
      <c r="U192" s="1">
        <f t="shared" si="39"/>
        <v>0</v>
      </c>
      <c r="V192" s="1">
        <f t="shared" si="40"/>
        <v>0</v>
      </c>
      <c r="W192" s="1">
        <f t="shared" si="41"/>
        <v>0</v>
      </c>
      <c r="X192" s="1">
        <f t="shared" si="42"/>
        <v>0</v>
      </c>
      <c r="Y192" s="15">
        <f t="shared" si="43"/>
        <v>0</v>
      </c>
    </row>
    <row r="193" spans="1:25" x14ac:dyDescent="0.25">
      <c r="A193" s="18" t="str">
        <f>IF(OR(ISNUMBER('ENTERED ON'!M193), 'ENTERED ON'!M193=""), "M&amp;C / RESV/ OTHERS", 'ENTERED ON'!M193)</f>
        <v>M&amp;C / RESV/ OTHERS</v>
      </c>
      <c r="B193" s="18">
        <f>IF(ISTEXT(Table1[[#This Row],[ROOM TYPE]]), 1, 0)</f>
        <v>0</v>
      </c>
      <c r="C193" s="18">
        <f>IF(ISNUMBER('ENTERED ON'!L193), 0, 'ENTERED ON'!L193)</f>
        <v>0</v>
      </c>
      <c r="D193" s="18">
        <f>'ENTERED ON'!G193</f>
        <v>0</v>
      </c>
      <c r="E193" s="18">
        <f>IF(ISTEXT('ENTERED ON'!Q193), 1, 0)</f>
        <v>0</v>
      </c>
      <c r="F193" s="18">
        <f>IF(ISTEXT('ENTERED ON'!R192), 1, 0)</f>
        <v>0</v>
      </c>
      <c r="G193" s="18">
        <f>IFERROR(IF(ISTEXT('ENTERED ON'!P193), 0, 'ENTERED ON'!P193*1.1), 0)</f>
        <v>0</v>
      </c>
      <c r="H193" s="28">
        <f>IF(ISTEXT(G193), 0, Table1[[#This Row],[Amount]] / 'COMPANY PROD'!$V$33)</f>
        <v>0</v>
      </c>
      <c r="I193" s="28">
        <f>Table1[[#This Row],[NIGHTS]]/'COMPANY PROD'!$V$41</f>
        <v>0</v>
      </c>
      <c r="J193" s="16">
        <f>IFERROR(Table1[[#This Row],[Amount]]/Table1[[#This Row],[NIGHTS]],0)</f>
        <v>0</v>
      </c>
      <c r="K193" s="21">
        <f>IF(ISTEXT('ENTERED ON'!C193), 0, IFERROR('ENTERED ON'!C193, 0))</f>
        <v>0</v>
      </c>
      <c r="L193" s="21">
        <f>IF(ISTEXT('ENTERED ON'!D193), 0, IFERROR('ENTERED ON'!D193, 0))</f>
        <v>0</v>
      </c>
      <c r="M193" s="1">
        <f>Table1[[#This Row],[Check out ]]-Table1[[#This Row],[Check in ]]</f>
        <v>0</v>
      </c>
      <c r="N193" s="1"/>
      <c r="O193" s="1">
        <f t="shared" si="33"/>
        <v>0</v>
      </c>
      <c r="P193" s="1">
        <f t="shared" si="34"/>
        <v>0</v>
      </c>
      <c r="Q193" s="1">
        <f t="shared" si="35"/>
        <v>0</v>
      </c>
      <c r="R193" s="1">
        <f t="shared" si="36"/>
        <v>0</v>
      </c>
      <c r="S193" s="1">
        <f t="shared" si="37"/>
        <v>0</v>
      </c>
      <c r="T193" s="1">
        <f t="shared" si="38"/>
        <v>0</v>
      </c>
      <c r="U193" s="1">
        <f t="shared" si="39"/>
        <v>0</v>
      </c>
      <c r="V193" s="1">
        <f t="shared" si="40"/>
        <v>0</v>
      </c>
      <c r="W193" s="1">
        <f t="shared" si="41"/>
        <v>0</v>
      </c>
      <c r="X193" s="1">
        <f t="shared" si="42"/>
        <v>0</v>
      </c>
      <c r="Y193" s="15">
        <f t="shared" si="43"/>
        <v>0</v>
      </c>
    </row>
    <row r="194" spans="1:25" x14ac:dyDescent="0.25">
      <c r="A194" s="18" t="str">
        <f>IF(OR(ISNUMBER('ENTERED ON'!M194), 'ENTERED ON'!M194=""), "M&amp;C / RESV/ OTHERS", 'ENTERED ON'!M194)</f>
        <v>M&amp;C / RESV/ OTHERS</v>
      </c>
      <c r="B194" s="18">
        <f>IF(ISTEXT(Table1[[#This Row],[ROOM TYPE]]), 1, 0)</f>
        <v>0</v>
      </c>
      <c r="C194" s="18">
        <f>IF(ISNUMBER('ENTERED ON'!L194), 0, 'ENTERED ON'!L194)</f>
        <v>0</v>
      </c>
      <c r="D194" s="18">
        <f>'ENTERED ON'!G194</f>
        <v>0</v>
      </c>
      <c r="E194" s="18">
        <f>IF(ISTEXT('ENTERED ON'!Q194), 1, 0)</f>
        <v>0</v>
      </c>
      <c r="F194" s="18">
        <f>IF(ISTEXT('ENTERED ON'!R193), 1, 0)</f>
        <v>0</v>
      </c>
      <c r="G194" s="18">
        <f>IFERROR(IF(ISTEXT('ENTERED ON'!P194), 0, 'ENTERED ON'!P194*1.1), 0)</f>
        <v>0</v>
      </c>
      <c r="H194" s="28">
        <f>IF(ISTEXT(G194), 0, Table1[[#This Row],[Amount]] / 'COMPANY PROD'!$V$33)</f>
        <v>0</v>
      </c>
      <c r="I194" s="28">
        <f>Table1[[#This Row],[NIGHTS]]/'COMPANY PROD'!$V$41</f>
        <v>0</v>
      </c>
      <c r="J194" s="16">
        <f>IFERROR(Table1[[#This Row],[Amount]]/Table1[[#This Row],[NIGHTS]],0)</f>
        <v>0</v>
      </c>
      <c r="K194" s="21">
        <f>IF(ISTEXT('ENTERED ON'!C194), 0, IFERROR('ENTERED ON'!C194, 0))</f>
        <v>0</v>
      </c>
      <c r="L194" s="21">
        <f>IF(ISTEXT('ENTERED ON'!D194), 0, IFERROR('ENTERED ON'!D194, 0))</f>
        <v>0</v>
      </c>
      <c r="M194" s="1">
        <f>Table1[[#This Row],[Check out ]]-Table1[[#This Row],[Check in ]]</f>
        <v>0</v>
      </c>
      <c r="N194" s="1"/>
      <c r="O194" s="1">
        <f t="shared" si="33"/>
        <v>0</v>
      </c>
      <c r="P194" s="1">
        <f t="shared" si="34"/>
        <v>0</v>
      </c>
      <c r="Q194" s="1">
        <f t="shared" si="35"/>
        <v>0</v>
      </c>
      <c r="R194" s="1">
        <f t="shared" si="36"/>
        <v>0</v>
      </c>
      <c r="S194" s="1">
        <f t="shared" si="37"/>
        <v>0</v>
      </c>
      <c r="T194" s="1">
        <f t="shared" si="38"/>
        <v>0</v>
      </c>
      <c r="U194" s="1">
        <f t="shared" si="39"/>
        <v>0</v>
      </c>
      <c r="V194" s="1">
        <f t="shared" si="40"/>
        <v>0</v>
      </c>
      <c r="W194" s="1">
        <f t="shared" si="41"/>
        <v>0</v>
      </c>
      <c r="X194" s="1">
        <f t="shared" si="42"/>
        <v>0</v>
      </c>
      <c r="Y194" s="15">
        <f t="shared" si="43"/>
        <v>0</v>
      </c>
    </row>
    <row r="195" spans="1:25" x14ac:dyDescent="0.25">
      <c r="A195" s="18" t="str">
        <f>IF(OR(ISNUMBER('ENTERED ON'!M195), 'ENTERED ON'!M195=""), "M&amp;C / RESV/ OTHERS", 'ENTERED ON'!M195)</f>
        <v>M&amp;C / RESV/ OTHERS</v>
      </c>
      <c r="B195" s="18">
        <f>IF(ISTEXT(Table1[[#This Row],[ROOM TYPE]]), 1, 0)</f>
        <v>0</v>
      </c>
      <c r="C195" s="18">
        <f>IF(ISNUMBER('ENTERED ON'!L195), 0, 'ENTERED ON'!L195)</f>
        <v>0</v>
      </c>
      <c r="D195" s="18">
        <f>'ENTERED ON'!G195</f>
        <v>0</v>
      </c>
      <c r="E195" s="18">
        <f>IF(ISTEXT('ENTERED ON'!Q195), 1, 0)</f>
        <v>0</v>
      </c>
      <c r="F195" s="18">
        <f>IF(ISTEXT('ENTERED ON'!R194), 1, 0)</f>
        <v>0</v>
      </c>
      <c r="G195" s="18">
        <f>IFERROR(IF(ISTEXT('ENTERED ON'!P195), 0, 'ENTERED ON'!P195*1.1), 0)</f>
        <v>0</v>
      </c>
      <c r="H195" s="28">
        <f>IF(ISTEXT(G195), 0, Table1[[#This Row],[Amount]] / 'COMPANY PROD'!$V$33)</f>
        <v>0</v>
      </c>
      <c r="I195" s="28">
        <f>Table1[[#This Row],[NIGHTS]]/'COMPANY PROD'!$V$41</f>
        <v>0</v>
      </c>
      <c r="J195" s="16">
        <f>IFERROR(Table1[[#This Row],[Amount]]/Table1[[#This Row],[NIGHTS]],0)</f>
        <v>0</v>
      </c>
      <c r="K195" s="21">
        <f>IF(ISTEXT('ENTERED ON'!C195), 0, IFERROR('ENTERED ON'!C195, 0))</f>
        <v>0</v>
      </c>
      <c r="L195" s="21">
        <f>IF(ISTEXT('ENTERED ON'!D195), 0, IFERROR('ENTERED ON'!D195, 0))</f>
        <v>0</v>
      </c>
      <c r="M195" s="1">
        <f>Table1[[#This Row],[Check out ]]-Table1[[#This Row],[Check in ]]</f>
        <v>0</v>
      </c>
      <c r="N195" s="1"/>
      <c r="O195" s="1">
        <f t="shared" si="33"/>
        <v>0</v>
      </c>
      <c r="P195" s="1">
        <f t="shared" si="34"/>
        <v>0</v>
      </c>
      <c r="Q195" s="1">
        <f t="shared" si="35"/>
        <v>0</v>
      </c>
      <c r="R195" s="1">
        <f t="shared" si="36"/>
        <v>0</v>
      </c>
      <c r="S195" s="1">
        <f t="shared" si="37"/>
        <v>0</v>
      </c>
      <c r="T195" s="1">
        <f t="shared" si="38"/>
        <v>0</v>
      </c>
      <c r="U195" s="1">
        <f t="shared" si="39"/>
        <v>0</v>
      </c>
      <c r="V195" s="1">
        <f t="shared" si="40"/>
        <v>0</v>
      </c>
      <c r="W195" s="1">
        <f t="shared" si="41"/>
        <v>0</v>
      </c>
      <c r="X195" s="1">
        <f t="shared" si="42"/>
        <v>0</v>
      </c>
      <c r="Y195" s="15">
        <f t="shared" si="43"/>
        <v>0</v>
      </c>
    </row>
    <row r="196" spans="1:25" x14ac:dyDescent="0.25">
      <c r="A196" s="18" t="str">
        <f>IF(OR(ISNUMBER('ENTERED ON'!M196), 'ENTERED ON'!M196=""), "M&amp;C / RESV/ OTHERS", 'ENTERED ON'!M196)</f>
        <v>M&amp;C / RESV/ OTHERS</v>
      </c>
      <c r="B196" s="18">
        <f>IF(ISTEXT(Table1[[#This Row],[ROOM TYPE]]), 1, 0)</f>
        <v>0</v>
      </c>
      <c r="C196" s="18">
        <f>IF(ISNUMBER('ENTERED ON'!L196), 0, 'ENTERED ON'!L196)</f>
        <v>0</v>
      </c>
      <c r="D196" s="18">
        <f>'ENTERED ON'!G196</f>
        <v>0</v>
      </c>
      <c r="E196" s="18">
        <f>IF(ISTEXT('ENTERED ON'!Q196), 1, 0)</f>
        <v>0</v>
      </c>
      <c r="F196" s="18">
        <f>IF(ISTEXT('ENTERED ON'!R195), 1, 0)</f>
        <v>0</v>
      </c>
      <c r="G196" s="18">
        <f>IFERROR(IF(ISTEXT('ENTERED ON'!P196), 0, 'ENTERED ON'!P196*1.1), 0)</f>
        <v>0</v>
      </c>
      <c r="H196" s="28">
        <f>IF(ISTEXT(G196), 0, Table1[[#This Row],[Amount]] / 'COMPANY PROD'!$V$33)</f>
        <v>0</v>
      </c>
      <c r="I196" s="28">
        <f>Table1[[#This Row],[NIGHTS]]/'COMPANY PROD'!$V$41</f>
        <v>0</v>
      </c>
      <c r="J196" s="16">
        <f>IFERROR(Table1[[#This Row],[Amount]]/Table1[[#This Row],[NIGHTS]],0)</f>
        <v>0</v>
      </c>
      <c r="K196" s="21">
        <f>IF(ISTEXT('ENTERED ON'!C196), 0, IFERROR('ENTERED ON'!C196, 0))</f>
        <v>0</v>
      </c>
      <c r="L196" s="21">
        <f>IF(ISTEXT('ENTERED ON'!D196), 0, IFERROR('ENTERED ON'!D196, 0))</f>
        <v>0</v>
      </c>
      <c r="M196" s="1">
        <f>Table1[[#This Row],[Check out ]]-Table1[[#This Row],[Check in ]]</f>
        <v>0</v>
      </c>
      <c r="N196" s="1"/>
      <c r="O196" s="1">
        <f t="shared" si="33"/>
        <v>0</v>
      </c>
      <c r="P196" s="1">
        <f t="shared" si="34"/>
        <v>0</v>
      </c>
      <c r="Q196" s="1">
        <f t="shared" si="35"/>
        <v>0</v>
      </c>
      <c r="R196" s="1">
        <f t="shared" si="36"/>
        <v>0</v>
      </c>
      <c r="S196" s="1">
        <f t="shared" si="37"/>
        <v>0</v>
      </c>
      <c r="T196" s="1">
        <f t="shared" si="38"/>
        <v>0</v>
      </c>
      <c r="U196" s="1">
        <f t="shared" si="39"/>
        <v>0</v>
      </c>
      <c r="V196" s="1">
        <f t="shared" si="40"/>
        <v>0</v>
      </c>
      <c r="W196" s="1">
        <f t="shared" si="41"/>
        <v>0</v>
      </c>
      <c r="X196" s="1">
        <f t="shared" si="42"/>
        <v>0</v>
      </c>
      <c r="Y196" s="15">
        <f t="shared" si="43"/>
        <v>0</v>
      </c>
    </row>
    <row r="197" spans="1:25" x14ac:dyDescent="0.25">
      <c r="A197" s="18" t="str">
        <f>IF(OR(ISNUMBER('ENTERED ON'!M197), 'ENTERED ON'!M197=""), "M&amp;C / RESV/ OTHERS", 'ENTERED ON'!M197)</f>
        <v>M&amp;C / RESV/ OTHERS</v>
      </c>
      <c r="B197" s="18">
        <f>IF(ISTEXT(Table1[[#This Row],[ROOM TYPE]]), 1, 0)</f>
        <v>0</v>
      </c>
      <c r="C197" s="18">
        <f>IF(ISNUMBER('ENTERED ON'!L197), 0, 'ENTERED ON'!L197)</f>
        <v>0</v>
      </c>
      <c r="D197" s="18">
        <f>'ENTERED ON'!G197</f>
        <v>0</v>
      </c>
      <c r="E197" s="18">
        <f>IF(ISTEXT('ENTERED ON'!Q197), 1, 0)</f>
        <v>0</v>
      </c>
      <c r="F197" s="18">
        <f>IF(ISTEXT('ENTERED ON'!R196), 1, 0)</f>
        <v>0</v>
      </c>
      <c r="G197" s="18">
        <f>IFERROR(IF(ISTEXT('ENTERED ON'!P197), 0, 'ENTERED ON'!P197*1.1), 0)</f>
        <v>0</v>
      </c>
      <c r="H197" s="28">
        <f>IF(ISTEXT(G197), 0, Table1[[#This Row],[Amount]] / 'COMPANY PROD'!$V$33)</f>
        <v>0</v>
      </c>
      <c r="I197" s="28">
        <f>Table1[[#This Row],[NIGHTS]]/'COMPANY PROD'!$V$41</f>
        <v>0</v>
      </c>
      <c r="J197" s="16">
        <f>IFERROR(Table1[[#This Row],[Amount]]/Table1[[#This Row],[NIGHTS]],0)</f>
        <v>0</v>
      </c>
      <c r="K197" s="21">
        <f>IF(ISTEXT('ENTERED ON'!C197), 0, IFERROR('ENTERED ON'!C197, 0))</f>
        <v>0</v>
      </c>
      <c r="L197" s="21">
        <f>IF(ISTEXT('ENTERED ON'!D197), 0, IFERROR('ENTERED ON'!D197, 0))</f>
        <v>0</v>
      </c>
      <c r="M197" s="1">
        <f>Table1[[#This Row],[Check out ]]-Table1[[#This Row],[Check in ]]</f>
        <v>0</v>
      </c>
      <c r="N197" s="1"/>
      <c r="O197" s="1">
        <f t="shared" si="33"/>
        <v>0</v>
      </c>
      <c r="P197" s="1">
        <f t="shared" si="34"/>
        <v>0</v>
      </c>
      <c r="Q197" s="1">
        <f t="shared" si="35"/>
        <v>0</v>
      </c>
      <c r="R197" s="1">
        <f t="shared" si="36"/>
        <v>0</v>
      </c>
      <c r="S197" s="1">
        <f t="shared" si="37"/>
        <v>0</v>
      </c>
      <c r="T197" s="1">
        <f t="shared" si="38"/>
        <v>0</v>
      </c>
      <c r="U197" s="1">
        <f t="shared" si="39"/>
        <v>0</v>
      </c>
      <c r="V197" s="1">
        <f t="shared" si="40"/>
        <v>0</v>
      </c>
      <c r="W197" s="1">
        <f t="shared" si="41"/>
        <v>0</v>
      </c>
      <c r="X197" s="1">
        <f t="shared" si="42"/>
        <v>0</v>
      </c>
      <c r="Y197" s="15">
        <f t="shared" si="43"/>
        <v>0</v>
      </c>
    </row>
    <row r="198" spans="1:25" x14ac:dyDescent="0.25">
      <c r="A198" s="18" t="str">
        <f>IF(OR(ISNUMBER('ENTERED ON'!M198), 'ENTERED ON'!M198=""), "M&amp;C / RESV/ OTHERS", 'ENTERED ON'!M198)</f>
        <v>M&amp;C / RESV/ OTHERS</v>
      </c>
      <c r="B198" s="18">
        <f>IF(ISTEXT(Table1[[#This Row],[ROOM TYPE]]), 1, 0)</f>
        <v>0</v>
      </c>
      <c r="C198" s="18">
        <f>IF(ISNUMBER('ENTERED ON'!L198), 0, 'ENTERED ON'!L198)</f>
        <v>0</v>
      </c>
      <c r="D198" s="18">
        <f>'ENTERED ON'!G198</f>
        <v>0</v>
      </c>
      <c r="E198" s="18">
        <f>IF(ISTEXT('ENTERED ON'!Q198), 1, 0)</f>
        <v>0</v>
      </c>
      <c r="F198" s="18">
        <f>IF(ISTEXT('ENTERED ON'!R197), 1, 0)</f>
        <v>0</v>
      </c>
      <c r="G198" s="18">
        <f>IFERROR(IF(ISTEXT('ENTERED ON'!P198), 0, 'ENTERED ON'!P198*1.1), 0)</f>
        <v>0</v>
      </c>
      <c r="H198" s="28">
        <f>IF(ISTEXT(G198), 0, Table1[[#This Row],[Amount]] / 'COMPANY PROD'!$V$33)</f>
        <v>0</v>
      </c>
      <c r="I198" s="28">
        <f>Table1[[#This Row],[NIGHTS]]/'COMPANY PROD'!$V$41</f>
        <v>0</v>
      </c>
      <c r="J198" s="16">
        <f>IFERROR(Table1[[#This Row],[Amount]]/Table1[[#This Row],[NIGHTS]],0)</f>
        <v>0</v>
      </c>
      <c r="K198" s="21">
        <f>IF(ISTEXT('ENTERED ON'!C198), 0, IFERROR('ENTERED ON'!C198, 0))</f>
        <v>0</v>
      </c>
      <c r="L198" s="21">
        <f>IF(ISTEXT('ENTERED ON'!D198), 0, IFERROR('ENTERED ON'!D198, 0))</f>
        <v>0</v>
      </c>
      <c r="M198" s="1">
        <f>Table1[[#This Row],[Check out ]]-Table1[[#This Row],[Check in ]]</f>
        <v>0</v>
      </c>
      <c r="N198" s="1"/>
      <c r="O198" s="1">
        <f t="shared" si="33"/>
        <v>0</v>
      </c>
      <c r="P198" s="1">
        <f t="shared" si="34"/>
        <v>0</v>
      </c>
      <c r="Q198" s="1">
        <f t="shared" si="35"/>
        <v>0</v>
      </c>
      <c r="R198" s="1">
        <f t="shared" si="36"/>
        <v>0</v>
      </c>
      <c r="S198" s="1">
        <f t="shared" si="37"/>
        <v>0</v>
      </c>
      <c r="T198" s="1">
        <f t="shared" si="38"/>
        <v>0</v>
      </c>
      <c r="U198" s="1">
        <f t="shared" si="39"/>
        <v>0</v>
      </c>
      <c r="V198" s="1">
        <f t="shared" si="40"/>
        <v>0</v>
      </c>
      <c r="W198" s="1">
        <f t="shared" si="41"/>
        <v>0</v>
      </c>
      <c r="X198" s="1">
        <f t="shared" si="42"/>
        <v>0</v>
      </c>
      <c r="Y198" s="15">
        <f t="shared" si="43"/>
        <v>0</v>
      </c>
    </row>
    <row r="199" spans="1:25" x14ac:dyDescent="0.25">
      <c r="A199" s="18" t="str">
        <f>IF(OR(ISNUMBER('ENTERED ON'!M199), 'ENTERED ON'!M199=""), "M&amp;C / RESV/ OTHERS", 'ENTERED ON'!M199)</f>
        <v>M&amp;C / RESV/ OTHERS</v>
      </c>
      <c r="B199" s="18">
        <f>IF(ISTEXT(Table1[[#This Row],[ROOM TYPE]]), 1, 0)</f>
        <v>0</v>
      </c>
      <c r="C199" s="18">
        <f>IF(ISNUMBER('ENTERED ON'!L199), 0, 'ENTERED ON'!L199)</f>
        <v>0</v>
      </c>
      <c r="D199" s="18">
        <f>'ENTERED ON'!G199</f>
        <v>0</v>
      </c>
      <c r="E199" s="18">
        <f>IF(ISTEXT('ENTERED ON'!Q199), 1, 0)</f>
        <v>0</v>
      </c>
      <c r="F199" s="18">
        <f>IF(ISTEXT('ENTERED ON'!R198), 1, 0)</f>
        <v>0</v>
      </c>
      <c r="G199" s="18">
        <f>IFERROR(IF(ISTEXT('ENTERED ON'!P199), 0, 'ENTERED ON'!P199*1.1), 0)</f>
        <v>0</v>
      </c>
      <c r="H199" s="28">
        <f>IF(ISTEXT(G199), 0, Table1[[#This Row],[Amount]] / 'COMPANY PROD'!$V$33)</f>
        <v>0</v>
      </c>
      <c r="I199" s="28">
        <f>Table1[[#This Row],[NIGHTS]]/'COMPANY PROD'!$V$41</f>
        <v>0</v>
      </c>
      <c r="J199" s="16">
        <f>IFERROR(Table1[[#This Row],[Amount]]/Table1[[#This Row],[NIGHTS]],0)</f>
        <v>0</v>
      </c>
      <c r="K199" s="21">
        <f>IF(ISTEXT('ENTERED ON'!C199), 0, IFERROR('ENTERED ON'!C199, 0))</f>
        <v>0</v>
      </c>
      <c r="L199" s="21">
        <f>IF(ISTEXT('ENTERED ON'!D199), 0, IFERROR('ENTERED ON'!D199, 0))</f>
        <v>0</v>
      </c>
      <c r="M199" s="1">
        <f>Table1[[#This Row],[Check out ]]-Table1[[#This Row],[Check in ]]</f>
        <v>0</v>
      </c>
      <c r="N199" s="1"/>
      <c r="O199" s="1">
        <f t="shared" si="33"/>
        <v>0</v>
      </c>
      <c r="P199" s="1">
        <f t="shared" si="34"/>
        <v>0</v>
      </c>
      <c r="Q199" s="1">
        <f t="shared" si="35"/>
        <v>0</v>
      </c>
      <c r="R199" s="1">
        <f t="shared" si="36"/>
        <v>0</v>
      </c>
      <c r="S199" s="1">
        <f t="shared" si="37"/>
        <v>0</v>
      </c>
      <c r="T199" s="1">
        <f t="shared" si="38"/>
        <v>0</v>
      </c>
      <c r="U199" s="1">
        <f t="shared" si="39"/>
        <v>0</v>
      </c>
      <c r="V199" s="1">
        <f t="shared" si="40"/>
        <v>0</v>
      </c>
      <c r="W199" s="1">
        <f t="shared" si="41"/>
        <v>0</v>
      </c>
      <c r="X199" s="1">
        <f t="shared" si="42"/>
        <v>0</v>
      </c>
      <c r="Y199" s="15">
        <f t="shared" si="43"/>
        <v>0</v>
      </c>
    </row>
    <row r="200" spans="1:25" x14ac:dyDescent="0.25">
      <c r="A200" s="18" t="str">
        <f>IF(OR(ISNUMBER('ENTERED ON'!M200), 'ENTERED ON'!M200=""), "M&amp;C / RESV/ OTHERS", 'ENTERED ON'!M200)</f>
        <v>M&amp;C / RESV/ OTHERS</v>
      </c>
      <c r="B200" s="18">
        <f>IF(ISTEXT(Table1[[#This Row],[ROOM TYPE]]), 1, 0)</f>
        <v>0</v>
      </c>
      <c r="C200" s="18">
        <f>IF(ISNUMBER('ENTERED ON'!L200), 0, 'ENTERED ON'!L200)</f>
        <v>0</v>
      </c>
      <c r="D200" s="18">
        <f>'ENTERED ON'!G200</f>
        <v>0</v>
      </c>
      <c r="E200" s="18">
        <f>IF(ISTEXT('ENTERED ON'!Q200), 1, 0)</f>
        <v>0</v>
      </c>
      <c r="F200" s="18">
        <f>IF(ISTEXT('ENTERED ON'!R199), 1, 0)</f>
        <v>0</v>
      </c>
      <c r="G200" s="18">
        <f>IFERROR(IF(ISTEXT('ENTERED ON'!P200), 0, 'ENTERED ON'!P200*1.1), 0)</f>
        <v>0</v>
      </c>
      <c r="H200" s="28">
        <f>IF(ISTEXT(G200), 0, Table1[[#This Row],[Amount]] / 'COMPANY PROD'!$V$33)</f>
        <v>0</v>
      </c>
      <c r="I200" s="28">
        <f>Table1[[#This Row],[NIGHTS]]/'COMPANY PROD'!$V$41</f>
        <v>0</v>
      </c>
      <c r="J200" s="16">
        <f>IFERROR(Table1[[#This Row],[Amount]]/Table1[[#This Row],[NIGHTS]],0)</f>
        <v>0</v>
      </c>
      <c r="K200" s="21">
        <f>IF(ISTEXT('ENTERED ON'!C200), 0, IFERROR('ENTERED ON'!C200, 0))</f>
        <v>0</v>
      </c>
      <c r="L200" s="21">
        <f>IF(ISTEXT('ENTERED ON'!D200), 0, IFERROR('ENTERED ON'!D200, 0))</f>
        <v>0</v>
      </c>
      <c r="M200" s="1">
        <f>Table1[[#This Row],[Check out ]]-Table1[[#This Row],[Check in ]]</f>
        <v>0</v>
      </c>
      <c r="N200" s="1"/>
      <c r="O200" s="1">
        <f t="shared" si="33"/>
        <v>0</v>
      </c>
      <c r="P200" s="1">
        <f t="shared" si="34"/>
        <v>0</v>
      </c>
      <c r="Q200" s="1">
        <f t="shared" si="35"/>
        <v>0</v>
      </c>
      <c r="R200" s="1">
        <f t="shared" si="36"/>
        <v>0</v>
      </c>
      <c r="S200" s="1">
        <f t="shared" si="37"/>
        <v>0</v>
      </c>
      <c r="T200" s="1">
        <f t="shared" si="38"/>
        <v>0</v>
      </c>
      <c r="U200" s="1">
        <f t="shared" si="39"/>
        <v>0</v>
      </c>
      <c r="V200" s="1">
        <f t="shared" si="40"/>
        <v>0</v>
      </c>
      <c r="W200" s="1">
        <f t="shared" si="41"/>
        <v>0</v>
      </c>
      <c r="X200" s="1">
        <f t="shared" si="42"/>
        <v>0</v>
      </c>
      <c r="Y200" s="15">
        <f t="shared" si="43"/>
        <v>0</v>
      </c>
    </row>
  </sheetData>
  <phoneticPr fontId="23" type="noConversion"/>
  <conditionalFormatting sqref="A2:J200">
    <cfRule type="expression" dxfId="3" priority="3">
      <formula>ISNUMBER(SEARCH("C", $Z2))</formula>
    </cfRule>
  </conditionalFormatting>
  <conditionalFormatting sqref="A2:J200">
    <cfRule type="expression" dxfId="2" priority="4">
      <formula>ISTEXT($Y2)</formula>
    </cfRule>
  </conditionalFormatting>
  <conditionalFormatting sqref="K2:L200">
    <cfRule type="expression" dxfId="1" priority="1">
      <formula>ISNUMBER(SEARCH("C", $Z2))</formula>
    </cfRule>
  </conditionalFormatting>
  <conditionalFormatting sqref="K2:L200">
    <cfRule type="expression" dxfId="0" priority="2">
      <formula>ISTEXT($Y2)</formula>
    </cfRule>
  </conditionalFormatting>
  <pageMargins left="0.7" right="0.7" top="0.75" bottom="0.75" header="0.3" footer="0.3"/>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REV PROD </vt:lpstr>
      <vt:lpstr>COMPANY PROD</vt:lpstr>
      <vt:lpstr>ENTERED ON</vt:lpstr>
      <vt:lpstr>DELIMITED DATA</vt:lpstr>
      <vt:lpstr>STATISTICS</vt:lpstr>
      <vt:lpstr>SORT</vt:lpstr>
      <vt:lpstr>DATA</vt:lpstr>
      <vt:lpstr>'ENTERED ON'!Print_Area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HOME</dc:creator>
  <cp:lastModifiedBy>Reservations</cp:lastModifiedBy>
  <cp:lastPrinted>2025-08-12T16:30:45Z</cp:lastPrinted>
  <dcterms:created xsi:type="dcterms:W3CDTF">2025-03-08T18:33:55Z</dcterms:created>
  <dcterms:modified xsi:type="dcterms:W3CDTF">2025-08-23T10:19:14Z</dcterms:modified>
</cp:coreProperties>
</file>